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2A6603-ECB9-4F7C-AE1C-D28443C57A7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" sheetId="2" r:id="rId1"/>
    <sheet name="base" sheetId="1" r:id="rId2"/>
    <sheet name="aux" sheetId="3" state="hidden" r:id="rId3"/>
  </sheets>
  <definedNames>
    <definedName name="_xlnm._FilterDatabase" localSheetId="1" hidden="1">base!$A$1:$BW$189</definedName>
    <definedName name="_xlnm._FilterDatabase" localSheetId="0" hidden="1">REPORTE!$A$1:$T$1</definedName>
  </definedNames>
  <calcPr calcId="191029"/>
</workbook>
</file>

<file path=xl/calcChain.xml><?xml version="1.0" encoding="utf-8"?>
<calcChain xmlns="http://schemas.openxmlformats.org/spreadsheetml/2006/main">
  <c r="H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I2" i="2"/>
  <c r="Q2" i="2"/>
  <c r="E2" i="2"/>
  <c r="P2" i="2"/>
  <c r="O2" i="2"/>
  <c r="N2" i="2"/>
  <c r="M2" i="2"/>
  <c r="K2" i="2"/>
  <c r="D2" i="2"/>
  <c r="C2" i="2"/>
  <c r="B2" i="2"/>
</calcChain>
</file>

<file path=xl/sharedStrings.xml><?xml version="1.0" encoding="utf-8"?>
<sst xmlns="http://schemas.openxmlformats.org/spreadsheetml/2006/main" count="983" uniqueCount="343">
  <si>
    <t>Nro Guia</t>
  </si>
  <si>
    <t>Fecha</t>
  </si>
  <si>
    <t>Cliente</t>
  </si>
  <si>
    <t>Sucursal</t>
  </si>
  <si>
    <t>Estado</t>
  </si>
  <si>
    <t>Motivo</t>
  </si>
  <si>
    <t>Remito</t>
  </si>
  <si>
    <t>Guia Agente</t>
  </si>
  <si>
    <t>Servicio</t>
  </si>
  <si>
    <t>Tiempo</t>
  </si>
  <si>
    <t>Localidad Origen</t>
  </si>
  <si>
    <t>Localidad Destino</t>
  </si>
  <si>
    <t>Destino</t>
  </si>
  <si>
    <t>Peso</t>
  </si>
  <si>
    <t>Bultos</t>
  </si>
  <si>
    <t>Importe</t>
  </si>
  <si>
    <t>Valor Declarado</t>
  </si>
  <si>
    <t>Empresa</t>
  </si>
  <si>
    <t>Destinatario</t>
  </si>
  <si>
    <t>Domicilio</t>
  </si>
  <si>
    <t>Localidad</t>
  </si>
  <si>
    <t>Provincia</t>
  </si>
  <si>
    <t>Email</t>
  </si>
  <si>
    <t>Horario</t>
  </si>
  <si>
    <t>Distribuidor Recorrido</t>
  </si>
  <si>
    <t>Distribuidor Origen</t>
  </si>
  <si>
    <t>Distribuidor Destino</t>
  </si>
  <si>
    <t>Fecha Planilla</t>
  </si>
  <si>
    <t>Nro. Planilla</t>
  </si>
  <si>
    <t>Fecha Rendicion</t>
  </si>
  <si>
    <t>Nro. Rendicion</t>
  </si>
  <si>
    <t>Fecha Pactada</t>
  </si>
  <si>
    <t>Fecha Entrega</t>
  </si>
  <si>
    <t>Recibio</t>
  </si>
  <si>
    <t>Documento</t>
  </si>
  <si>
    <t>Lote</t>
  </si>
  <si>
    <t>Contrareembolso</t>
  </si>
  <si>
    <t>Other Info</t>
  </si>
  <si>
    <t>Obs 1</t>
  </si>
  <si>
    <t>Obs 2</t>
  </si>
  <si>
    <t>Nro.Socio</t>
  </si>
  <si>
    <t>Nro.Prestador</t>
  </si>
  <si>
    <t>Usuario</t>
  </si>
  <si>
    <t>Peso Volumetrico</t>
  </si>
  <si>
    <t>Volumen</t>
  </si>
  <si>
    <t>Ceco</t>
  </si>
  <si>
    <t>Importe Urgente</t>
  </si>
  <si>
    <t>Kg Exceso</t>
  </si>
  <si>
    <t>Importe Exceso</t>
  </si>
  <si>
    <t>Sector</t>
  </si>
  <si>
    <t>Trabajo</t>
  </si>
  <si>
    <t>Fecha Repactacion</t>
  </si>
  <si>
    <t>CP</t>
  </si>
  <si>
    <t>PLANILLA FACTURADO</t>
  </si>
  <si>
    <t>CONSTANCIA RETIRO</t>
  </si>
  <si>
    <t>SUCURSAL ORIGEN</t>
  </si>
  <si>
    <t>SUCURSAL DESTINO</t>
  </si>
  <si>
    <t>GRUPO</t>
  </si>
  <si>
    <t>COM.OBS 3</t>
  </si>
  <si>
    <t>COM.OBS 4</t>
  </si>
  <si>
    <t>COM.OTHER INFO</t>
  </si>
  <si>
    <t>COM.CELULAR</t>
  </si>
  <si>
    <t>FECHA ULTIMO ESTADO</t>
  </si>
  <si>
    <t>Precinto</t>
  </si>
  <si>
    <t>Codigo Sucursal</t>
  </si>
  <si>
    <t>Fecha Ingreso a Planta</t>
  </si>
  <si>
    <t>Datos Envios Obs</t>
  </si>
  <si>
    <t>Pago En</t>
  </si>
  <si>
    <t>Codigo Sucursal Naranja Devolucion</t>
  </si>
  <si>
    <t>Descripcion Sucursal Naranja Devolucion</t>
  </si>
  <si>
    <t>Zona Destino</t>
  </si>
  <si>
    <t>Sub Zona Destino</t>
  </si>
  <si>
    <t>Nombre Fantasia</t>
  </si>
  <si>
    <t>Nro.Liquidacion</t>
  </si>
  <si>
    <t>Canal</t>
  </si>
  <si>
    <t>POD-ENTREGADA</t>
  </si>
  <si>
    <t>Capital Federal</t>
  </si>
  <si>
    <t>PAQUETERIA</t>
  </si>
  <si>
    <t>ESTADO FINAL</t>
  </si>
  <si>
    <t>ORIGEN</t>
  </si>
  <si>
    <t>SMARTPOST</t>
  </si>
  <si>
    <t>CABA C4</t>
  </si>
  <si>
    <t>Buenos Aires</t>
  </si>
  <si>
    <t>SUR S1</t>
  </si>
  <si>
    <t>CABA C1</t>
  </si>
  <si>
    <t>ESTADO PENDIENTE</t>
  </si>
  <si>
    <t>CABA C14</t>
  </si>
  <si>
    <t>Caballito</t>
  </si>
  <si>
    <t>CABA C12</t>
  </si>
  <si>
    <t>CABA C11</t>
  </si>
  <si>
    <t>23327646 - GANDINI, LEONARDO</t>
  </si>
  <si>
    <t>41768386 - GONZALEZ, CESAR NAHUEL</t>
  </si>
  <si>
    <t>NORTE N3</t>
  </si>
  <si>
    <t>39375501P - SOSA PR PM, MARIANO NICOLAS</t>
  </si>
  <si>
    <t>OESTE O1</t>
  </si>
  <si>
    <t>Palermo</t>
  </si>
  <si>
    <t>41557955 - CONTRERAS, ANABELLA</t>
  </si>
  <si>
    <t>SUR S3</t>
  </si>
  <si>
    <t>FLEX</t>
  </si>
  <si>
    <t>XXXXXXX</t>
  </si>
  <si>
    <t>NORTE N2</t>
  </si>
  <si>
    <t>38709841P - ARIAS PR PM, BRIAN EMANUEL</t>
  </si>
  <si>
    <t>NORTE N2B</t>
  </si>
  <si>
    <t>Recoleta</t>
  </si>
  <si>
    <t>34693651P - CHAPARRO PR PM, RAMON</t>
  </si>
  <si>
    <t>42089762 - ARRUA, LEANDRO</t>
  </si>
  <si>
    <t>40464958 - HASSAN, RAFAEL</t>
  </si>
  <si>
    <t>38587811 - ACHAVAL, ARIAN</t>
  </si>
  <si>
    <t>Lanus</t>
  </si>
  <si>
    <t>Mataderos</t>
  </si>
  <si>
    <t>CABA C9</t>
  </si>
  <si>
    <t>32642159 - GONZALEZ, JUAN MARCELO</t>
  </si>
  <si>
    <t>Fecha ingreso a Planta</t>
  </si>
  <si>
    <t>GESTIÓN REALIZADA</t>
  </si>
  <si>
    <t>TIPO DE ESTADO</t>
  </si>
  <si>
    <t xml:space="preserve">VISITA COORDINADA CON EL CLIENTE </t>
  </si>
  <si>
    <t>N/A</t>
  </si>
  <si>
    <t>CERRADO EN APP FLEX</t>
  </si>
  <si>
    <t>Cambio notificado por MFLEX</t>
  </si>
  <si>
    <t>Pedido creado desde mercadoflex. Api v2</t>
  </si>
  <si>
    <t>Mflex</t>
  </si>
  <si>
    <t>Ensenada</t>
  </si>
  <si>
    <t>37251859 - CASTELLANOS, LUIS FRANCO</t>
  </si>
  <si>
    <t>Belgrano</t>
  </si>
  <si>
    <t>0,51975</t>
  </si>
  <si>
    <t>San Vicente</t>
  </si>
  <si>
    <t>Tipo domicilio: Particular.</t>
  </si>
  <si>
    <t>LujÃ¡n</t>
  </si>
  <si>
    <t>OESTE O3</t>
  </si>
  <si>
    <t>LUJAN</t>
  </si>
  <si>
    <t>44925898 - CABRERA, DANIEL</t>
  </si>
  <si>
    <t>San NicolÃ¡s</t>
  </si>
  <si>
    <t>38199389 - ECHENIQUE, FEDERICO</t>
  </si>
  <si>
    <t>ZETABURGOS SRL</t>
  </si>
  <si>
    <t>TIENDA OBJETOS SUC. CABA</t>
  </si>
  <si>
    <t>2000016282890952</t>
  </si>
  <si>
    <t>IvÃ¡n Aftalion</t>
  </si>
  <si>
    <t>Barrio La Lomada de Pilar 401</t>
  </si>
  <si>
    <t>Del viso, pilar</t>
  </si>
  <si>
    <t>Tipo domicilio: Particular. Km 45 panamericana ramal pilar</t>
  </si>
  <si>
    <t>tiendaobjetos</t>
  </si>
  <si>
    <t>5,265</t>
  </si>
  <si>
    <t>Del Viso</t>
  </si>
  <si>
    <t>Tienda Objetos</t>
  </si>
  <si>
    <t>46994045770-01</t>
  </si>
  <si>
    <t>Same day</t>
  </si>
  <si>
    <t>Calle Eva Peron 974</t>
  </si>
  <si>
    <t>BUENOS AIRES</t>
  </si>
  <si>
    <t>gracielaalfonso</t>
  </si>
  <si>
    <t>0</t>
  </si>
  <si>
    <t>CARGA MANUAL</t>
  </si>
  <si>
    <t>2000012829930141</t>
  </si>
  <si>
    <t>Federico VerriÃ¨</t>
  </si>
  <si>
    <t>Del Alcanfor 1 SN 0</t>
  </si>
  <si>
    <t>Nordelta</t>
  </si>
  <si>
    <t>36223447 - VILLAGRAN, FERNANDO</t>
  </si>
  <si>
    <t>Tipo domicilio: Particular. Barrio Las Tipas Referencia: Indicar en puerta de seguridad, Lote 150.</t>
  </si>
  <si>
    <t>11,718</t>
  </si>
  <si>
    <t>Nordelta Tigre</t>
  </si>
  <si>
    <t>2000012831401499</t>
  </si>
  <si>
    <t>Dylan Junco</t>
  </si>
  <si>
    <t>General Francisco Fernandez de La Cruz 2490</t>
  </si>
  <si>
    <t>Nueva Pompeya</t>
  </si>
  <si>
    <t>30036765 - FIGUEROA PR PM, SEBASTIAN</t>
  </si>
  <si>
    <t>Tipo domicilio: Comercial. Referencia: Lugar de trabajo, abierto hasta la 18hs, Frente al cancha de san Lorenzo</t>
  </si>
  <si>
    <t>176</t>
  </si>
  <si>
    <t>2000016290176042</t>
  </si>
  <si>
    <t>Milagros Carballo</t>
  </si>
  <si>
    <t>Juan B. Justo 3323</t>
  </si>
  <si>
    <t>ZÃ¡rate</t>
  </si>
  <si>
    <t>39829638 - ABAT, JULIAN</t>
  </si>
  <si>
    <t>Tipo domicilio: Particular. Prefabricada gris Referencia: Entre 32 y 34 casa prefabricada gris Entre: 32 y 34</t>
  </si>
  <si>
    <t>4,95</t>
  </si>
  <si>
    <t>Zarate</t>
  </si>
  <si>
    <t>2000012834108941</t>
  </si>
  <si>
    <t>Muriel Cantlon</t>
  </si>
  <si>
    <t>Avenida Coronel Escalada 1200</t>
  </si>
  <si>
    <t>Troncos del Talar</t>
  </si>
  <si>
    <t>32991335 - GOMEZ, FERNANDO</t>
  </si>
  <si>
    <t>Tipo domicilio: Particular. Lote 337 Referencia: Barrio Laguna del Sol</t>
  </si>
  <si>
    <t>1,512</t>
  </si>
  <si>
    <t>Troncos Del Talar</t>
  </si>
  <si>
    <t>2000012834665573</t>
  </si>
  <si>
    <t>NoemÃ­ gutierrez</t>
  </si>
  <si>
    <t>Calle Guiraldes 9</t>
  </si>
  <si>
    <t>Alejandro Korn</t>
  </si>
  <si>
    <t>28407972 - GARCIA-FLOTA GRUPO FS, ARIEL</t>
  </si>
  <si>
    <t>Tipo domicilio: Particular. Referencia: casa blanca justo en la esquina rejas rojas oxidadas Entre: mitre 810 y kennedy</t>
  </si>
  <si>
    <t>0,4875</t>
  </si>
  <si>
    <t>2000012835756717</t>
  </si>
  <si>
    <t>Maria Victoria Romero</t>
  </si>
  <si>
    <t>Calle Lavalle 607</t>
  </si>
  <si>
    <t>17687556 - SOTELO, MIRIAM</t>
  </si>
  <si>
    <t>Tipo domicilio: Particular. 1c</t>
  </si>
  <si>
    <t>2,48</t>
  </si>
  <si>
    <t>RC-En ruta para su entrega</t>
  </si>
  <si>
    <t>2000012836092415</t>
  </si>
  <si>
    <t>Julieta Lambertini</t>
  </si>
  <si>
    <t>Avenida General Las Heras 4009</t>
  </si>
  <si>
    <t>22963430 - BOCCUTI, ROSA PAULINA</t>
  </si>
  <si>
    <t>Tipo domicilio: Particular. 1 D</t>
  </si>
  <si>
    <t>8,16</t>
  </si>
  <si>
    <t>2000012836572973</t>
  </si>
  <si>
    <t>jose jorge silva</t>
  </si>
  <si>
    <t>ruta 58 18500</t>
  </si>
  <si>
    <t>Tipo domicilio: Particular. lote 231 Referencia: barrio lagos de san eliseo Entre: rivadavia y capdevilla</t>
  </si>
  <si>
    <t>9,6</t>
  </si>
  <si>
    <t>2000012839131915</t>
  </si>
  <si>
    <t>colin campbell</t>
  </si>
  <si>
    <t>Calle Italia 5043</t>
  </si>
  <si>
    <t>dique lujan</t>
  </si>
  <si>
    <t>Tipo domicilio: Particular. lote 640 Referencia: Barrio san isidro labrador</t>
  </si>
  <si>
    <t>10,5105</t>
  </si>
  <si>
    <t>Dique Lujan</t>
  </si>
  <si>
    <t>2000012839597353</t>
  </si>
  <si>
    <t>luis martinez</t>
  </si>
  <si>
    <t>Calle Santa Margarita 2350</t>
  </si>
  <si>
    <t>Tipo domicilio: Particular. casa Referencia: santa margarita esquina pirovano portÃ³n de chapa blanco justo en la esquina Entre: pirovano y mansilla</t>
  </si>
  <si>
    <t>0,486</t>
  </si>
  <si>
    <t>2000012839871135</t>
  </si>
  <si>
    <t>Tune (Piso 7)</t>
  </si>
  <si>
    <t>Calle Tucuman 117</t>
  </si>
  <si>
    <t>29218662 - SILVA, ARIEL</t>
  </si>
  <si>
    <t>Tipo domicilio: Comercial. 7 Referencia: 7</t>
  </si>
  <si>
    <t>8,32</t>
  </si>
  <si>
    <t>2000012839871139</t>
  </si>
  <si>
    <t>2000012839871137</t>
  </si>
  <si>
    <t>2000012840312751</t>
  </si>
  <si>
    <t>Pedro Sanchez</t>
  </si>
  <si>
    <t>Arevalo 3063</t>
  </si>
  <si>
    <t>Tipo domicilio: Particular. Piso 3 depto fondo Referencia: Piso 3 depto f de fondo. Por favor llamar ya que el portero funciona mÃ¡s o menos</t>
  </si>
  <si>
    <t>9,768</t>
  </si>
  <si>
    <t>2000012840396909</t>
  </si>
  <si>
    <t>linda Levy</t>
  </si>
  <si>
    <t>Avenida del Libertador 2213</t>
  </si>
  <si>
    <t>Tipo domicilio: Particular. 3 Referencia: av del libertador</t>
  </si>
  <si>
    <t>10,8</t>
  </si>
  <si>
    <t>2000016198948346-c</t>
  </si>
  <si>
    <t>2000016198948346</t>
  </si>
  <si>
    <t>Karina Soto (SOTOKARINA33)</t>
  </si>
  <si>
    <t>Calle 6 2739</t>
  </si>
  <si>
    <t>Manuel B Gonnet</t>
  </si>
  <si>
    <t>0,25</t>
  </si>
  <si>
    <t>Paredonblanco porton negro de chapa Entre: 504 y 505 | FRÃGIL | TRAER CAMBIO</t>
  </si>
  <si>
    <t>+54 9 2215 63-6700</t>
  </si>
  <si>
    <t>Gonnet</t>
  </si>
  <si>
    <t>2000012831701679</t>
  </si>
  <si>
    <t>Cristian Ricardo Corbellini</t>
  </si>
  <si>
    <t>Calle Pea 3083</t>
  </si>
  <si>
    <t>96117351P - TORREZ PR PM, MARBELIS</t>
  </si>
  <si>
    <t>Tipo domicilio: Particular. 6 D Referencia: Entregar a la seguridad</t>
  </si>
  <si>
    <t>4,62</t>
  </si>
  <si>
    <t>2000012842098097</t>
  </si>
  <si>
    <t>Agustin Miguel Cikes</t>
  </si>
  <si>
    <t>Everlinks Golf y Country Club - Lote 139 SN 0</t>
  </si>
  <si>
    <t>0,504</t>
  </si>
  <si>
    <t>2000012842785329</t>
  </si>
  <si>
    <t>Gustavo Rodriguez</t>
  </si>
  <si>
    <t>Avenida Intendente Bullrich 481</t>
  </si>
  <si>
    <t>Tipo domicilio: Comercial. Referencia: Es para la FundaciÃ³n El Uno Grande, entregarla en su oficina una vez que ingresÃ³ al Regimiento, por favor. Gracias.</t>
  </si>
  <si>
    <t>1,29</t>
  </si>
  <si>
    <t>2000012841448793</t>
  </si>
  <si>
    <t>Alfredo Jose Nieto</t>
  </si>
  <si>
    <t>Avenida de Los Corrales 7101</t>
  </si>
  <si>
    <t>Tipo domicilio: Comercial. PB Referencia: maxikiosco Entre: Guamini y Montiel</t>
  </si>
  <si>
    <t>32,64</t>
  </si>
  <si>
    <t>2000012842929149</t>
  </si>
  <si>
    <t>Berenice nieva</t>
  </si>
  <si>
    <t>Lavalle 2754</t>
  </si>
  <si>
    <t>Tipo domicilio: Particular. Al lado Casa Mi sueÃ± Referencia: llamar al numero de contacto 1150501207,entre carulli y corti en frente del campo, al lado casa con pileta y tranquera</t>
  </si>
  <si>
    <t>2000012843058489</t>
  </si>
  <si>
    <t>Rodrigo Garcia</t>
  </si>
  <si>
    <t>Calle Moreno 625</t>
  </si>
  <si>
    <t>Quilmes</t>
  </si>
  <si>
    <t>48645590 - RAMIREZ, NICOLAS DANIEL</t>
  </si>
  <si>
    <t>Tipo domicilio: Comercial. Referencia: Local Arredo Entre: Alem Y Rivadavia</t>
  </si>
  <si>
    <t>71,82</t>
  </si>
  <si>
    <t>SUR S2</t>
  </si>
  <si>
    <t>2000012843309425</t>
  </si>
  <si>
    <t>Roberto Kohlhuber</t>
  </si>
  <si>
    <t>Intendente Pedro Oliveri 796</t>
  </si>
  <si>
    <t>Tipo domicilio: Particular. Referencia: Olivieri esquina Torcuato de Alvear Entre: Torcuato de Alvear y AndrÃ©s Baranda</t>
  </si>
  <si>
    <t>1,16</t>
  </si>
  <si>
    <t>2000012843340519</t>
  </si>
  <si>
    <t>Carolina Gabriela Cordara</t>
  </si>
  <si>
    <t>Calle Jose de Amenabar 2249</t>
  </si>
  <si>
    <t>Tipo domicilio: Particular. 2 do 10 Referencia: Es 2 do 10 - Amenbar</t>
  </si>
  <si>
    <t>5,25</t>
  </si>
  <si>
    <t>2000012843399887</t>
  </si>
  <si>
    <t>Delfina Martignone</t>
  </si>
  <si>
    <t>Avenida del Libertador 5665</t>
  </si>
  <si>
    <t>Tipo domicilio: Particular. 1F</t>
  </si>
  <si>
    <t>11,025</t>
  </si>
  <si>
    <t>2000016301616080</t>
  </si>
  <si>
    <t>Federico garcia</t>
  </si>
  <si>
    <t>Calle Doctor Luis Belaustegui 4825</t>
  </si>
  <si>
    <t>Floresta</t>
  </si>
  <si>
    <t>36954970 - ALBORNOZ, SERGIO</t>
  </si>
  <si>
    <t>Tipo domicilio: Particular. Entre: Bermudez y pasaje Emilio Castelar</t>
  </si>
  <si>
    <t>0,529</t>
  </si>
  <si>
    <t>2000012843766303</t>
  </si>
  <si>
    <t>Rosario egaÃ±a</t>
  </si>
  <si>
    <t>Corredor bancalari 3901</t>
  </si>
  <si>
    <t>General Pacheco</t>
  </si>
  <si>
    <t>50011998 - PFAFFENCELLER - FLOTA DISTRI MAC, AMANDA VICTORIA</t>
  </si>
  <si>
    <t>Tipo domicilio: Particular. Lote 433 Entre: Barrio santa barbara</t>
  </si>
  <si>
    <t>2,142</t>
  </si>
  <si>
    <t>2000012843781391</t>
  </si>
  <si>
    <t>Matias Luthard</t>
  </si>
  <si>
    <t>Calle Thames 2313</t>
  </si>
  <si>
    <t>33061061 - SORIA-FLOTA GRUPO MAF, DAMIAN LUCIO</t>
  </si>
  <si>
    <t>Tipo domicilio: Comercial. 604</t>
  </si>
  <si>
    <t>20,286</t>
  </si>
  <si>
    <t>2000012844544889</t>
  </si>
  <si>
    <t>carlos bartozyk</t>
  </si>
  <si>
    <t>Calle Teniente Coronel Jorge Obon 2549</t>
  </si>
  <si>
    <t>LanÃºs</t>
  </si>
  <si>
    <t>Tipo domicilio: Particular. Entre: masa y emilio castro</t>
  </si>
  <si>
    <t>4,9875</t>
  </si>
  <si>
    <t>2000012844605281</t>
  </si>
  <si>
    <t>Leonardo Javier Crugley</t>
  </si>
  <si>
    <t>Calle Marcos Riglos 957</t>
  </si>
  <si>
    <t>Parque Chacabuco</t>
  </si>
  <si>
    <t>Tipo domicilio: Comercial. Referencia: Laboratorio de Essayos Fisicoquimicos - PFA - Riglos</t>
  </si>
  <si>
    <t>5,56875</t>
  </si>
  <si>
    <t>2000012842953845</t>
  </si>
  <si>
    <t>Manuel Soria</t>
  </si>
  <si>
    <t>Boulevard de Todos los Santos 3500</t>
  </si>
  <si>
    <t>Dique LujÃ¡n</t>
  </si>
  <si>
    <t>Tipo domicilio: Particular. 348 Referencia: 359</t>
  </si>
  <si>
    <t>0,55</t>
  </si>
  <si>
    <t>2000012844980431</t>
  </si>
  <si>
    <t>Karina Aurnague</t>
  </si>
  <si>
    <t>Calle Larrea 1132</t>
  </si>
  <si>
    <t>Ramos mejia</t>
  </si>
  <si>
    <t>Tipo domicilio: Particular. Referencia: Llamar Por Telefono, No Anda El Timbre Entre: O Ghighins y Chubut</t>
  </si>
  <si>
    <t>4,992</t>
  </si>
  <si>
    <t>Ramos Mejia</t>
  </si>
  <si>
    <t>2000016303906044</t>
  </si>
  <si>
    <t>Agustina Vila</t>
  </si>
  <si>
    <t>Calle Hualfin 891</t>
  </si>
  <si>
    <t>Tipo domicilio: Particular. 1 A Referencia: 1 A</t>
  </si>
  <si>
    <t>1,24775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</si>
</sst>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0" fontId="20" fillId="0" borderId="11" xfId="0" applyFont="1" applyBorder="1" applyAlignment="1">
      <alignment horizontal="center" wrapText="1"/>
    </xf>
    <xf numFmtId="22" fontId="20" fillId="0" borderId="11" xfId="0" applyNumberFormat="1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vertical="top"/>
    </xf>
    <xf numFmtId="0" fontId="19" fillId="34" borderId="0" xfId="0" applyFont="1" applyFill="1" applyAlignment="1">
      <alignment vertical="top"/>
    </xf>
    <xf numFmtId="0" fontId="19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103909</xdr:colOff>
      <xdr:row>0</xdr:row>
      <xdr:rowOff>0</xdr:rowOff>
    </xdr:from>
    <xdr:to>
      <xdr:col>19</xdr:col>
      <xdr:colOff>432955</xdr:colOff>
      <xdr:row>1</xdr:row>
      <xdr:rowOff>47007</xdr:rowOff>
    </xdr:to>
    <xdr:pic>
      <xdr:nvPicPr>
        <xdr:cNvPr id="3" name="Imagen 2" descr="C:\Users\User\Desktop\smartpost-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0318" y="0"/>
          <a:ext cx="1853046" cy="63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"/>
  <sheetViews>
    <sheetView tabSelected="1" zoomScale="40" zoomScaleNormal="40" workbookViewId="0">
      <pane ySplit="1" topLeftCell="A2" activePane="bottomLeft" state="frozen"/>
      <selection pane="bottomLeft" activeCell="I2" sqref="I2"/>
    </sheetView>
  </sheetViews>
  <sheetFormatPr baseColWidth="10" defaultRowHeight="23.25" x14ac:dyDescent="0.35"/>
  <cols>
    <col min="1" max="1" width="32" style="6" bestFit="1" customWidth="1"/>
    <col min="2" max="2" width="62.28515625" style="6" bestFit="1" customWidth="1"/>
    <col min="3" max="3" width="28.42578125" style="6" bestFit="1" customWidth="1"/>
    <col min="4" max="4" width="67" style="6" bestFit="1" customWidth="1"/>
    <col min="5" max="5" width="49.85546875" style="6" bestFit="1" customWidth="1"/>
    <col min="6" max="6" width="58" style="6" bestFit="1" customWidth="1"/>
    <col min="7" max="7" width="40.5703125" style="6" bestFit="1" customWidth="1"/>
    <col min="8" max="8" width="30.85546875" style="6" bestFit="1" customWidth="1"/>
    <col min="9" max="9" width="60.85546875" style="6" bestFit="1" customWidth="1"/>
    <col min="10" max="10" width="89.42578125" style="6" bestFit="1" customWidth="1"/>
    <col min="11" max="11" width="67.28515625" style="6" bestFit="1" customWidth="1"/>
    <col min="12" max="12" width="127.7109375" style="6" bestFit="1" customWidth="1"/>
    <col min="13" max="13" width="58" style="6" bestFit="1" customWidth="1"/>
    <col min="14" max="14" width="37.7109375" style="6" bestFit="1" customWidth="1"/>
    <col min="15" max="15" width="20.140625" style="6" bestFit="1" customWidth="1"/>
    <col min="16" max="16" width="64.85546875" style="6" bestFit="1" customWidth="1"/>
    <col min="17" max="17" width="41.28515625" style="6" bestFit="1" customWidth="1"/>
    <col min="18" max="16384" width="11.42578125" style="8"/>
  </cols>
  <sheetData>
    <row r="1" spans="1:20" s="12" customFormat="1" x14ac:dyDescent="0.35">
      <c r="A1" s="9" t="s">
        <v>0</v>
      </c>
      <c r="B1" s="9" t="s">
        <v>112</v>
      </c>
      <c r="C1" s="9" t="s">
        <v>2</v>
      </c>
      <c r="D1" s="9" t="s">
        <v>4</v>
      </c>
      <c r="E1" s="9" t="s">
        <v>114</v>
      </c>
      <c r="F1" s="9" t="s">
        <v>113</v>
      </c>
      <c r="G1" s="9" t="s">
        <v>6</v>
      </c>
      <c r="H1" s="9" t="s">
        <v>8</v>
      </c>
      <c r="I1" s="9" t="s">
        <v>18</v>
      </c>
      <c r="J1" s="9" t="s">
        <v>19</v>
      </c>
      <c r="K1" s="9" t="s">
        <v>20</v>
      </c>
      <c r="L1" s="9" t="s">
        <v>24</v>
      </c>
      <c r="M1" s="9" t="s">
        <v>33</v>
      </c>
      <c r="N1" s="9" t="s">
        <v>34</v>
      </c>
      <c r="O1" s="9" t="s">
        <v>52</v>
      </c>
      <c r="P1" s="9" t="s">
        <v>62</v>
      </c>
      <c r="Q1" s="9" t="s">
        <v>70</v>
      </c>
      <c r="R1" s="10"/>
      <c r="S1" s="11"/>
      <c r="T1" s="11"/>
    </row>
    <row r="2" spans="1:20" ht="69.75" x14ac:dyDescent="0.35">
      <c r="A2" s="6">
        <f>base!A2</f>
        <v>5526235</v>
      </c>
      <c r="B2" s="7">
        <f>base!BN2</f>
        <v>46148.584178240744</v>
      </c>
      <c r="C2" s="6" t="str">
        <f>base!C2</f>
        <v>ZETABURGOS SRL</v>
      </c>
      <c r="D2" s="6" t="str">
        <f>base!E2</f>
        <v>POD-ENTREGADA</v>
      </c>
      <c r="E2" s="6" t="str">
        <f>base!BF2</f>
        <v>ESTADO FINAL</v>
      </c>
      <c r="G2" s="6">
        <f>base!G2</f>
        <v>46994624650</v>
      </c>
      <c r="H2" s="6" t="str">
        <f>base!I2</f>
        <v>FLEX</v>
      </c>
      <c r="I2" s="6" t="str">
        <f>base!S2</f>
        <v>IvÃ¡n Aftalion</v>
      </c>
      <c r="J2" s="6" t="str">
        <f>base!T2</f>
        <v>Barrio La Lomada de Pilar 401</v>
      </c>
      <c r="K2" s="6" t="str">
        <f>base!U2</f>
        <v>Del viso, pilar</v>
      </c>
      <c r="L2" s="6" t="str">
        <f>base!Y2</f>
        <v>40464958 - HASSAN, RAFAEL</v>
      </c>
      <c r="M2" s="6">
        <f>base!AH2</f>
        <v>0</v>
      </c>
      <c r="N2" s="6">
        <f>base!AI2</f>
        <v>0</v>
      </c>
      <c r="O2" s="6">
        <f>base!BA2</f>
        <v>1669</v>
      </c>
      <c r="P2" s="7">
        <f>base!BK2</f>
        <v>46148.738067129627</v>
      </c>
      <c r="Q2" s="6" t="str">
        <f>base!BS2</f>
        <v>NORTE N3</v>
      </c>
    </row>
    <row r="3" spans="1:20" x14ac:dyDescent="0.35">
      <c r="A3" s="6">
        <f>base!A3</f>
        <v>5528272</v>
      </c>
      <c r="B3" s="7">
        <f>base!BN3</f>
        <v>46148.458912037036</v>
      </c>
      <c r="C3" s="6" t="str">
        <f>base!C3</f>
        <v>ZETABURGOS SRL</v>
      </c>
      <c r="D3" s="6" t="str">
        <f>base!E3</f>
        <v>POD-ENTREGADA</v>
      </c>
      <c r="E3" s="6" t="str">
        <f>base!BF3</f>
        <v>ESTADO FINAL</v>
      </c>
      <c r="G3" s="6" t="str">
        <f>base!G3</f>
        <v>46994045770-01</v>
      </c>
      <c r="H3" s="6" t="str">
        <f>base!I3</f>
        <v>Same day</v>
      </c>
      <c r="I3" s="6">
        <f>base!S3</f>
        <v>0</v>
      </c>
      <c r="J3" s="6" t="str">
        <f>base!T3</f>
        <v>Calle Eva Peron 974</v>
      </c>
      <c r="K3" s="6" t="str">
        <f>base!U3</f>
        <v>Ensenada</v>
      </c>
      <c r="L3" s="6" t="str">
        <f>base!Y3</f>
        <v>41557955 - CONTRERAS, ANABELLA</v>
      </c>
      <c r="M3" s="6">
        <f>base!AH3</f>
        <v>0</v>
      </c>
      <c r="N3" s="6">
        <f>base!AI3</f>
        <v>0</v>
      </c>
      <c r="O3" s="6">
        <f>base!BA3</f>
        <v>1925</v>
      </c>
      <c r="P3" s="7">
        <f>base!BK3</f>
        <v>46148.513611111113</v>
      </c>
      <c r="Q3" s="6" t="str">
        <f>base!BS3</f>
        <v>SUR S3</v>
      </c>
    </row>
    <row r="4" spans="1:20" x14ac:dyDescent="0.35">
      <c r="A4" s="6">
        <f>base!A4</f>
        <v>5528657</v>
      </c>
      <c r="B4" s="7">
        <f>base!BN4</f>
        <v>46148.582916666666</v>
      </c>
      <c r="C4" s="6" t="str">
        <f>base!C4</f>
        <v>ZETABURGOS SRL</v>
      </c>
      <c r="D4" s="6" t="str">
        <f>base!E4</f>
        <v>POD-ENTREGADA</v>
      </c>
      <c r="E4" s="6" t="str">
        <f>base!BF4</f>
        <v>ESTADO FINAL</v>
      </c>
      <c r="G4" s="6">
        <f>base!G4</f>
        <v>46997213558</v>
      </c>
      <c r="H4" s="6" t="str">
        <f>base!I4</f>
        <v>FLEX</v>
      </c>
      <c r="I4" s="6" t="str">
        <f>base!S4</f>
        <v>Federico VerriÃ¨</v>
      </c>
      <c r="J4" s="6" t="str">
        <f>base!T4</f>
        <v>Del Alcanfor 1 SN 0</v>
      </c>
      <c r="K4" s="6" t="str">
        <f>base!U4</f>
        <v>Nordelta</v>
      </c>
      <c r="L4" s="6" t="str">
        <f>base!Y4</f>
        <v>36223447 - VILLAGRAN, FERNANDO</v>
      </c>
      <c r="M4" s="6">
        <f>base!AH4</f>
        <v>0</v>
      </c>
      <c r="N4" s="6">
        <f>base!AI4</f>
        <v>0</v>
      </c>
      <c r="O4" s="6">
        <f>base!BA4</f>
        <v>1670</v>
      </c>
      <c r="P4" s="7">
        <f>base!BK4</f>
        <v>46148.856238425928</v>
      </c>
      <c r="Q4" s="6" t="str">
        <f>base!BS4</f>
        <v>NORTE N3</v>
      </c>
    </row>
    <row r="5" spans="1:20" x14ac:dyDescent="0.35">
      <c r="A5" s="6">
        <f>base!A5</f>
        <v>5529232</v>
      </c>
      <c r="B5" s="7">
        <f>base!BN5</f>
        <v>46148.58258101852</v>
      </c>
      <c r="C5" s="6" t="str">
        <f>base!C5</f>
        <v>ZETABURGOS SRL</v>
      </c>
      <c r="D5" s="6" t="str">
        <f>base!E5</f>
        <v>POD-ENTREGADA</v>
      </c>
      <c r="E5" s="6" t="str">
        <f>base!BF5</f>
        <v>ESTADO FINAL</v>
      </c>
      <c r="G5" s="6">
        <f>base!G5</f>
        <v>46997885122</v>
      </c>
      <c r="H5" s="6" t="str">
        <f>base!I5</f>
        <v>FLEX</v>
      </c>
      <c r="I5" s="6" t="str">
        <f>base!S5</f>
        <v>Dylan Junco</v>
      </c>
      <c r="J5" s="6" t="str">
        <f>base!T5</f>
        <v>General Francisco Fernandez de La Cruz 2490</v>
      </c>
      <c r="K5" s="6" t="str">
        <f>base!U5</f>
        <v>Nueva Pompeya</v>
      </c>
      <c r="L5" s="6" t="str">
        <f>base!Y5</f>
        <v>30036765 - FIGUEROA PR PM, SEBASTIAN</v>
      </c>
      <c r="M5" s="6">
        <f>base!AH5</f>
        <v>0</v>
      </c>
      <c r="N5" s="6">
        <f>base!AI5</f>
        <v>0</v>
      </c>
      <c r="O5" s="6">
        <f>base!BA5</f>
        <v>1437</v>
      </c>
      <c r="P5" s="7">
        <f>base!BK5</f>
        <v>46148.740902777776</v>
      </c>
      <c r="Q5" s="6" t="str">
        <f>base!BS5</f>
        <v>CABA C4</v>
      </c>
    </row>
    <row r="6" spans="1:20" x14ac:dyDescent="0.35">
      <c r="A6" s="6">
        <f>base!A6</f>
        <v>5529356</v>
      </c>
      <c r="B6" s="7">
        <f>base!BN6</f>
        <v>46148.588125000002</v>
      </c>
      <c r="C6" s="6" t="str">
        <f>base!C6</f>
        <v>ZETABURGOS SRL</v>
      </c>
      <c r="D6" s="6" t="str">
        <f>base!E6</f>
        <v>POD-ENTREGADA</v>
      </c>
      <c r="E6" s="6" t="str">
        <f>base!BF6</f>
        <v>ESTADO FINAL</v>
      </c>
      <c r="G6" s="6">
        <f>base!G6</f>
        <v>46997769697</v>
      </c>
      <c r="H6" s="6" t="str">
        <f>base!I6</f>
        <v>FLEX</v>
      </c>
      <c r="I6" s="6" t="str">
        <f>base!S6</f>
        <v>Milagros Carballo</v>
      </c>
      <c r="J6" s="6" t="str">
        <f>base!T6</f>
        <v>Juan B. Justo 3323</v>
      </c>
      <c r="K6" s="6" t="str">
        <f>base!U6</f>
        <v>ZÃ¡rate</v>
      </c>
      <c r="L6" s="6" t="str">
        <f>base!Y6</f>
        <v>39829638 - ABAT, JULIAN</v>
      </c>
      <c r="M6" s="6">
        <f>base!AH6</f>
        <v>0</v>
      </c>
      <c r="N6" s="6">
        <f>base!AI6</f>
        <v>0</v>
      </c>
      <c r="O6" s="6">
        <f>base!BA6</f>
        <v>2800</v>
      </c>
      <c r="P6" s="7">
        <f>base!BK6</f>
        <v>46148.823865740742</v>
      </c>
      <c r="Q6" s="6" t="str">
        <f>base!BS6</f>
        <v>NORTE N3</v>
      </c>
    </row>
    <row r="7" spans="1:20" x14ac:dyDescent="0.35">
      <c r="A7" s="6">
        <f>base!A7</f>
        <v>5530042</v>
      </c>
      <c r="B7" s="7">
        <f>base!BN7</f>
        <v>46148.582291666666</v>
      </c>
      <c r="C7" s="6" t="str">
        <f>base!C7</f>
        <v>ZETABURGOS SRL</v>
      </c>
      <c r="D7" s="6" t="str">
        <f>base!E7</f>
        <v>POD-ENTREGADA</v>
      </c>
      <c r="E7" s="6" t="str">
        <f>base!BF7</f>
        <v>ESTADO FINAL</v>
      </c>
      <c r="G7" s="6">
        <f>base!G7</f>
        <v>46998809859</v>
      </c>
      <c r="H7" s="6" t="str">
        <f>base!I7</f>
        <v>FLEX</v>
      </c>
      <c r="I7" s="6" t="str">
        <f>base!S7</f>
        <v>Muriel Cantlon</v>
      </c>
      <c r="J7" s="6" t="str">
        <f>base!T7</f>
        <v>Avenida Coronel Escalada 1200</v>
      </c>
      <c r="K7" s="6" t="str">
        <f>base!U7</f>
        <v>Troncos del Talar</v>
      </c>
      <c r="L7" s="6" t="str">
        <f>base!Y7</f>
        <v>32991335 - GOMEZ, FERNANDO</v>
      </c>
      <c r="M7" s="6">
        <f>base!AH7</f>
        <v>0</v>
      </c>
      <c r="N7" s="6">
        <f>base!AI7</f>
        <v>0</v>
      </c>
      <c r="O7" s="6">
        <f>base!BA7</f>
        <v>1608</v>
      </c>
      <c r="P7" s="7">
        <f>base!BK7</f>
        <v>46148.705104166664</v>
      </c>
      <c r="Q7" s="6" t="str">
        <f>base!BS7</f>
        <v>NORTE N2</v>
      </c>
    </row>
    <row r="8" spans="1:20" x14ac:dyDescent="0.35">
      <c r="A8" s="6">
        <f>base!A8</f>
        <v>5530167</v>
      </c>
      <c r="B8" s="7">
        <f>base!BN8</f>
        <v>46148.588761574072</v>
      </c>
      <c r="C8" s="6" t="str">
        <f>base!C8</f>
        <v>ZETABURGOS SRL</v>
      </c>
      <c r="D8" s="6" t="str">
        <f>base!E8</f>
        <v>POD-ENTREGADA</v>
      </c>
      <c r="E8" s="6" t="str">
        <f>base!BF8</f>
        <v>ESTADO FINAL</v>
      </c>
      <c r="G8" s="6">
        <f>base!G8</f>
        <v>46999048779</v>
      </c>
      <c r="H8" s="6" t="str">
        <f>base!I8</f>
        <v>FLEX</v>
      </c>
      <c r="I8" s="6" t="str">
        <f>base!S8</f>
        <v>NoemÃ­ gutierrez</v>
      </c>
      <c r="J8" s="6" t="str">
        <f>base!T8</f>
        <v>Calle Guiraldes 9</v>
      </c>
      <c r="K8" s="6" t="str">
        <f>base!U8</f>
        <v>Alejandro Korn</v>
      </c>
      <c r="L8" s="6" t="str">
        <f>base!Y8</f>
        <v>28407972 - GARCIA-FLOTA GRUPO FS, ARIEL</v>
      </c>
      <c r="M8" s="6">
        <f>base!AH8</f>
        <v>0</v>
      </c>
      <c r="N8" s="6">
        <f>base!AI8</f>
        <v>0</v>
      </c>
      <c r="O8" s="6">
        <f>base!BA8</f>
        <v>1864</v>
      </c>
      <c r="P8" s="7">
        <f>base!BK8</f>
        <v>46148.862175925926</v>
      </c>
      <c r="Q8" s="6" t="str">
        <f>base!BS8</f>
        <v>SUR S3</v>
      </c>
    </row>
    <row r="9" spans="1:20" x14ac:dyDescent="0.35">
      <c r="A9" s="6">
        <f>base!A9</f>
        <v>5530417</v>
      </c>
      <c r="B9" s="7">
        <f>base!BN9</f>
        <v>46148.58326388889</v>
      </c>
      <c r="C9" s="6" t="str">
        <f>base!C9</f>
        <v>ZETABURGOS SRL</v>
      </c>
      <c r="D9" s="6" t="str">
        <f>base!E9</f>
        <v>POD-ENTREGADA</v>
      </c>
      <c r="E9" s="6" t="str">
        <f>base!BF9</f>
        <v>ESTADO FINAL</v>
      </c>
      <c r="G9" s="6">
        <f>base!G9</f>
        <v>46999521825</v>
      </c>
      <c r="H9" s="6" t="str">
        <f>base!I9</f>
        <v>FLEX</v>
      </c>
      <c r="I9" s="6" t="str">
        <f>base!S9</f>
        <v>Maria Victoria Romero</v>
      </c>
      <c r="J9" s="6" t="str">
        <f>base!T9</f>
        <v>Calle Lavalle 607</v>
      </c>
      <c r="K9" s="6" t="str">
        <f>base!U9</f>
        <v>LujÃ¡n</v>
      </c>
      <c r="L9" s="6" t="str">
        <f>base!Y9</f>
        <v>17687556 - SOTELO, MIRIAM</v>
      </c>
      <c r="M9" s="6">
        <f>base!AH9</f>
        <v>0</v>
      </c>
      <c r="N9" s="6">
        <f>base!AI9</f>
        <v>0</v>
      </c>
      <c r="O9" s="6">
        <f>base!BA9</f>
        <v>6700</v>
      </c>
      <c r="P9" s="7">
        <f>base!BK9</f>
        <v>46148.794259259259</v>
      </c>
      <c r="Q9" s="6" t="str">
        <f>base!BS9</f>
        <v>OESTE O3</v>
      </c>
    </row>
    <row r="10" spans="1:20" x14ac:dyDescent="0.35">
      <c r="A10" s="6">
        <f>base!A10</f>
        <v>5530492</v>
      </c>
      <c r="B10" s="7">
        <f>base!BN10</f>
        <v>46148.581805555557</v>
      </c>
      <c r="C10" s="6" t="str">
        <f>base!C10</f>
        <v>ZETABURGOS SRL</v>
      </c>
      <c r="D10" s="6" t="str">
        <f>base!E10</f>
        <v>RC-En ruta para su entrega</v>
      </c>
      <c r="E10" s="6" t="str">
        <f>base!BF10</f>
        <v>ESTADO PENDIENTE</v>
      </c>
      <c r="G10" s="6">
        <f>base!G10</f>
        <v>46999937136</v>
      </c>
      <c r="H10" s="6" t="str">
        <f>base!I10</f>
        <v>FLEX</v>
      </c>
      <c r="I10" s="6" t="str">
        <f>base!S10</f>
        <v>Julieta Lambertini</v>
      </c>
      <c r="J10" s="6" t="str">
        <f>base!T10</f>
        <v>Avenida General Las Heras 4009</v>
      </c>
      <c r="K10" s="6" t="str">
        <f>base!U10</f>
        <v>Palermo</v>
      </c>
      <c r="L10" s="6" t="str">
        <f>base!Y10</f>
        <v>22963430 - BOCCUTI, ROSA PAULINA</v>
      </c>
      <c r="M10" s="6">
        <f>base!AH10</f>
        <v>0</v>
      </c>
      <c r="N10" s="6">
        <f>base!AI10</f>
        <v>0</v>
      </c>
      <c r="O10" s="6">
        <f>base!BA10</f>
        <v>1425</v>
      </c>
      <c r="P10" s="7">
        <f>base!BK10</f>
        <v>46149</v>
      </c>
      <c r="Q10" s="6" t="str">
        <f>base!BS10</f>
        <v>CABA C14</v>
      </c>
    </row>
    <row r="11" spans="1:20" x14ac:dyDescent="0.35">
      <c r="A11" s="6">
        <f>base!A11</f>
        <v>5530588</v>
      </c>
      <c r="B11" s="7">
        <f>base!BN11</f>
        <v>46148.585127314815</v>
      </c>
      <c r="C11" s="6" t="str">
        <f>base!C11</f>
        <v>ZETABURGOS SRL</v>
      </c>
      <c r="D11" s="6" t="str">
        <f>base!E11</f>
        <v>POD-ENTREGADA</v>
      </c>
      <c r="E11" s="6" t="str">
        <f>base!BF11</f>
        <v>ESTADO FINAL</v>
      </c>
      <c r="G11" s="6">
        <f>base!G11</f>
        <v>46999869579</v>
      </c>
      <c r="H11" s="6" t="str">
        <f>base!I11</f>
        <v>FLEX</v>
      </c>
      <c r="I11" s="6" t="str">
        <f>base!S11</f>
        <v>jose jorge silva</v>
      </c>
      <c r="J11" s="6" t="str">
        <f>base!T11</f>
        <v>ruta 58 18500</v>
      </c>
      <c r="K11" s="6" t="str">
        <f>base!U11</f>
        <v>San Vicente</v>
      </c>
      <c r="L11" s="6" t="str">
        <f>base!Y11</f>
        <v>42089762 - ARRUA, LEANDRO</v>
      </c>
      <c r="M11" s="6">
        <f>base!AH11</f>
        <v>0</v>
      </c>
      <c r="N11" s="6">
        <f>base!AI11</f>
        <v>0</v>
      </c>
      <c r="O11" s="6">
        <f>base!BA11</f>
        <v>1865</v>
      </c>
      <c r="P11" s="7">
        <f>base!BK11</f>
        <v>46148.796574074076</v>
      </c>
      <c r="Q11" s="6" t="str">
        <f>base!BS11</f>
        <v>SUR S3</v>
      </c>
    </row>
    <row r="12" spans="1:20" x14ac:dyDescent="0.35">
      <c r="A12" s="6">
        <f>base!A12</f>
        <v>5531085</v>
      </c>
      <c r="B12" s="7">
        <f>base!BN12</f>
        <v>46148.584189814814</v>
      </c>
      <c r="C12" s="6" t="str">
        <f>base!C12</f>
        <v>ZETABURGOS SRL</v>
      </c>
      <c r="D12" s="6" t="str">
        <f>base!E12</f>
        <v>POD-ENTREGADA</v>
      </c>
      <c r="E12" s="6" t="str">
        <f>base!BF12</f>
        <v>ESTADO FINAL</v>
      </c>
      <c r="G12" s="6">
        <f>base!G12</f>
        <v>47000952097</v>
      </c>
      <c r="H12" s="6" t="str">
        <f>base!I12</f>
        <v>FLEX</v>
      </c>
      <c r="I12" s="6" t="str">
        <f>base!S12</f>
        <v>colin campbell</v>
      </c>
      <c r="J12" s="6" t="str">
        <f>base!T12</f>
        <v>Calle Italia 5043</v>
      </c>
      <c r="K12" s="6" t="str">
        <f>base!U12</f>
        <v>dique lujan</v>
      </c>
      <c r="L12" s="6" t="str">
        <f>base!Y12</f>
        <v>32642159 - GONZALEZ, JUAN MARCELO</v>
      </c>
      <c r="M12" s="6">
        <f>base!AH12</f>
        <v>0</v>
      </c>
      <c r="N12" s="6">
        <f>base!AI12</f>
        <v>0</v>
      </c>
      <c r="O12" s="6">
        <f>base!BA12</f>
        <v>1622</v>
      </c>
      <c r="P12" s="7">
        <f>base!BK12</f>
        <v>46148.756284722222</v>
      </c>
      <c r="Q12" s="6" t="str">
        <f>base!BS12</f>
        <v>NORTE N2B</v>
      </c>
    </row>
    <row r="13" spans="1:20" x14ac:dyDescent="0.35">
      <c r="A13" s="6">
        <f>base!A13</f>
        <v>5531316</v>
      </c>
      <c r="B13" s="7">
        <f>base!BN13</f>
        <v>46148.585092592592</v>
      </c>
      <c r="C13" s="6" t="str">
        <f>base!C13</f>
        <v>ZETABURGOS SRL</v>
      </c>
      <c r="D13" s="6" t="str">
        <f>base!E13</f>
        <v>POD-ENTREGADA</v>
      </c>
      <c r="E13" s="6" t="str">
        <f>base!BF13</f>
        <v>ESTADO FINAL</v>
      </c>
      <c r="G13" s="6">
        <f>base!G13</f>
        <v>47001190219</v>
      </c>
      <c r="H13" s="6" t="str">
        <f>base!I13</f>
        <v>FLEX</v>
      </c>
      <c r="I13" s="6" t="str">
        <f>base!S13</f>
        <v>luis martinez</v>
      </c>
      <c r="J13" s="6" t="str">
        <f>base!T13</f>
        <v>Calle Santa Margarita 2350</v>
      </c>
      <c r="K13" s="6" t="str">
        <f>base!U13</f>
        <v>Del Viso</v>
      </c>
      <c r="L13" s="6" t="str">
        <f>base!Y13</f>
        <v>32642159 - GONZALEZ, JUAN MARCELO</v>
      </c>
      <c r="M13" s="6">
        <f>base!AH13</f>
        <v>0</v>
      </c>
      <c r="N13" s="6">
        <f>base!AI13</f>
        <v>0</v>
      </c>
      <c r="O13" s="6">
        <f>base!BA13</f>
        <v>1669</v>
      </c>
      <c r="P13" s="7">
        <f>base!BK13</f>
        <v>46148.846458333333</v>
      </c>
      <c r="Q13" s="6" t="str">
        <f>base!BS13</f>
        <v>NORTE N3</v>
      </c>
    </row>
    <row r="14" spans="1:20" x14ac:dyDescent="0.35">
      <c r="A14" s="6">
        <f>base!A14</f>
        <v>5531423</v>
      </c>
      <c r="B14" s="7">
        <f>base!BN14</f>
        <v>46148.588483796295</v>
      </c>
      <c r="C14" s="6" t="str">
        <f>base!C14</f>
        <v>ZETABURGOS SRL</v>
      </c>
      <c r="D14" s="6" t="str">
        <f>base!E14</f>
        <v>POD-ENTREGADA</v>
      </c>
      <c r="E14" s="6" t="str">
        <f>base!BF14</f>
        <v>ESTADO FINAL</v>
      </c>
      <c r="G14" s="6">
        <f>base!G14</f>
        <v>47001328931</v>
      </c>
      <c r="H14" s="6" t="str">
        <f>base!I14</f>
        <v>FLEX</v>
      </c>
      <c r="I14" s="6" t="str">
        <f>base!S14</f>
        <v>Tune (Piso 7)</v>
      </c>
      <c r="J14" s="6" t="str">
        <f>base!T14</f>
        <v>Calle Tucuman 117</v>
      </c>
      <c r="K14" s="6" t="str">
        <f>base!U14</f>
        <v>San NicolÃ¡s</v>
      </c>
      <c r="L14" s="6" t="str">
        <f>base!Y14</f>
        <v>29218662 - SILVA, ARIEL</v>
      </c>
      <c r="M14" s="6">
        <f>base!AH14</f>
        <v>0</v>
      </c>
      <c r="N14" s="6">
        <f>base!AI14</f>
        <v>0</v>
      </c>
      <c r="O14" s="6">
        <f>base!BA14</f>
        <v>1049</v>
      </c>
      <c r="P14" s="7">
        <f>base!BK14</f>
        <v>46148.651817129627</v>
      </c>
      <c r="Q14" s="6" t="str">
        <f>base!BS14</f>
        <v>CABA C1</v>
      </c>
    </row>
    <row r="15" spans="1:20" x14ac:dyDescent="0.35">
      <c r="A15" s="6">
        <f>base!A15</f>
        <v>5531424</v>
      </c>
      <c r="B15" s="7">
        <f>base!BN15</f>
        <v>46148.588460648149</v>
      </c>
      <c r="C15" s="6" t="str">
        <f>base!C15</f>
        <v>ZETABURGOS SRL</v>
      </c>
      <c r="D15" s="6" t="str">
        <f>base!E15</f>
        <v>POD-ENTREGADA</v>
      </c>
      <c r="E15" s="6" t="str">
        <f>base!BF15</f>
        <v>ESTADO FINAL</v>
      </c>
      <c r="G15" s="6">
        <f>base!G15</f>
        <v>47001603072</v>
      </c>
      <c r="H15" s="6" t="str">
        <f>base!I15</f>
        <v>FLEX</v>
      </c>
      <c r="I15" s="6" t="str">
        <f>base!S15</f>
        <v>Tune (Piso 7)</v>
      </c>
      <c r="J15" s="6" t="str">
        <f>base!T15</f>
        <v>Calle Tucuman 117</v>
      </c>
      <c r="K15" s="6" t="str">
        <f>base!U15</f>
        <v>San NicolÃ¡s</v>
      </c>
      <c r="L15" s="6" t="str">
        <f>base!Y15</f>
        <v>29218662 - SILVA, ARIEL</v>
      </c>
      <c r="M15" s="6">
        <f>base!AH15</f>
        <v>0</v>
      </c>
      <c r="N15" s="6">
        <f>base!AI15</f>
        <v>0</v>
      </c>
      <c r="O15" s="6">
        <f>base!BA15</f>
        <v>1049</v>
      </c>
      <c r="P15" s="7">
        <f>base!BK15</f>
        <v>46148.652013888888</v>
      </c>
      <c r="Q15" s="6" t="str">
        <f>base!BS15</f>
        <v>CABA C1</v>
      </c>
    </row>
    <row r="16" spans="1:20" x14ac:dyDescent="0.35">
      <c r="A16" s="6">
        <f>base!A16</f>
        <v>5531425</v>
      </c>
      <c r="B16" s="7">
        <f>base!BN16</f>
        <v>46148.588437500002</v>
      </c>
      <c r="C16" s="6" t="str">
        <f>base!C16</f>
        <v>ZETABURGOS SRL</v>
      </c>
      <c r="D16" s="6" t="str">
        <f>base!E16</f>
        <v>POD-ENTREGADA</v>
      </c>
      <c r="E16" s="6" t="str">
        <f>base!BF16</f>
        <v>ESTADO FINAL</v>
      </c>
      <c r="G16" s="6">
        <f>base!G16</f>
        <v>47001328901</v>
      </c>
      <c r="H16" s="6" t="str">
        <f>base!I16</f>
        <v>FLEX</v>
      </c>
      <c r="I16" s="6" t="str">
        <f>base!S16</f>
        <v>Tune (Piso 7)</v>
      </c>
      <c r="J16" s="6" t="str">
        <f>base!T16</f>
        <v>Calle Tucuman 117</v>
      </c>
      <c r="K16" s="6" t="str">
        <f>base!U16</f>
        <v>San NicolÃ¡s</v>
      </c>
      <c r="L16" s="6" t="str">
        <f>base!Y16</f>
        <v>29218662 - SILVA, ARIEL</v>
      </c>
      <c r="M16" s="6">
        <f>base!AH16</f>
        <v>0</v>
      </c>
      <c r="N16" s="6">
        <f>base!AI16</f>
        <v>0</v>
      </c>
      <c r="O16" s="6">
        <f>base!BA16</f>
        <v>1049</v>
      </c>
      <c r="P16" s="7">
        <f>base!BK16</f>
        <v>46148.652187500003</v>
      </c>
      <c r="Q16" s="6" t="str">
        <f>base!BS16</f>
        <v>CABA C1</v>
      </c>
    </row>
    <row r="17" spans="1:17" x14ac:dyDescent="0.35">
      <c r="A17" s="6">
        <f>base!A17</f>
        <v>5531770</v>
      </c>
      <c r="B17" s="7">
        <f>base!BN17</f>
        <v>46148.582152777781</v>
      </c>
      <c r="C17" s="6" t="str">
        <f>base!C17</f>
        <v>ZETABURGOS SRL</v>
      </c>
      <c r="D17" s="6" t="str">
        <f>base!E17</f>
        <v>POD-ENTREGADA</v>
      </c>
      <c r="E17" s="6" t="str">
        <f>base!BF17</f>
        <v>ESTADO FINAL</v>
      </c>
      <c r="G17" s="6">
        <f>base!G17</f>
        <v>47001821812</v>
      </c>
      <c r="H17" s="6" t="str">
        <f>base!I17</f>
        <v>FLEX</v>
      </c>
      <c r="I17" s="6" t="str">
        <f>base!S17</f>
        <v>Pedro Sanchez</v>
      </c>
      <c r="J17" s="6" t="str">
        <f>base!T17</f>
        <v>Arevalo 3063</v>
      </c>
      <c r="K17" s="6" t="str">
        <f>base!U17</f>
        <v>Palermo</v>
      </c>
      <c r="L17" s="6" t="str">
        <f>base!Y17</f>
        <v>22963430 - BOCCUTI, ROSA PAULINA</v>
      </c>
      <c r="M17" s="6">
        <f>base!AH17</f>
        <v>0</v>
      </c>
      <c r="N17" s="6">
        <f>base!AI17</f>
        <v>0</v>
      </c>
      <c r="O17" s="6">
        <f>base!BA17</f>
        <v>1425</v>
      </c>
      <c r="P17" s="7">
        <f>base!BK17</f>
        <v>46148.888935185183</v>
      </c>
      <c r="Q17" s="6" t="str">
        <f>base!BS17</f>
        <v>CABA C14</v>
      </c>
    </row>
    <row r="18" spans="1:17" x14ac:dyDescent="0.35">
      <c r="A18" s="6">
        <f>base!A18</f>
        <v>5531802</v>
      </c>
      <c r="B18" s="7">
        <f>base!BN18</f>
        <v>46148.584687499999</v>
      </c>
      <c r="C18" s="6" t="str">
        <f>base!C18</f>
        <v>ZETABURGOS SRL</v>
      </c>
      <c r="D18" s="6" t="str">
        <f>base!E18</f>
        <v>POD-ENTREGADA</v>
      </c>
      <c r="E18" s="6" t="str">
        <f>base!BF18</f>
        <v>ESTADO FINAL</v>
      </c>
      <c r="G18" s="6">
        <f>base!G18</f>
        <v>47001589639</v>
      </c>
      <c r="H18" s="6" t="str">
        <f>base!I18</f>
        <v>FLEX</v>
      </c>
      <c r="I18" s="6" t="str">
        <f>base!S18</f>
        <v>linda Levy</v>
      </c>
      <c r="J18" s="6" t="str">
        <f>base!T18</f>
        <v>Avenida del Libertador 2213</v>
      </c>
      <c r="K18" s="6" t="str">
        <f>base!U18</f>
        <v>Palermo</v>
      </c>
      <c r="L18" s="6" t="str">
        <f>base!Y18</f>
        <v>22963430 - BOCCUTI, ROSA PAULINA</v>
      </c>
      <c r="M18" s="6">
        <f>base!AH18</f>
        <v>0</v>
      </c>
      <c r="N18" s="6">
        <f>base!AI18</f>
        <v>0</v>
      </c>
      <c r="O18" s="6">
        <f>base!BA18</f>
        <v>1425</v>
      </c>
      <c r="P18" s="7">
        <f>base!BK18</f>
        <v>46148.857233796298</v>
      </c>
      <c r="Q18" s="6" t="str">
        <f>base!BS18</f>
        <v>CABA C14</v>
      </c>
    </row>
    <row r="19" spans="1:17" x14ac:dyDescent="0.35">
      <c r="A19" s="6">
        <f>base!A19</f>
        <v>5531981</v>
      </c>
      <c r="B19" s="7">
        <f>base!BN19</f>
        <v>46148.587835648148</v>
      </c>
      <c r="C19" s="6" t="str">
        <f>base!C19</f>
        <v>ZETABURGOS SRL</v>
      </c>
      <c r="D19" s="6" t="str">
        <f>base!E19</f>
        <v>RC-En ruta para su entrega</v>
      </c>
      <c r="E19" s="6" t="str">
        <f>base!BF19</f>
        <v>ESTADO PENDIENTE</v>
      </c>
      <c r="G19" s="6" t="str">
        <f>base!G19</f>
        <v>2000016198948346-c</v>
      </c>
      <c r="H19" s="6" t="str">
        <f>base!I19</f>
        <v>Same day</v>
      </c>
      <c r="I19" s="6" t="str">
        <f>base!S19</f>
        <v>Karina Soto (SOTOKARINA33)</v>
      </c>
      <c r="J19" s="6" t="str">
        <f>base!T19</f>
        <v>Calle 6 2739</v>
      </c>
      <c r="K19" s="6" t="str">
        <f>base!U19</f>
        <v>Manuel B Gonnet</v>
      </c>
      <c r="L19" s="6" t="str">
        <f>base!Y19</f>
        <v>41557955 - CONTRERAS, ANABELLA</v>
      </c>
      <c r="M19" s="6">
        <f>base!AH19</f>
        <v>0</v>
      </c>
      <c r="N19" s="6">
        <f>base!AI19</f>
        <v>0</v>
      </c>
      <c r="O19" s="6">
        <f>base!BA19</f>
        <v>1897</v>
      </c>
      <c r="P19" s="7">
        <f>base!BK19</f>
        <v>46149</v>
      </c>
      <c r="Q19" s="6" t="str">
        <f>base!BS19</f>
        <v>SUR S3</v>
      </c>
    </row>
    <row r="20" spans="1:17" x14ac:dyDescent="0.35">
      <c r="A20" s="6">
        <f>base!A20</f>
        <v>5532510</v>
      </c>
      <c r="B20" s="7">
        <f>base!BN20</f>
        <v>46148.583368055559</v>
      </c>
      <c r="C20" s="6" t="str">
        <f>base!C20</f>
        <v>ZETABURGOS SRL</v>
      </c>
      <c r="D20" s="6" t="str">
        <f>base!E20</f>
        <v>POD-ENTREGADA</v>
      </c>
      <c r="E20" s="6" t="str">
        <f>base!BF20</f>
        <v>ESTADO FINAL</v>
      </c>
      <c r="G20" s="6">
        <f>base!G20</f>
        <v>47002610904</v>
      </c>
      <c r="H20" s="6" t="str">
        <f>base!I20</f>
        <v>FLEX</v>
      </c>
      <c r="I20" s="6" t="str">
        <f>base!S20</f>
        <v>Cristian Ricardo Corbellini</v>
      </c>
      <c r="J20" s="6" t="str">
        <f>base!T20</f>
        <v>Calle Pea 3083</v>
      </c>
      <c r="K20" s="6" t="str">
        <f>base!U20</f>
        <v>Recoleta</v>
      </c>
      <c r="L20" s="6" t="str">
        <f>base!Y20</f>
        <v>96117351P - TORREZ PR PM, MARBELIS</v>
      </c>
      <c r="M20" s="6">
        <f>base!AH20</f>
        <v>0</v>
      </c>
      <c r="N20" s="6">
        <f>base!AI20</f>
        <v>0</v>
      </c>
      <c r="O20" s="6">
        <f>base!BA20</f>
        <v>1425</v>
      </c>
      <c r="P20" s="7">
        <f>base!BK20</f>
        <v>46148.678379629629</v>
      </c>
      <c r="Q20" s="6" t="str">
        <f>base!BS20</f>
        <v>CABA C14</v>
      </c>
    </row>
    <row r="21" spans="1:17" x14ac:dyDescent="0.35">
      <c r="A21" s="6">
        <f>base!A21</f>
        <v>5532564</v>
      </c>
      <c r="B21" s="7">
        <f>base!BN21</f>
        <v>46148.583437499998</v>
      </c>
      <c r="C21" s="6" t="str">
        <f>base!C21</f>
        <v>ZETABURGOS SRL</v>
      </c>
      <c r="D21" s="6" t="str">
        <f>base!E21</f>
        <v>POD-ENTREGADA</v>
      </c>
      <c r="E21" s="6" t="str">
        <f>base!BF21</f>
        <v>ESTADO FINAL</v>
      </c>
      <c r="G21" s="6">
        <f>base!G21</f>
        <v>47002397055</v>
      </c>
      <c r="H21" s="6" t="str">
        <f>base!I21</f>
        <v>FLEX</v>
      </c>
      <c r="I21" s="6" t="str">
        <f>base!S21</f>
        <v>Agustin Miguel Cikes</v>
      </c>
      <c r="J21" s="6" t="str">
        <f>base!T21</f>
        <v>Everlinks Golf y Country Club - Lote 139 SN 0</v>
      </c>
      <c r="K21" s="6" t="str">
        <f>base!U21</f>
        <v>LujÃ¡n</v>
      </c>
      <c r="L21" s="6" t="str">
        <f>base!Y21</f>
        <v>17687556 - SOTELO, MIRIAM</v>
      </c>
      <c r="M21" s="6">
        <f>base!AH21</f>
        <v>0</v>
      </c>
      <c r="N21" s="6">
        <f>base!AI21</f>
        <v>0</v>
      </c>
      <c r="O21" s="6">
        <f>base!BA21</f>
        <v>6702</v>
      </c>
      <c r="P21" s="7">
        <f>base!BK21</f>
        <v>46148.869027777779</v>
      </c>
      <c r="Q21" s="6" t="str">
        <f>base!BS21</f>
        <v>OESTE O3</v>
      </c>
    </row>
    <row r="22" spans="1:17" x14ac:dyDescent="0.35">
      <c r="A22" s="6">
        <f>base!A22</f>
        <v>5532834</v>
      </c>
      <c r="B22" s="7">
        <f>base!BN22</f>
        <v>46148.585578703707</v>
      </c>
      <c r="C22" s="6" t="str">
        <f>base!C22</f>
        <v>ZETABURGOS SRL</v>
      </c>
      <c r="D22" s="6" t="str">
        <f>base!E22</f>
        <v>POD-ENTREGADA</v>
      </c>
      <c r="E22" s="6" t="str">
        <f>base!BF22</f>
        <v>ESTADO FINAL</v>
      </c>
      <c r="G22" s="6">
        <f>base!G22</f>
        <v>47002986994</v>
      </c>
      <c r="H22" s="6" t="str">
        <f>base!I22</f>
        <v>FLEX</v>
      </c>
      <c r="I22" s="6" t="str">
        <f>base!S22</f>
        <v>Gustavo Rodriguez</v>
      </c>
      <c r="J22" s="6" t="str">
        <f>base!T22</f>
        <v>Avenida Intendente Bullrich 481</v>
      </c>
      <c r="K22" s="6" t="str">
        <f>base!U22</f>
        <v>Palermo</v>
      </c>
      <c r="L22" s="6" t="str">
        <f>base!Y22</f>
        <v>37251859 - CASTELLANOS, LUIS FRANCO</v>
      </c>
      <c r="M22" s="6">
        <f>base!AH22</f>
        <v>0</v>
      </c>
      <c r="N22" s="6">
        <f>base!AI22</f>
        <v>0</v>
      </c>
      <c r="O22" s="6">
        <f>base!BA22</f>
        <v>1425</v>
      </c>
      <c r="P22" s="7">
        <f>base!BK22</f>
        <v>46148.789849537039</v>
      </c>
      <c r="Q22" s="6" t="str">
        <f>base!BS22</f>
        <v>CABA C14</v>
      </c>
    </row>
    <row r="23" spans="1:17" x14ac:dyDescent="0.35">
      <c r="A23" s="6">
        <f>base!A23</f>
        <v>5533020</v>
      </c>
      <c r="B23" s="7">
        <f>base!BN23</f>
        <v>46148.582430555558</v>
      </c>
      <c r="C23" s="6" t="str">
        <f>base!C23</f>
        <v>ZETABURGOS SRL</v>
      </c>
      <c r="D23" s="6" t="str">
        <f>base!E23</f>
        <v>POD-ENTREGADA</v>
      </c>
      <c r="E23" s="6" t="str">
        <f>base!BF23</f>
        <v>ESTADO FINAL</v>
      </c>
      <c r="G23" s="6">
        <f>base!G23</f>
        <v>47002363688</v>
      </c>
      <c r="H23" s="6" t="str">
        <f>base!I23</f>
        <v>FLEX</v>
      </c>
      <c r="I23" s="6" t="str">
        <f>base!S23</f>
        <v>Alfredo Jose Nieto</v>
      </c>
      <c r="J23" s="6" t="str">
        <f>base!T23</f>
        <v>Avenida de Los Corrales 7101</v>
      </c>
      <c r="K23" s="6" t="str">
        <f>base!U23</f>
        <v>Mataderos</v>
      </c>
      <c r="L23" s="6" t="str">
        <f>base!Y23</f>
        <v>38709841P - ARIAS PR PM, BRIAN EMANUEL</v>
      </c>
      <c r="M23" s="6">
        <f>base!AH23</f>
        <v>0</v>
      </c>
      <c r="N23" s="6">
        <f>base!AI23</f>
        <v>0</v>
      </c>
      <c r="O23" s="6">
        <f>base!BA23</f>
        <v>1440</v>
      </c>
      <c r="P23" s="7">
        <f>base!BK23</f>
        <v>46148.840937499997</v>
      </c>
      <c r="Q23" s="6" t="str">
        <f>base!BS23</f>
        <v>CABA C9</v>
      </c>
    </row>
    <row r="24" spans="1:17" x14ac:dyDescent="0.35">
      <c r="A24" s="6">
        <f>base!A24</f>
        <v>5533092</v>
      </c>
      <c r="B24" s="7">
        <f>base!BN24</f>
        <v>46148.651238425926</v>
      </c>
      <c r="C24" s="6" t="str">
        <f>base!C24</f>
        <v>ZETABURGOS SRL</v>
      </c>
      <c r="D24" s="6" t="str">
        <f>base!E24</f>
        <v>POD-ENTREGADA</v>
      </c>
      <c r="E24" s="6" t="str">
        <f>base!BF24</f>
        <v>ESTADO FINAL</v>
      </c>
      <c r="G24" s="6">
        <f>base!G24</f>
        <v>47003053030</v>
      </c>
      <c r="H24" s="6" t="str">
        <f>base!I24</f>
        <v>FLEX</v>
      </c>
      <c r="I24" s="6" t="str">
        <f>base!S24</f>
        <v>Berenice nieva</v>
      </c>
      <c r="J24" s="6" t="str">
        <f>base!T24</f>
        <v>Lavalle 2754</v>
      </c>
      <c r="K24" s="6" t="str">
        <f>base!U24</f>
        <v>San Vicente</v>
      </c>
      <c r="L24" s="6" t="str">
        <f>base!Y24</f>
        <v>42089762 - ARRUA, LEANDRO</v>
      </c>
      <c r="M24" s="6">
        <f>base!AH24</f>
        <v>0</v>
      </c>
      <c r="N24" s="6">
        <f>base!AI24</f>
        <v>0</v>
      </c>
      <c r="O24" s="6">
        <f>base!BA24</f>
        <v>1865</v>
      </c>
      <c r="P24" s="7">
        <f>base!BK24</f>
        <v>46148.806932870371</v>
      </c>
      <c r="Q24" s="6" t="str">
        <f>base!BS24</f>
        <v>SUR S3</v>
      </c>
    </row>
    <row r="25" spans="1:17" x14ac:dyDescent="0.35">
      <c r="A25" s="6">
        <f>base!A25</f>
        <v>5533132</v>
      </c>
      <c r="B25" s="7">
        <f>base!BN25</f>
        <v>46148.651134259257</v>
      </c>
      <c r="C25" s="6" t="str">
        <f>base!C25</f>
        <v>ZETABURGOS SRL</v>
      </c>
      <c r="D25" s="6" t="str">
        <f>base!E25</f>
        <v>POD-ENTREGADA</v>
      </c>
      <c r="E25" s="6" t="str">
        <f>base!BF25</f>
        <v>ESTADO FINAL</v>
      </c>
      <c r="G25" s="6">
        <f>base!G25</f>
        <v>47002843643</v>
      </c>
      <c r="H25" s="6" t="str">
        <f>base!I25</f>
        <v>FLEX</v>
      </c>
      <c r="I25" s="6" t="str">
        <f>base!S25</f>
        <v>Rodrigo Garcia</v>
      </c>
      <c r="J25" s="6" t="str">
        <f>base!T25</f>
        <v>Calle Moreno 625</v>
      </c>
      <c r="K25" s="6" t="str">
        <f>base!U25</f>
        <v>Quilmes</v>
      </c>
      <c r="L25" s="6" t="str">
        <f>base!Y25</f>
        <v>48645590 - RAMIREZ, NICOLAS DANIEL</v>
      </c>
      <c r="M25" s="6">
        <f>base!AH25</f>
        <v>0</v>
      </c>
      <c r="N25" s="6">
        <f>base!AI25</f>
        <v>0</v>
      </c>
      <c r="O25" s="6">
        <f>base!BA25</f>
        <v>1878</v>
      </c>
      <c r="P25" s="7">
        <f>base!BK25</f>
        <v>46148.800416666665</v>
      </c>
      <c r="Q25" s="6" t="str">
        <f>base!BS25</f>
        <v>SUR S2</v>
      </c>
    </row>
    <row r="26" spans="1:17" x14ac:dyDescent="0.35">
      <c r="A26" s="6">
        <f>base!A26</f>
        <v>5533250</v>
      </c>
      <c r="B26" s="7">
        <f>base!BN26</f>
        <v>46148.650555555556</v>
      </c>
      <c r="C26" s="6" t="str">
        <f>base!C26</f>
        <v>ZETABURGOS SRL</v>
      </c>
      <c r="D26" s="6" t="str">
        <f>base!E26</f>
        <v>POD-ENTREGADA</v>
      </c>
      <c r="E26" s="6" t="str">
        <f>base!BF26</f>
        <v>ESTADO FINAL</v>
      </c>
      <c r="G26" s="6">
        <f>base!G26</f>
        <v>47002957697</v>
      </c>
      <c r="H26" s="6" t="str">
        <f>base!I26</f>
        <v>FLEX</v>
      </c>
      <c r="I26" s="6" t="str">
        <f>base!S26</f>
        <v>Roberto Kohlhuber</v>
      </c>
      <c r="J26" s="6" t="str">
        <f>base!T26</f>
        <v>Intendente Pedro Oliveri 796</v>
      </c>
      <c r="K26" s="6" t="str">
        <f>base!U26</f>
        <v>Quilmes</v>
      </c>
      <c r="L26" s="6" t="str">
        <f>base!Y26</f>
        <v>48645590 - RAMIREZ, NICOLAS DANIEL</v>
      </c>
      <c r="M26" s="6">
        <f>base!AH26</f>
        <v>0</v>
      </c>
      <c r="N26" s="6">
        <f>base!AI26</f>
        <v>0</v>
      </c>
      <c r="O26" s="6">
        <f>base!BA26</f>
        <v>1878</v>
      </c>
      <c r="P26" s="7">
        <f>base!BK26</f>
        <v>46148.851111111115</v>
      </c>
      <c r="Q26" s="6" t="str">
        <f>base!BS26</f>
        <v>SUR S2</v>
      </c>
    </row>
    <row r="27" spans="1:17" x14ac:dyDescent="0.35">
      <c r="A27" s="6">
        <f>base!A27</f>
        <v>5533267</v>
      </c>
      <c r="B27" s="7">
        <f>base!BN27</f>
        <v>46148.651319444441</v>
      </c>
      <c r="C27" s="6" t="str">
        <f>base!C27</f>
        <v>ZETABURGOS SRL</v>
      </c>
      <c r="D27" s="6" t="str">
        <f>base!E27</f>
        <v>POD-ENTREGADA</v>
      </c>
      <c r="E27" s="6" t="str">
        <f>base!BF27</f>
        <v>ESTADO FINAL</v>
      </c>
      <c r="G27" s="6">
        <f>base!G27</f>
        <v>47002975633</v>
      </c>
      <c r="H27" s="6" t="str">
        <f>base!I27</f>
        <v>FLEX</v>
      </c>
      <c r="I27" s="6" t="str">
        <f>base!S27</f>
        <v>Carolina Gabriela Cordara</v>
      </c>
      <c r="J27" s="6" t="str">
        <f>base!T27</f>
        <v>Calle Jose de Amenabar 2249</v>
      </c>
      <c r="K27" s="6" t="str">
        <f>base!U27</f>
        <v>Belgrano</v>
      </c>
      <c r="L27" s="6" t="str">
        <f>base!Y27</f>
        <v>38199389 - ECHENIQUE, FEDERICO</v>
      </c>
      <c r="M27" s="6">
        <f>base!AH27</f>
        <v>0</v>
      </c>
      <c r="N27" s="6">
        <f>base!AI27</f>
        <v>0</v>
      </c>
      <c r="O27" s="6">
        <f>base!BA27</f>
        <v>1428</v>
      </c>
      <c r="P27" s="7">
        <f>base!BK27</f>
        <v>46148.777268518519</v>
      </c>
      <c r="Q27" s="6" t="str">
        <f>base!BS27</f>
        <v>CABA C12</v>
      </c>
    </row>
    <row r="28" spans="1:17" x14ac:dyDescent="0.35">
      <c r="A28" s="6">
        <f>base!A28</f>
        <v>5533282</v>
      </c>
      <c r="B28" s="7">
        <f>base!BN28</f>
        <v>46148.650914351849</v>
      </c>
      <c r="C28" s="6" t="str">
        <f>base!C28</f>
        <v>ZETABURGOS SRL</v>
      </c>
      <c r="D28" s="6" t="str">
        <f>base!E28</f>
        <v>POD-ENTREGADA</v>
      </c>
      <c r="E28" s="6" t="str">
        <f>base!BF28</f>
        <v>ESTADO FINAL</v>
      </c>
      <c r="G28" s="6">
        <f>base!G28</f>
        <v>47003272760</v>
      </c>
      <c r="H28" s="6" t="str">
        <f>base!I28</f>
        <v>FLEX</v>
      </c>
      <c r="I28" s="6" t="str">
        <f>base!S28</f>
        <v>Delfina Martignone</v>
      </c>
      <c r="J28" s="6" t="str">
        <f>base!T28</f>
        <v>Avenida del Libertador 5665</v>
      </c>
      <c r="K28" s="6" t="str">
        <f>base!U28</f>
        <v>Belgrano</v>
      </c>
      <c r="L28" s="6" t="str">
        <f>base!Y28</f>
        <v>23327646 - GANDINI, LEONARDO</v>
      </c>
      <c r="M28" s="6">
        <f>base!AH28</f>
        <v>0</v>
      </c>
      <c r="N28" s="6">
        <f>base!AI28</f>
        <v>0</v>
      </c>
      <c r="O28" s="6">
        <f>base!BA28</f>
        <v>1426</v>
      </c>
      <c r="P28" s="7">
        <f>base!BK28</f>
        <v>46148.780949074076</v>
      </c>
      <c r="Q28" s="6" t="str">
        <f>base!BS28</f>
        <v>CABA C14</v>
      </c>
    </row>
    <row r="29" spans="1:17" x14ac:dyDescent="0.35">
      <c r="A29" s="6">
        <f>base!A29</f>
        <v>5533415</v>
      </c>
      <c r="B29" s="7">
        <f>base!BN29</f>
        <v>46148.650590277779</v>
      </c>
      <c r="C29" s="6" t="str">
        <f>base!C29</f>
        <v>ZETABURGOS SRL</v>
      </c>
      <c r="D29" s="6" t="str">
        <f>base!E29</f>
        <v>POD-ENTREGADA</v>
      </c>
      <c r="E29" s="6" t="str">
        <f>base!BF29</f>
        <v>ESTADO FINAL</v>
      </c>
      <c r="G29" s="6">
        <f>base!G29</f>
        <v>47003386430</v>
      </c>
      <c r="H29" s="6" t="str">
        <f>base!I29</f>
        <v>FLEX</v>
      </c>
      <c r="I29" s="6" t="str">
        <f>base!S29</f>
        <v>Federico garcia</v>
      </c>
      <c r="J29" s="6" t="str">
        <f>base!T29</f>
        <v>Calle Doctor Luis Belaustegui 4825</v>
      </c>
      <c r="K29" s="6" t="str">
        <f>base!U29</f>
        <v>Floresta</v>
      </c>
      <c r="L29" s="6" t="str">
        <f>base!Y29</f>
        <v>36954970 - ALBORNOZ, SERGIO</v>
      </c>
      <c r="M29" s="6">
        <f>base!AH29</f>
        <v>0</v>
      </c>
      <c r="N29" s="6">
        <f>base!AI29</f>
        <v>0</v>
      </c>
      <c r="O29" s="6">
        <f>base!BA29</f>
        <v>1407</v>
      </c>
      <c r="P29" s="7">
        <f>base!BK29</f>
        <v>46148.799722222226</v>
      </c>
      <c r="Q29" s="6" t="str">
        <f>base!BS29</f>
        <v>CABA C11</v>
      </c>
    </row>
    <row r="30" spans="1:17" x14ac:dyDescent="0.35">
      <c r="A30" s="6">
        <f>base!A30</f>
        <v>5533481</v>
      </c>
      <c r="B30" s="7">
        <f>base!BN30</f>
        <v>46148.651180555556</v>
      </c>
      <c r="C30" s="6" t="str">
        <f>base!C30</f>
        <v>ZETABURGOS SRL</v>
      </c>
      <c r="D30" s="6" t="str">
        <f>base!E30</f>
        <v>POD-ENTREGADA</v>
      </c>
      <c r="E30" s="6" t="str">
        <f>base!BF30</f>
        <v>ESTADO FINAL</v>
      </c>
      <c r="G30" s="6">
        <f>base!G30</f>
        <v>47003169265</v>
      </c>
      <c r="H30" s="6" t="str">
        <f>base!I30</f>
        <v>FLEX</v>
      </c>
      <c r="I30" s="6" t="str">
        <f>base!S30</f>
        <v>Rosario egaÃ±a</v>
      </c>
      <c r="J30" s="6" t="str">
        <f>base!T30</f>
        <v>Corredor bancalari 3901</v>
      </c>
      <c r="K30" s="6" t="str">
        <f>base!U30</f>
        <v>General Pacheco</v>
      </c>
      <c r="L30" s="6" t="str">
        <f>base!Y30</f>
        <v>50011998 - PFAFFENCELLER - FLOTA DISTRI MAC, AMANDA VICTORIA</v>
      </c>
      <c r="M30" s="6">
        <f>base!AH30</f>
        <v>0</v>
      </c>
      <c r="N30" s="6">
        <f>base!AI30</f>
        <v>0</v>
      </c>
      <c r="O30" s="6">
        <f>base!BA30</f>
        <v>1617</v>
      </c>
      <c r="P30" s="7">
        <f>base!BK30</f>
        <v>46148.831284722219</v>
      </c>
      <c r="Q30" s="6" t="str">
        <f>base!BS30</f>
        <v>NORTE N2</v>
      </c>
    </row>
    <row r="31" spans="1:17" x14ac:dyDescent="0.35">
      <c r="A31" s="6">
        <f>base!A31</f>
        <v>5533483</v>
      </c>
      <c r="B31" s="7">
        <f>base!BN31</f>
        <v>46148.650671296295</v>
      </c>
      <c r="C31" s="6" t="str">
        <f>base!C31</f>
        <v>ZETABURGOS SRL</v>
      </c>
      <c r="D31" s="6" t="str">
        <f>base!E31</f>
        <v>POD-ENTREGADA</v>
      </c>
      <c r="E31" s="6" t="str">
        <f>base!BF31</f>
        <v>ESTADO FINAL</v>
      </c>
      <c r="G31" s="6">
        <f>base!G31</f>
        <v>47003446316</v>
      </c>
      <c r="H31" s="6" t="str">
        <f>base!I31</f>
        <v>FLEX</v>
      </c>
      <c r="I31" s="6" t="str">
        <f>base!S31</f>
        <v>Matias Luthard</v>
      </c>
      <c r="J31" s="6" t="str">
        <f>base!T31</f>
        <v>Calle Thames 2313</v>
      </c>
      <c r="K31" s="6" t="str">
        <f>base!U31</f>
        <v>Palermo</v>
      </c>
      <c r="L31" s="6" t="str">
        <f>base!Y31</f>
        <v>33061061 - SORIA-FLOTA GRUPO MAF, DAMIAN LUCIO</v>
      </c>
      <c r="M31" s="6">
        <f>base!AH31</f>
        <v>0</v>
      </c>
      <c r="N31" s="6">
        <f>base!AI31</f>
        <v>0</v>
      </c>
      <c r="O31" s="6">
        <f>base!BA31</f>
        <v>1425</v>
      </c>
      <c r="P31" s="7">
        <f>base!BK31</f>
        <v>46148.845717592594</v>
      </c>
      <c r="Q31" s="6" t="str">
        <f>base!BS31</f>
        <v>CABA C14</v>
      </c>
    </row>
    <row r="32" spans="1:17" x14ac:dyDescent="0.35">
      <c r="A32" s="6">
        <f>base!A32</f>
        <v>5534010</v>
      </c>
      <c r="B32" s="7">
        <f>base!BN32</f>
        <v>46148.650509259256</v>
      </c>
      <c r="C32" s="6" t="str">
        <f>base!C32</f>
        <v>ZETABURGOS SRL</v>
      </c>
      <c r="D32" s="6" t="str">
        <f>base!E32</f>
        <v>POD-ENTREGADA</v>
      </c>
      <c r="E32" s="6" t="str">
        <f>base!BF32</f>
        <v>ESTADO FINAL</v>
      </c>
      <c r="G32" s="6">
        <f>base!G32</f>
        <v>47003796464</v>
      </c>
      <c r="H32" s="6" t="str">
        <f>base!I32</f>
        <v>FLEX</v>
      </c>
      <c r="I32" s="6" t="str">
        <f>base!S32</f>
        <v>carlos bartozyk</v>
      </c>
      <c r="J32" s="6" t="str">
        <f>base!T32</f>
        <v>Calle Teniente Coronel Jorge Obon 2549</v>
      </c>
      <c r="K32" s="6" t="str">
        <f>base!U32</f>
        <v>LanÃºs</v>
      </c>
      <c r="L32" s="6" t="str">
        <f>base!Y32</f>
        <v>38587811 - ACHAVAL, ARIAN</v>
      </c>
      <c r="M32" s="6">
        <f>base!AH32</f>
        <v>0</v>
      </c>
      <c r="N32" s="6">
        <f>base!AI32</f>
        <v>0</v>
      </c>
      <c r="O32" s="6">
        <f>base!BA32</f>
        <v>1824</v>
      </c>
      <c r="P32" s="7">
        <f>base!BK32</f>
        <v>46148.747418981482</v>
      </c>
      <c r="Q32" s="6" t="str">
        <f>base!BS32</f>
        <v>SUR S1</v>
      </c>
    </row>
    <row r="33" spans="1:17" x14ac:dyDescent="0.35">
      <c r="A33" s="6">
        <f>base!A33</f>
        <v>5534025</v>
      </c>
      <c r="B33" s="7">
        <f>base!BN33</f>
        <v>46148.651377314818</v>
      </c>
      <c r="C33" s="6" t="str">
        <f>base!C33</f>
        <v>ZETABURGOS SRL</v>
      </c>
      <c r="D33" s="6" t="str">
        <f>base!E33</f>
        <v>POD-ENTREGADA</v>
      </c>
      <c r="E33" s="6" t="str">
        <f>base!BF33</f>
        <v>ESTADO FINAL</v>
      </c>
      <c r="G33" s="6">
        <f>base!G33</f>
        <v>47003546681</v>
      </c>
      <c r="H33" s="6" t="str">
        <f>base!I33</f>
        <v>FLEX</v>
      </c>
      <c r="I33" s="6" t="str">
        <f>base!S33</f>
        <v>Leonardo Javier Crugley</v>
      </c>
      <c r="J33" s="6" t="str">
        <f>base!T33</f>
        <v>Calle Marcos Riglos 957</v>
      </c>
      <c r="K33" s="6" t="str">
        <f>base!U33</f>
        <v>Parque Chacabuco</v>
      </c>
      <c r="L33" s="6" t="str">
        <f>base!Y33</f>
        <v>34693651P - CHAPARRO PR PM, RAMON</v>
      </c>
      <c r="M33" s="6" t="str">
        <f>base!AH33</f>
        <v>Leonardo Javier Crugley</v>
      </c>
      <c r="N33" s="6">
        <f>base!AI33</f>
        <v>0</v>
      </c>
      <c r="O33" s="6">
        <f>base!BA33</f>
        <v>1424</v>
      </c>
      <c r="P33" s="7">
        <f>base!BK33</f>
        <v>46148.815196759257</v>
      </c>
      <c r="Q33" s="6" t="str">
        <f>base!BS33</f>
        <v>CABA C4</v>
      </c>
    </row>
    <row r="34" spans="1:17" x14ac:dyDescent="0.35">
      <c r="A34" s="6">
        <f>base!A34</f>
        <v>5534036</v>
      </c>
      <c r="B34" s="7">
        <f>base!BN34</f>
        <v>46148.651076388887</v>
      </c>
      <c r="C34" s="6" t="str">
        <f>base!C34</f>
        <v>ZETABURGOS SRL</v>
      </c>
      <c r="D34" s="6" t="str">
        <f>base!E34</f>
        <v>POD-ENTREGADA</v>
      </c>
      <c r="E34" s="6" t="str">
        <f>base!BF34</f>
        <v>ESTADO FINAL</v>
      </c>
      <c r="G34" s="6">
        <f>base!G34</f>
        <v>47003067298</v>
      </c>
      <c r="H34" s="6" t="str">
        <f>base!I34</f>
        <v>FLEX</v>
      </c>
      <c r="I34" s="6" t="str">
        <f>base!S34</f>
        <v>Manuel Soria</v>
      </c>
      <c r="J34" s="6" t="str">
        <f>base!T34</f>
        <v>Boulevard de Todos los Santos 3500</v>
      </c>
      <c r="K34" s="6" t="str">
        <f>base!U34</f>
        <v>Dique LujÃ¡n</v>
      </c>
      <c r="L34" s="6" t="str">
        <f>base!Y34</f>
        <v>41768386 - GONZALEZ, CESAR NAHUEL</v>
      </c>
      <c r="M34" s="6">
        <f>base!AH34</f>
        <v>0</v>
      </c>
      <c r="N34" s="6">
        <f>base!AI34</f>
        <v>0</v>
      </c>
      <c r="O34" s="6">
        <f>base!BA34</f>
        <v>1622</v>
      </c>
      <c r="P34" s="7">
        <f>base!BK34</f>
        <v>46148.777951388889</v>
      </c>
      <c r="Q34" s="6" t="str">
        <f>base!BS34</f>
        <v>NORTE N2B</v>
      </c>
    </row>
    <row r="35" spans="1:17" x14ac:dyDescent="0.35">
      <c r="A35" s="6">
        <f>base!A35</f>
        <v>5534280</v>
      </c>
      <c r="B35" s="7">
        <f>base!BN35</f>
        <v>46148.650613425925</v>
      </c>
      <c r="C35" s="6" t="str">
        <f>base!C35</f>
        <v>ZETABURGOS SRL</v>
      </c>
      <c r="D35" s="6" t="str">
        <f>base!E35</f>
        <v>POD-ENTREGADA</v>
      </c>
      <c r="E35" s="6" t="str">
        <f>base!BF35</f>
        <v>ESTADO FINAL</v>
      </c>
      <c r="G35" s="6">
        <f>base!G35</f>
        <v>47003721201</v>
      </c>
      <c r="H35" s="6" t="str">
        <f>base!I35</f>
        <v>FLEX</v>
      </c>
      <c r="I35" s="6" t="str">
        <f>base!S35</f>
        <v>Karina Aurnague</v>
      </c>
      <c r="J35" s="6" t="str">
        <f>base!T35</f>
        <v>Calle Larrea 1132</v>
      </c>
      <c r="K35" s="6" t="str">
        <f>base!U35</f>
        <v>Ramos mejia</v>
      </c>
      <c r="L35" s="6" t="str">
        <f>base!Y35</f>
        <v>39375501P - SOSA PR PM, MARIANO NICOLAS</v>
      </c>
      <c r="M35" s="6">
        <f>base!AH35</f>
        <v>0</v>
      </c>
      <c r="N35" s="6">
        <f>base!AI35</f>
        <v>0</v>
      </c>
      <c r="O35" s="6">
        <f>base!BA35</f>
        <v>1704</v>
      </c>
      <c r="P35" s="7">
        <f>base!BK35</f>
        <v>46148.865405092591</v>
      </c>
      <c r="Q35" s="6" t="str">
        <f>base!BS35</f>
        <v>OESTE O1</v>
      </c>
    </row>
    <row r="36" spans="1:17" x14ac:dyDescent="0.35">
      <c r="A36" s="6">
        <f>base!A36</f>
        <v>5534617</v>
      </c>
      <c r="B36" s="7">
        <f>base!BN36</f>
        <v>46148.651203703703</v>
      </c>
      <c r="C36" s="6" t="str">
        <f>base!C36</f>
        <v>ZETABURGOS SRL</v>
      </c>
      <c r="D36" s="6" t="str">
        <f>base!E36</f>
        <v>POD-ENTREGADA</v>
      </c>
      <c r="E36" s="6" t="str">
        <f>base!BF36</f>
        <v>ESTADO FINAL</v>
      </c>
      <c r="G36" s="6">
        <f>base!G36</f>
        <v>47004473504</v>
      </c>
      <c r="H36" s="6" t="str">
        <f>base!I36</f>
        <v>FLEX</v>
      </c>
      <c r="I36" s="6" t="str">
        <f>base!S36</f>
        <v>Agustina Vila</v>
      </c>
      <c r="J36" s="6" t="str">
        <f>base!T36</f>
        <v>Calle Hualfin 891</v>
      </c>
      <c r="K36" s="6" t="str">
        <f>base!U36</f>
        <v>Caballito</v>
      </c>
      <c r="L36" s="6" t="str">
        <f>base!Y36</f>
        <v>44925898 - CABRERA, DANIEL</v>
      </c>
      <c r="M36" s="6">
        <f>base!AH36</f>
        <v>0</v>
      </c>
      <c r="N36" s="6">
        <f>base!AI36</f>
        <v>0</v>
      </c>
      <c r="O36" s="6">
        <f>base!BA36</f>
        <v>1424</v>
      </c>
      <c r="P36" s="7">
        <f>base!BK36</f>
        <v>46148.850995370369</v>
      </c>
      <c r="Q36" s="6" t="str">
        <f>base!BS36</f>
        <v>CABA C4</v>
      </c>
    </row>
    <row r="37" spans="1:17" x14ac:dyDescent="0.35">
      <c r="A37" s="6">
        <f>base!A37</f>
        <v>0</v>
      </c>
      <c r="B37" s="7">
        <f>base!BN37</f>
        <v>0</v>
      </c>
      <c r="C37" s="6">
        <f>base!C37</f>
        <v>0</v>
      </c>
      <c r="D37" s="6">
        <f>base!E37</f>
        <v>0</v>
      </c>
      <c r="E37" s="6">
        <f>base!BF37</f>
        <v>0</v>
      </c>
      <c r="G37" s="6">
        <f>base!G37</f>
        <v>0</v>
      </c>
      <c r="H37" s="6">
        <f>base!I37</f>
        <v>0</v>
      </c>
      <c r="I37" s="6">
        <f>base!S37</f>
        <v>0</v>
      </c>
      <c r="J37" s="6">
        <f>base!T37</f>
        <v>0</v>
      </c>
      <c r="K37" s="6">
        <f>base!U37</f>
        <v>0</v>
      </c>
      <c r="L37" s="6">
        <f>base!Y37</f>
        <v>0</v>
      </c>
      <c r="M37" s="6">
        <f>base!AH37</f>
        <v>0</v>
      </c>
      <c r="N37" s="6">
        <f>base!AI37</f>
        <v>0</v>
      </c>
      <c r="O37" s="6">
        <f>base!BA37</f>
        <v>0</v>
      </c>
      <c r="P37" s="7">
        <f>base!BK37</f>
        <v>0</v>
      </c>
      <c r="Q37" s="6">
        <f>base!BS37</f>
        <v>0</v>
      </c>
    </row>
    <row r="38" spans="1:17" x14ac:dyDescent="0.35">
      <c r="A38" s="6">
        <f>base!A38</f>
        <v>0</v>
      </c>
      <c r="B38" s="7">
        <f>base!BN38</f>
        <v>0</v>
      </c>
      <c r="C38" s="6">
        <f>base!C38</f>
        <v>0</v>
      </c>
      <c r="D38" s="6">
        <f>base!E38</f>
        <v>0</v>
      </c>
      <c r="E38" s="6">
        <f>base!BF38</f>
        <v>0</v>
      </c>
      <c r="G38" s="6">
        <f>base!G38</f>
        <v>0</v>
      </c>
      <c r="H38" s="6">
        <f>base!I38</f>
        <v>0</v>
      </c>
      <c r="I38" s="6">
        <f>base!S38</f>
        <v>0</v>
      </c>
      <c r="J38" s="6">
        <f>base!T38</f>
        <v>0</v>
      </c>
      <c r="K38" s="6">
        <f>base!U38</f>
        <v>0</v>
      </c>
      <c r="L38" s="6">
        <f>base!Y38</f>
        <v>0</v>
      </c>
      <c r="M38" s="6">
        <f>base!AH38</f>
        <v>0</v>
      </c>
      <c r="N38" s="6">
        <f>base!AI38</f>
        <v>0</v>
      </c>
      <c r="O38" s="6">
        <f>base!BA38</f>
        <v>0</v>
      </c>
      <c r="P38" s="7">
        <f>base!BK38</f>
        <v>0</v>
      </c>
      <c r="Q38" s="6">
        <f>base!BS38</f>
        <v>0</v>
      </c>
    </row>
    <row r="39" spans="1:17" x14ac:dyDescent="0.35">
      <c r="A39" s="6">
        <f>base!A39</f>
        <v>0</v>
      </c>
      <c r="B39" s="7">
        <f>base!BN39</f>
        <v>0</v>
      </c>
      <c r="C39" s="6">
        <f>base!C39</f>
        <v>0</v>
      </c>
      <c r="D39" s="6">
        <f>base!E39</f>
        <v>0</v>
      </c>
      <c r="E39" s="6">
        <f>base!BF39</f>
        <v>0</v>
      </c>
      <c r="G39" s="6">
        <f>base!G39</f>
        <v>0</v>
      </c>
      <c r="H39" s="6">
        <f>base!I39</f>
        <v>0</v>
      </c>
      <c r="I39" s="6">
        <f>base!S39</f>
        <v>0</v>
      </c>
      <c r="J39" s="6">
        <f>base!T39</f>
        <v>0</v>
      </c>
      <c r="K39" s="6">
        <f>base!U39</f>
        <v>0</v>
      </c>
      <c r="L39" s="6">
        <f>base!Y39</f>
        <v>0</v>
      </c>
      <c r="M39" s="6">
        <f>base!AH39</f>
        <v>0</v>
      </c>
      <c r="N39" s="6">
        <f>base!AI39</f>
        <v>0</v>
      </c>
      <c r="O39" s="6">
        <f>base!BA39</f>
        <v>0</v>
      </c>
      <c r="P39" s="7">
        <f>base!BK39</f>
        <v>0</v>
      </c>
      <c r="Q39" s="6">
        <f>base!BS39</f>
        <v>0</v>
      </c>
    </row>
    <row r="40" spans="1:17" x14ac:dyDescent="0.35">
      <c r="A40" s="6">
        <f>base!A40</f>
        <v>0</v>
      </c>
      <c r="B40" s="7">
        <f>base!BN40</f>
        <v>0</v>
      </c>
      <c r="C40" s="6">
        <f>base!C40</f>
        <v>0</v>
      </c>
      <c r="D40" s="6">
        <f>base!E40</f>
        <v>0</v>
      </c>
      <c r="E40" s="6">
        <f>base!BF40</f>
        <v>0</v>
      </c>
      <c r="G40" s="6">
        <f>base!G40</f>
        <v>0</v>
      </c>
      <c r="H40" s="6">
        <f>base!I40</f>
        <v>0</v>
      </c>
      <c r="I40" s="6">
        <f>base!S40</f>
        <v>0</v>
      </c>
      <c r="J40" s="6">
        <f>base!T40</f>
        <v>0</v>
      </c>
      <c r="K40" s="6">
        <f>base!U40</f>
        <v>0</v>
      </c>
      <c r="L40" s="6">
        <f>base!Y40</f>
        <v>0</v>
      </c>
      <c r="M40" s="6">
        <f>base!AH40</f>
        <v>0</v>
      </c>
      <c r="N40" s="6">
        <f>base!AI40</f>
        <v>0</v>
      </c>
      <c r="O40" s="6">
        <f>base!BA40</f>
        <v>0</v>
      </c>
      <c r="P40" s="7">
        <f>base!BK40</f>
        <v>0</v>
      </c>
      <c r="Q40" s="6">
        <f>base!BS40</f>
        <v>0</v>
      </c>
    </row>
    <row r="41" spans="1:17" x14ac:dyDescent="0.35">
      <c r="A41" s="6">
        <f>base!A41</f>
        <v>0</v>
      </c>
      <c r="B41" s="7">
        <f>base!BN41</f>
        <v>0</v>
      </c>
      <c r="C41" s="6">
        <f>base!C41</f>
        <v>0</v>
      </c>
      <c r="D41" s="6">
        <f>base!E41</f>
        <v>0</v>
      </c>
      <c r="E41" s="6">
        <f>base!BF41</f>
        <v>0</v>
      </c>
      <c r="G41" s="6">
        <f>base!G41</f>
        <v>0</v>
      </c>
      <c r="H41" s="6">
        <f>base!I41</f>
        <v>0</v>
      </c>
      <c r="I41" s="6">
        <f>base!S41</f>
        <v>0</v>
      </c>
      <c r="J41" s="6">
        <f>base!T41</f>
        <v>0</v>
      </c>
      <c r="K41" s="6">
        <f>base!U41</f>
        <v>0</v>
      </c>
      <c r="L41" s="6">
        <f>base!Y41</f>
        <v>0</v>
      </c>
      <c r="M41" s="6">
        <f>base!AH41</f>
        <v>0</v>
      </c>
      <c r="N41" s="6">
        <f>base!AI41</f>
        <v>0</v>
      </c>
      <c r="O41" s="6">
        <f>base!BA41</f>
        <v>0</v>
      </c>
      <c r="P41" s="7">
        <f>base!BK41</f>
        <v>0</v>
      </c>
      <c r="Q41" s="6">
        <f>base!BS41</f>
        <v>0</v>
      </c>
    </row>
    <row r="42" spans="1:17" x14ac:dyDescent="0.35">
      <c r="A42" s="6">
        <f>base!A42</f>
        <v>0</v>
      </c>
      <c r="B42" s="7">
        <f>base!BN42</f>
        <v>0</v>
      </c>
      <c r="C42" s="6">
        <f>base!C42</f>
        <v>0</v>
      </c>
      <c r="D42" s="6">
        <f>base!E42</f>
        <v>0</v>
      </c>
      <c r="E42" s="6">
        <f>base!BF42</f>
        <v>0</v>
      </c>
      <c r="G42" s="6">
        <f>base!G42</f>
        <v>0</v>
      </c>
      <c r="H42" s="6">
        <f>base!I42</f>
        <v>0</v>
      </c>
      <c r="I42" s="6">
        <f>base!S42</f>
        <v>0</v>
      </c>
      <c r="J42" s="6">
        <f>base!T42</f>
        <v>0</v>
      </c>
      <c r="K42" s="6">
        <f>base!U42</f>
        <v>0</v>
      </c>
      <c r="L42" s="6">
        <f>base!Y42</f>
        <v>0</v>
      </c>
      <c r="M42" s="6">
        <f>base!AH42</f>
        <v>0</v>
      </c>
      <c r="N42" s="6">
        <f>base!AI42</f>
        <v>0</v>
      </c>
      <c r="O42" s="6">
        <f>base!BA42</f>
        <v>0</v>
      </c>
      <c r="P42" s="7">
        <f>base!BK42</f>
        <v>0</v>
      </c>
      <c r="Q42" s="6">
        <f>base!BS42</f>
        <v>0</v>
      </c>
    </row>
    <row r="43" spans="1:17" x14ac:dyDescent="0.35">
      <c r="A43" s="6">
        <f>base!A43</f>
        <v>0</v>
      </c>
      <c r="B43" s="7">
        <f>base!BN43</f>
        <v>0</v>
      </c>
      <c r="C43" s="6">
        <f>base!C43</f>
        <v>0</v>
      </c>
      <c r="D43" s="6">
        <f>base!E43</f>
        <v>0</v>
      </c>
      <c r="E43" s="6">
        <f>base!BF43</f>
        <v>0</v>
      </c>
      <c r="G43" s="6">
        <f>base!G43</f>
        <v>0</v>
      </c>
      <c r="H43" s="6">
        <f>base!I43</f>
        <v>0</v>
      </c>
      <c r="I43" s="6">
        <f>base!S43</f>
        <v>0</v>
      </c>
      <c r="J43" s="6">
        <f>base!T43</f>
        <v>0</v>
      </c>
      <c r="K43" s="6">
        <f>base!U43</f>
        <v>0</v>
      </c>
      <c r="L43" s="6">
        <f>base!Y43</f>
        <v>0</v>
      </c>
      <c r="M43" s="6">
        <f>base!AH43</f>
        <v>0</v>
      </c>
      <c r="N43" s="6">
        <f>base!AI43</f>
        <v>0</v>
      </c>
      <c r="O43" s="6">
        <f>base!BA43</f>
        <v>0</v>
      </c>
      <c r="P43" s="7">
        <f>base!BK43</f>
        <v>0</v>
      </c>
      <c r="Q43" s="6">
        <f>base!BS43</f>
        <v>0</v>
      </c>
    </row>
    <row r="44" spans="1:17" x14ac:dyDescent="0.35">
      <c r="A44" s="6">
        <f>base!A44</f>
        <v>0</v>
      </c>
      <c r="B44" s="7">
        <f>base!BN44</f>
        <v>0</v>
      </c>
      <c r="C44" s="6">
        <f>base!C44</f>
        <v>0</v>
      </c>
      <c r="D44" s="6">
        <f>base!E44</f>
        <v>0</v>
      </c>
      <c r="E44" s="6">
        <f>base!BF44</f>
        <v>0</v>
      </c>
      <c r="G44" s="6">
        <f>base!G44</f>
        <v>0</v>
      </c>
      <c r="H44" s="6">
        <f>base!I44</f>
        <v>0</v>
      </c>
      <c r="I44" s="6">
        <f>base!S44</f>
        <v>0</v>
      </c>
      <c r="J44" s="6">
        <f>base!T44</f>
        <v>0</v>
      </c>
      <c r="K44" s="6">
        <f>base!U44</f>
        <v>0</v>
      </c>
      <c r="L44" s="6">
        <f>base!Y44</f>
        <v>0</v>
      </c>
      <c r="M44" s="6">
        <f>base!AH44</f>
        <v>0</v>
      </c>
      <c r="N44" s="6">
        <f>base!AI44</f>
        <v>0</v>
      </c>
      <c r="O44" s="6">
        <f>base!BA44</f>
        <v>0</v>
      </c>
      <c r="P44" s="7">
        <f>base!BK44</f>
        <v>0</v>
      </c>
      <c r="Q44" s="6">
        <f>base!BS44</f>
        <v>0</v>
      </c>
    </row>
    <row r="45" spans="1:17" x14ac:dyDescent="0.35">
      <c r="A45" s="6">
        <f>base!A45</f>
        <v>0</v>
      </c>
      <c r="B45" s="7">
        <f>base!BN45</f>
        <v>0</v>
      </c>
      <c r="C45" s="6">
        <f>base!C45</f>
        <v>0</v>
      </c>
      <c r="D45" s="6">
        <f>base!E45</f>
        <v>0</v>
      </c>
      <c r="E45" s="6">
        <f>base!BF45</f>
        <v>0</v>
      </c>
      <c r="G45" s="6">
        <f>base!G45</f>
        <v>0</v>
      </c>
      <c r="H45" s="6">
        <f>base!I45</f>
        <v>0</v>
      </c>
      <c r="I45" s="6">
        <f>base!S45</f>
        <v>0</v>
      </c>
      <c r="J45" s="6">
        <f>base!T45</f>
        <v>0</v>
      </c>
      <c r="K45" s="6">
        <f>base!U45</f>
        <v>0</v>
      </c>
      <c r="L45" s="6">
        <f>base!Y45</f>
        <v>0</v>
      </c>
      <c r="M45" s="6">
        <f>base!AH45</f>
        <v>0</v>
      </c>
      <c r="N45" s="6">
        <f>base!AI45</f>
        <v>0</v>
      </c>
      <c r="O45" s="6">
        <f>base!BA45</f>
        <v>0</v>
      </c>
      <c r="P45" s="7">
        <f>base!BK45</f>
        <v>0</v>
      </c>
      <c r="Q45" s="6">
        <f>base!BS45</f>
        <v>0</v>
      </c>
    </row>
    <row r="46" spans="1:17" x14ac:dyDescent="0.35">
      <c r="A46" s="6">
        <f>base!A46</f>
        <v>0</v>
      </c>
      <c r="B46" s="7">
        <f>base!BN46</f>
        <v>0</v>
      </c>
      <c r="C46" s="6">
        <f>base!C46</f>
        <v>0</v>
      </c>
      <c r="D46" s="6">
        <f>base!E46</f>
        <v>0</v>
      </c>
      <c r="E46" s="6">
        <f>base!BF46</f>
        <v>0</v>
      </c>
      <c r="G46" s="6">
        <f>base!G46</f>
        <v>0</v>
      </c>
      <c r="H46" s="6">
        <f>base!I46</f>
        <v>0</v>
      </c>
      <c r="I46" s="6">
        <f>base!S46</f>
        <v>0</v>
      </c>
      <c r="J46" s="6">
        <f>base!T46</f>
        <v>0</v>
      </c>
      <c r="K46" s="6">
        <f>base!U46</f>
        <v>0</v>
      </c>
      <c r="L46" s="6">
        <f>base!Y46</f>
        <v>0</v>
      </c>
      <c r="M46" s="6">
        <f>base!AH46</f>
        <v>0</v>
      </c>
      <c r="N46" s="6">
        <f>base!AI46</f>
        <v>0</v>
      </c>
      <c r="O46" s="6">
        <f>base!BA46</f>
        <v>0</v>
      </c>
      <c r="P46" s="7">
        <f>base!BK46</f>
        <v>0</v>
      </c>
      <c r="Q46" s="6">
        <f>base!BS46</f>
        <v>0</v>
      </c>
    </row>
    <row r="47" spans="1:17" x14ac:dyDescent="0.35">
      <c r="A47" s="6">
        <f>base!A47</f>
        <v>0</v>
      </c>
      <c r="B47" s="7">
        <f>base!BN47</f>
        <v>0</v>
      </c>
      <c r="C47" s="6">
        <f>base!C47</f>
        <v>0</v>
      </c>
      <c r="D47" s="6">
        <f>base!E47</f>
        <v>0</v>
      </c>
      <c r="E47" s="6">
        <f>base!BF47</f>
        <v>0</v>
      </c>
      <c r="G47" s="6">
        <f>base!G47</f>
        <v>0</v>
      </c>
      <c r="H47" s="6">
        <f>base!I47</f>
        <v>0</v>
      </c>
      <c r="I47" s="6">
        <f>base!S47</f>
        <v>0</v>
      </c>
      <c r="J47" s="6">
        <f>base!T47</f>
        <v>0</v>
      </c>
      <c r="K47" s="6">
        <f>base!U47</f>
        <v>0</v>
      </c>
      <c r="L47" s="6">
        <f>base!Y47</f>
        <v>0</v>
      </c>
      <c r="M47" s="6">
        <f>base!AH47</f>
        <v>0</v>
      </c>
      <c r="N47" s="6">
        <f>base!AI47</f>
        <v>0</v>
      </c>
      <c r="O47" s="6">
        <f>base!BA47</f>
        <v>0</v>
      </c>
      <c r="P47" s="7">
        <f>base!BK47</f>
        <v>0</v>
      </c>
      <c r="Q47" s="6">
        <f>base!BS47</f>
        <v>0</v>
      </c>
    </row>
    <row r="48" spans="1:17" x14ac:dyDescent="0.35">
      <c r="A48" s="6">
        <f>base!A48</f>
        <v>0</v>
      </c>
      <c r="B48" s="7">
        <f>base!BN48</f>
        <v>0</v>
      </c>
      <c r="C48" s="6">
        <f>base!C48</f>
        <v>0</v>
      </c>
      <c r="D48" s="6">
        <f>base!E48</f>
        <v>0</v>
      </c>
      <c r="E48" s="6">
        <f>base!BF48</f>
        <v>0</v>
      </c>
      <c r="G48" s="6">
        <f>base!G48</f>
        <v>0</v>
      </c>
      <c r="H48" s="6">
        <f>base!I48</f>
        <v>0</v>
      </c>
      <c r="I48" s="6">
        <f>base!S48</f>
        <v>0</v>
      </c>
      <c r="J48" s="6">
        <f>base!T48</f>
        <v>0</v>
      </c>
      <c r="K48" s="6">
        <f>base!U48</f>
        <v>0</v>
      </c>
      <c r="L48" s="6">
        <f>base!Y48</f>
        <v>0</v>
      </c>
      <c r="M48" s="6">
        <f>base!AH48</f>
        <v>0</v>
      </c>
      <c r="N48" s="6">
        <f>base!AI48</f>
        <v>0</v>
      </c>
      <c r="O48" s="6">
        <f>base!BA48</f>
        <v>0</v>
      </c>
      <c r="P48" s="7">
        <f>base!BK48</f>
        <v>0</v>
      </c>
      <c r="Q48" s="6">
        <f>base!BS48</f>
        <v>0</v>
      </c>
    </row>
    <row r="49" spans="1:17" x14ac:dyDescent="0.35">
      <c r="A49" s="6">
        <f>base!A49</f>
        <v>0</v>
      </c>
      <c r="B49" s="7">
        <f>base!BN49</f>
        <v>0</v>
      </c>
      <c r="C49" s="6">
        <f>base!C49</f>
        <v>0</v>
      </c>
      <c r="D49" s="6">
        <f>base!E49</f>
        <v>0</v>
      </c>
      <c r="E49" s="6">
        <f>base!BF49</f>
        <v>0</v>
      </c>
      <c r="G49" s="6">
        <f>base!G49</f>
        <v>0</v>
      </c>
      <c r="H49" s="6">
        <f>base!I49</f>
        <v>0</v>
      </c>
      <c r="I49" s="6">
        <f>base!S49</f>
        <v>0</v>
      </c>
      <c r="J49" s="6">
        <f>base!T49</f>
        <v>0</v>
      </c>
      <c r="K49" s="6">
        <f>base!U49</f>
        <v>0</v>
      </c>
      <c r="L49" s="6">
        <f>base!Y49</f>
        <v>0</v>
      </c>
      <c r="M49" s="6">
        <f>base!AH49</f>
        <v>0</v>
      </c>
      <c r="N49" s="6">
        <f>base!AI49</f>
        <v>0</v>
      </c>
      <c r="O49" s="6">
        <f>base!BA49</f>
        <v>0</v>
      </c>
      <c r="P49" s="7">
        <f>base!BK49</f>
        <v>0</v>
      </c>
      <c r="Q49" s="6">
        <f>base!BS49</f>
        <v>0</v>
      </c>
    </row>
    <row r="50" spans="1:17" x14ac:dyDescent="0.35">
      <c r="A50" s="6">
        <f>base!A50</f>
        <v>0</v>
      </c>
      <c r="B50" s="7">
        <f>base!BN50</f>
        <v>0</v>
      </c>
      <c r="C50" s="6">
        <f>base!C50</f>
        <v>0</v>
      </c>
      <c r="D50" s="6">
        <f>base!E50</f>
        <v>0</v>
      </c>
      <c r="E50" s="6">
        <f>base!BF50</f>
        <v>0</v>
      </c>
      <c r="G50" s="6">
        <f>base!G50</f>
        <v>0</v>
      </c>
      <c r="H50" s="6">
        <f>base!I50</f>
        <v>0</v>
      </c>
      <c r="I50" s="6">
        <f>base!S50</f>
        <v>0</v>
      </c>
      <c r="J50" s="6">
        <f>base!T50</f>
        <v>0</v>
      </c>
      <c r="K50" s="6">
        <f>base!U50</f>
        <v>0</v>
      </c>
      <c r="L50" s="6">
        <f>base!Y50</f>
        <v>0</v>
      </c>
      <c r="M50" s="6">
        <f>base!AH50</f>
        <v>0</v>
      </c>
      <c r="N50" s="6">
        <f>base!AI50</f>
        <v>0</v>
      </c>
      <c r="O50" s="6">
        <f>base!BA50</f>
        <v>0</v>
      </c>
      <c r="P50" s="7">
        <f>base!BK50</f>
        <v>0</v>
      </c>
      <c r="Q50" s="6">
        <f>base!BS50</f>
        <v>0</v>
      </c>
    </row>
    <row r="51" spans="1:17" x14ac:dyDescent="0.35">
      <c r="A51" s="6">
        <f>base!A51</f>
        <v>0</v>
      </c>
      <c r="B51" s="7">
        <f>base!BN51</f>
        <v>0</v>
      </c>
      <c r="C51" s="6">
        <f>base!C51</f>
        <v>0</v>
      </c>
      <c r="D51" s="6">
        <f>base!E51</f>
        <v>0</v>
      </c>
      <c r="E51" s="6">
        <f>base!BF51</f>
        <v>0</v>
      </c>
      <c r="G51" s="6">
        <f>base!G51</f>
        <v>0</v>
      </c>
      <c r="H51" s="6">
        <f>base!I51</f>
        <v>0</v>
      </c>
      <c r="I51" s="6">
        <f>base!S51</f>
        <v>0</v>
      </c>
      <c r="J51" s="6">
        <f>base!T51</f>
        <v>0</v>
      </c>
      <c r="K51" s="6">
        <f>base!U51</f>
        <v>0</v>
      </c>
      <c r="L51" s="6">
        <f>base!Y51</f>
        <v>0</v>
      </c>
      <c r="M51" s="6">
        <f>base!AH51</f>
        <v>0</v>
      </c>
      <c r="N51" s="6">
        <f>base!AI51</f>
        <v>0</v>
      </c>
      <c r="O51" s="6">
        <f>base!BA51</f>
        <v>0</v>
      </c>
      <c r="P51" s="7">
        <f>base!BK51</f>
        <v>0</v>
      </c>
      <c r="Q51" s="6">
        <f>base!BS51</f>
        <v>0</v>
      </c>
    </row>
    <row r="52" spans="1:17" x14ac:dyDescent="0.35">
      <c r="A52" s="6">
        <f>base!A52</f>
        <v>0</v>
      </c>
      <c r="B52" s="7">
        <f>base!BN52</f>
        <v>0</v>
      </c>
      <c r="C52" s="6">
        <f>base!C52</f>
        <v>0</v>
      </c>
      <c r="D52" s="6">
        <f>base!E52</f>
        <v>0</v>
      </c>
      <c r="E52" s="6">
        <f>base!BF52</f>
        <v>0</v>
      </c>
      <c r="G52" s="6">
        <f>base!G52</f>
        <v>0</v>
      </c>
      <c r="H52" s="6">
        <f>base!I52</f>
        <v>0</v>
      </c>
      <c r="I52" s="6">
        <f>base!S52</f>
        <v>0</v>
      </c>
      <c r="J52" s="6">
        <f>base!T52</f>
        <v>0</v>
      </c>
      <c r="K52" s="6">
        <f>base!U52</f>
        <v>0</v>
      </c>
      <c r="L52" s="6">
        <f>base!Y52</f>
        <v>0</v>
      </c>
      <c r="M52" s="6">
        <f>base!AH52</f>
        <v>0</v>
      </c>
      <c r="N52" s="6">
        <f>base!AI52</f>
        <v>0</v>
      </c>
      <c r="O52" s="6">
        <f>base!BA52</f>
        <v>0</v>
      </c>
      <c r="P52" s="7">
        <f>base!BK52</f>
        <v>0</v>
      </c>
      <c r="Q52" s="6">
        <f>base!BS52</f>
        <v>0</v>
      </c>
    </row>
    <row r="53" spans="1:17" x14ac:dyDescent="0.35">
      <c r="A53" s="6">
        <f>base!A53</f>
        <v>0</v>
      </c>
      <c r="B53" s="7">
        <f>base!BN53</f>
        <v>0</v>
      </c>
      <c r="C53" s="6">
        <f>base!C53</f>
        <v>0</v>
      </c>
      <c r="D53" s="6">
        <f>base!E53</f>
        <v>0</v>
      </c>
      <c r="E53" s="6">
        <f>base!BF53</f>
        <v>0</v>
      </c>
      <c r="G53" s="6">
        <f>base!G53</f>
        <v>0</v>
      </c>
      <c r="H53" s="6">
        <f>base!I53</f>
        <v>0</v>
      </c>
      <c r="I53" s="6">
        <f>base!S53</f>
        <v>0</v>
      </c>
      <c r="J53" s="6">
        <f>base!T53</f>
        <v>0</v>
      </c>
      <c r="K53" s="6">
        <f>base!U53</f>
        <v>0</v>
      </c>
      <c r="L53" s="6">
        <f>base!Y53</f>
        <v>0</v>
      </c>
      <c r="M53" s="6">
        <f>base!AH53</f>
        <v>0</v>
      </c>
      <c r="N53" s="6">
        <f>base!AI53</f>
        <v>0</v>
      </c>
      <c r="O53" s="6">
        <f>base!BA53</f>
        <v>0</v>
      </c>
      <c r="P53" s="7">
        <f>base!BK53</f>
        <v>0</v>
      </c>
      <c r="Q53" s="6">
        <f>base!BS53</f>
        <v>0</v>
      </c>
    </row>
    <row r="54" spans="1:17" x14ac:dyDescent="0.35">
      <c r="A54" s="6">
        <f>base!A54</f>
        <v>0</v>
      </c>
      <c r="B54" s="7">
        <f>base!BN54</f>
        <v>0</v>
      </c>
      <c r="C54" s="6">
        <f>base!C54</f>
        <v>0</v>
      </c>
      <c r="D54" s="6">
        <f>base!E54</f>
        <v>0</v>
      </c>
      <c r="E54" s="6">
        <f>base!BF54</f>
        <v>0</v>
      </c>
      <c r="G54" s="6">
        <f>base!G54</f>
        <v>0</v>
      </c>
      <c r="H54" s="6">
        <f>base!I54</f>
        <v>0</v>
      </c>
      <c r="I54" s="6">
        <f>base!S54</f>
        <v>0</v>
      </c>
      <c r="J54" s="6">
        <f>base!T54</f>
        <v>0</v>
      </c>
      <c r="K54" s="6">
        <f>base!U54</f>
        <v>0</v>
      </c>
      <c r="L54" s="6">
        <f>base!Y54</f>
        <v>0</v>
      </c>
      <c r="M54" s="6">
        <f>base!AH54</f>
        <v>0</v>
      </c>
      <c r="N54" s="6">
        <f>base!AI54</f>
        <v>0</v>
      </c>
      <c r="O54" s="6">
        <f>base!BA54</f>
        <v>0</v>
      </c>
      <c r="P54" s="7">
        <f>base!BK54</f>
        <v>0</v>
      </c>
      <c r="Q54" s="6">
        <f>base!BS54</f>
        <v>0</v>
      </c>
    </row>
    <row r="55" spans="1:17" x14ac:dyDescent="0.35">
      <c r="A55" s="6">
        <f>base!A55</f>
        <v>0</v>
      </c>
      <c r="B55" s="7">
        <f>base!BN55</f>
        <v>0</v>
      </c>
      <c r="C55" s="6">
        <f>base!C55</f>
        <v>0</v>
      </c>
      <c r="D55" s="6">
        <f>base!E55</f>
        <v>0</v>
      </c>
      <c r="E55" s="6">
        <f>base!BF55</f>
        <v>0</v>
      </c>
      <c r="G55" s="6">
        <f>base!G55</f>
        <v>0</v>
      </c>
      <c r="H55" s="6">
        <f>base!I55</f>
        <v>0</v>
      </c>
      <c r="I55" s="6">
        <f>base!S55</f>
        <v>0</v>
      </c>
      <c r="J55" s="6">
        <f>base!T55</f>
        <v>0</v>
      </c>
      <c r="K55" s="6">
        <f>base!U55</f>
        <v>0</v>
      </c>
      <c r="L55" s="6">
        <f>base!Y55</f>
        <v>0</v>
      </c>
      <c r="M55" s="6">
        <f>base!AH55</f>
        <v>0</v>
      </c>
      <c r="N55" s="6">
        <f>base!AI55</f>
        <v>0</v>
      </c>
      <c r="O55" s="6">
        <f>base!BA55</f>
        <v>0</v>
      </c>
      <c r="P55" s="7">
        <f>base!BK55</f>
        <v>0</v>
      </c>
      <c r="Q55" s="6">
        <f>base!BS55</f>
        <v>0</v>
      </c>
    </row>
    <row r="56" spans="1:17" x14ac:dyDescent="0.35">
      <c r="A56" s="6">
        <f>base!A56</f>
        <v>0</v>
      </c>
      <c r="B56" s="7">
        <f>base!BN56</f>
        <v>0</v>
      </c>
      <c r="C56" s="6">
        <f>base!C56</f>
        <v>0</v>
      </c>
      <c r="D56" s="6">
        <f>base!E56</f>
        <v>0</v>
      </c>
      <c r="E56" s="6">
        <f>base!BF56</f>
        <v>0</v>
      </c>
      <c r="G56" s="6">
        <f>base!G56</f>
        <v>0</v>
      </c>
      <c r="H56" s="6">
        <f>base!I56</f>
        <v>0</v>
      </c>
      <c r="I56" s="6">
        <f>base!S56</f>
        <v>0</v>
      </c>
      <c r="J56" s="6">
        <f>base!T56</f>
        <v>0</v>
      </c>
      <c r="K56" s="6">
        <f>base!U56</f>
        <v>0</v>
      </c>
      <c r="L56" s="6">
        <f>base!Y56</f>
        <v>0</v>
      </c>
      <c r="M56" s="6">
        <f>base!AH56</f>
        <v>0</v>
      </c>
      <c r="N56" s="6">
        <f>base!AI56</f>
        <v>0</v>
      </c>
      <c r="O56" s="6">
        <f>base!BA56</f>
        <v>0</v>
      </c>
      <c r="P56" s="7">
        <f>base!BK56</f>
        <v>0</v>
      </c>
      <c r="Q56" s="6">
        <f>base!BS56</f>
        <v>0</v>
      </c>
    </row>
    <row r="57" spans="1:17" x14ac:dyDescent="0.35">
      <c r="A57" s="6">
        <f>base!A57</f>
        <v>0</v>
      </c>
      <c r="B57" s="7">
        <f>base!BN57</f>
        <v>0</v>
      </c>
      <c r="C57" s="6">
        <f>base!C57</f>
        <v>0</v>
      </c>
      <c r="D57" s="6">
        <f>base!E57</f>
        <v>0</v>
      </c>
      <c r="E57" s="6">
        <f>base!BF57</f>
        <v>0</v>
      </c>
      <c r="G57" s="6">
        <f>base!G57</f>
        <v>0</v>
      </c>
      <c r="H57" s="6">
        <f>base!I57</f>
        <v>0</v>
      </c>
      <c r="I57" s="6">
        <f>base!S57</f>
        <v>0</v>
      </c>
      <c r="J57" s="6">
        <f>base!T57</f>
        <v>0</v>
      </c>
      <c r="K57" s="6">
        <f>base!U57</f>
        <v>0</v>
      </c>
      <c r="L57" s="6">
        <f>base!Y57</f>
        <v>0</v>
      </c>
      <c r="M57" s="6">
        <f>base!AH57</f>
        <v>0</v>
      </c>
      <c r="N57" s="6">
        <f>base!AI57</f>
        <v>0</v>
      </c>
      <c r="O57" s="6">
        <f>base!BA57</f>
        <v>0</v>
      </c>
      <c r="P57" s="7">
        <f>base!BK57</f>
        <v>0</v>
      </c>
      <c r="Q57" s="6">
        <f>base!BS57</f>
        <v>0</v>
      </c>
    </row>
    <row r="58" spans="1:17" x14ac:dyDescent="0.35">
      <c r="A58" s="6">
        <f>base!A58</f>
        <v>0</v>
      </c>
      <c r="B58" s="7">
        <f>base!BN58</f>
        <v>0</v>
      </c>
      <c r="C58" s="6">
        <f>base!C58</f>
        <v>0</v>
      </c>
      <c r="D58" s="6">
        <f>base!E58</f>
        <v>0</v>
      </c>
      <c r="E58" s="6">
        <f>base!BF58</f>
        <v>0</v>
      </c>
      <c r="G58" s="6">
        <f>base!G58</f>
        <v>0</v>
      </c>
      <c r="H58" s="6">
        <f>base!I58</f>
        <v>0</v>
      </c>
      <c r="I58" s="6">
        <f>base!S58</f>
        <v>0</v>
      </c>
      <c r="J58" s="6">
        <f>base!T58</f>
        <v>0</v>
      </c>
      <c r="K58" s="6">
        <f>base!U58</f>
        <v>0</v>
      </c>
      <c r="L58" s="6">
        <f>base!Y58</f>
        <v>0</v>
      </c>
      <c r="M58" s="6">
        <f>base!AH58</f>
        <v>0</v>
      </c>
      <c r="N58" s="6">
        <f>base!AI58</f>
        <v>0</v>
      </c>
      <c r="O58" s="6">
        <f>base!BA58</f>
        <v>0</v>
      </c>
      <c r="P58" s="7">
        <f>base!BK58</f>
        <v>0</v>
      </c>
      <c r="Q58" s="6">
        <f>base!BS58</f>
        <v>0</v>
      </c>
    </row>
    <row r="59" spans="1:17" x14ac:dyDescent="0.35">
      <c r="A59" s="6">
        <f>base!A59</f>
        <v>0</v>
      </c>
      <c r="B59" s="7">
        <f>base!BN59</f>
        <v>0</v>
      </c>
      <c r="C59" s="6">
        <f>base!C59</f>
        <v>0</v>
      </c>
      <c r="D59" s="6">
        <f>base!E59</f>
        <v>0</v>
      </c>
      <c r="E59" s="6">
        <f>base!BF59</f>
        <v>0</v>
      </c>
      <c r="G59" s="6">
        <f>base!G59</f>
        <v>0</v>
      </c>
      <c r="H59" s="6">
        <f>base!I59</f>
        <v>0</v>
      </c>
      <c r="I59" s="6">
        <f>base!S59</f>
        <v>0</v>
      </c>
      <c r="J59" s="6">
        <f>base!T59</f>
        <v>0</v>
      </c>
      <c r="K59" s="6">
        <f>base!U59</f>
        <v>0</v>
      </c>
      <c r="L59" s="6">
        <f>base!Y59</f>
        <v>0</v>
      </c>
      <c r="M59" s="6">
        <f>base!AH59</f>
        <v>0</v>
      </c>
      <c r="N59" s="6">
        <f>base!AI59</f>
        <v>0</v>
      </c>
      <c r="O59" s="6">
        <f>base!BA59</f>
        <v>0</v>
      </c>
      <c r="P59" s="7">
        <f>base!BK59</f>
        <v>0</v>
      </c>
      <c r="Q59" s="6">
        <f>base!BS59</f>
        <v>0</v>
      </c>
    </row>
    <row r="60" spans="1:17" x14ac:dyDescent="0.35">
      <c r="A60" s="6">
        <f>base!A60</f>
        <v>0</v>
      </c>
      <c r="B60" s="7">
        <f>base!BN60</f>
        <v>0</v>
      </c>
      <c r="C60" s="6">
        <f>base!C60</f>
        <v>0</v>
      </c>
      <c r="D60" s="6">
        <f>base!E60</f>
        <v>0</v>
      </c>
      <c r="E60" s="6">
        <f>base!BF60</f>
        <v>0</v>
      </c>
      <c r="G60" s="6">
        <f>base!G60</f>
        <v>0</v>
      </c>
      <c r="H60" s="6">
        <f>base!I60</f>
        <v>0</v>
      </c>
      <c r="I60" s="6">
        <f>base!S60</f>
        <v>0</v>
      </c>
      <c r="J60" s="6">
        <f>base!T60</f>
        <v>0</v>
      </c>
      <c r="K60" s="6">
        <f>base!U60</f>
        <v>0</v>
      </c>
      <c r="L60" s="6">
        <f>base!Y60</f>
        <v>0</v>
      </c>
      <c r="M60" s="6">
        <f>base!AH60</f>
        <v>0</v>
      </c>
      <c r="N60" s="6">
        <f>base!AI60</f>
        <v>0</v>
      </c>
      <c r="O60" s="6">
        <f>base!BA60</f>
        <v>0</v>
      </c>
      <c r="P60" s="7">
        <f>base!BK60</f>
        <v>0</v>
      </c>
      <c r="Q60" s="6">
        <f>base!BS60</f>
        <v>0</v>
      </c>
    </row>
    <row r="61" spans="1:17" x14ac:dyDescent="0.35">
      <c r="A61" s="6">
        <f>base!A61</f>
        <v>0</v>
      </c>
      <c r="B61" s="7">
        <f>base!BN61</f>
        <v>0</v>
      </c>
      <c r="C61" s="6">
        <f>base!C61</f>
        <v>0</v>
      </c>
      <c r="D61" s="6">
        <f>base!E61</f>
        <v>0</v>
      </c>
      <c r="E61" s="6">
        <f>base!BF61</f>
        <v>0</v>
      </c>
      <c r="G61" s="6">
        <f>base!G61</f>
        <v>0</v>
      </c>
      <c r="H61" s="6">
        <f>base!I61</f>
        <v>0</v>
      </c>
      <c r="I61" s="6">
        <f>base!S61</f>
        <v>0</v>
      </c>
      <c r="J61" s="6">
        <f>base!T61</f>
        <v>0</v>
      </c>
      <c r="K61" s="6">
        <f>base!U61</f>
        <v>0</v>
      </c>
      <c r="L61" s="6">
        <f>base!Y61</f>
        <v>0</v>
      </c>
      <c r="M61" s="6">
        <f>base!AH61</f>
        <v>0</v>
      </c>
      <c r="N61" s="6">
        <f>base!AI61</f>
        <v>0</v>
      </c>
      <c r="O61" s="6">
        <f>base!BA61</f>
        <v>0</v>
      </c>
      <c r="P61" s="7">
        <f>base!BK61</f>
        <v>0</v>
      </c>
      <c r="Q61" s="6">
        <f>base!BS61</f>
        <v>0</v>
      </c>
    </row>
    <row r="62" spans="1:17" x14ac:dyDescent="0.35">
      <c r="A62" s="6">
        <f>base!A62</f>
        <v>0</v>
      </c>
      <c r="B62" s="7">
        <f>base!BN62</f>
        <v>0</v>
      </c>
      <c r="C62" s="6">
        <f>base!C62</f>
        <v>0</v>
      </c>
      <c r="D62" s="6">
        <f>base!E62</f>
        <v>0</v>
      </c>
      <c r="E62" s="6">
        <f>base!BF62</f>
        <v>0</v>
      </c>
      <c r="G62" s="6">
        <f>base!G62</f>
        <v>0</v>
      </c>
      <c r="H62" s="6">
        <f>base!I62</f>
        <v>0</v>
      </c>
      <c r="I62" s="6">
        <f>base!S62</f>
        <v>0</v>
      </c>
      <c r="J62" s="6">
        <f>base!T62</f>
        <v>0</v>
      </c>
      <c r="K62" s="6">
        <f>base!U62</f>
        <v>0</v>
      </c>
      <c r="L62" s="6">
        <f>base!Y62</f>
        <v>0</v>
      </c>
      <c r="M62" s="6">
        <f>base!AH62</f>
        <v>0</v>
      </c>
      <c r="N62" s="6">
        <f>base!AI62</f>
        <v>0</v>
      </c>
      <c r="O62" s="6">
        <f>base!BA62</f>
        <v>0</v>
      </c>
      <c r="P62" s="7">
        <f>base!BK62</f>
        <v>0</v>
      </c>
      <c r="Q62" s="6">
        <f>base!BS62</f>
        <v>0</v>
      </c>
    </row>
    <row r="63" spans="1:17" x14ac:dyDescent="0.35">
      <c r="A63" s="6">
        <f>base!A63</f>
        <v>0</v>
      </c>
      <c r="B63" s="7">
        <f>base!BN63</f>
        <v>0</v>
      </c>
      <c r="C63" s="6">
        <f>base!C63</f>
        <v>0</v>
      </c>
      <c r="D63" s="6">
        <f>base!E63</f>
        <v>0</v>
      </c>
      <c r="E63" s="6">
        <f>base!BF63</f>
        <v>0</v>
      </c>
      <c r="G63" s="6">
        <f>base!G63</f>
        <v>0</v>
      </c>
      <c r="H63" s="6">
        <f>base!I63</f>
        <v>0</v>
      </c>
      <c r="I63" s="6">
        <f>base!S63</f>
        <v>0</v>
      </c>
      <c r="J63" s="6">
        <f>base!T63</f>
        <v>0</v>
      </c>
      <c r="K63" s="6">
        <f>base!U63</f>
        <v>0</v>
      </c>
      <c r="L63" s="6">
        <f>base!Y63</f>
        <v>0</v>
      </c>
      <c r="M63" s="6">
        <f>base!AH63</f>
        <v>0</v>
      </c>
      <c r="N63" s="6">
        <f>base!AI63</f>
        <v>0</v>
      </c>
      <c r="O63" s="6">
        <f>base!BA63</f>
        <v>0</v>
      </c>
      <c r="P63" s="7">
        <f>base!BK63</f>
        <v>0</v>
      </c>
      <c r="Q63" s="6">
        <f>base!BS63</f>
        <v>0</v>
      </c>
    </row>
    <row r="64" spans="1:17" x14ac:dyDescent="0.35">
      <c r="A64" s="6">
        <f>base!A64</f>
        <v>0</v>
      </c>
      <c r="B64" s="7">
        <f>base!BN64</f>
        <v>0</v>
      </c>
      <c r="C64" s="6">
        <f>base!C64</f>
        <v>0</v>
      </c>
      <c r="D64" s="6">
        <f>base!E64</f>
        <v>0</v>
      </c>
      <c r="E64" s="6">
        <f>base!BF64</f>
        <v>0</v>
      </c>
      <c r="G64" s="6">
        <f>base!G64</f>
        <v>0</v>
      </c>
      <c r="H64" s="6">
        <f>base!I64</f>
        <v>0</v>
      </c>
      <c r="I64" s="6">
        <f>base!S64</f>
        <v>0</v>
      </c>
      <c r="J64" s="6">
        <f>base!T64</f>
        <v>0</v>
      </c>
      <c r="K64" s="6">
        <f>base!U64</f>
        <v>0</v>
      </c>
      <c r="L64" s="6">
        <f>base!Y64</f>
        <v>0</v>
      </c>
      <c r="M64" s="6">
        <f>base!AH64</f>
        <v>0</v>
      </c>
      <c r="N64" s="6">
        <f>base!AI64</f>
        <v>0</v>
      </c>
      <c r="O64" s="6">
        <f>base!BA64</f>
        <v>0</v>
      </c>
      <c r="P64" s="7">
        <f>base!BK64</f>
        <v>0</v>
      </c>
      <c r="Q64" s="6">
        <f>base!BS64</f>
        <v>0</v>
      </c>
    </row>
    <row r="65" spans="1:17" x14ac:dyDescent="0.35">
      <c r="A65" s="6">
        <f>base!A65</f>
        <v>0</v>
      </c>
      <c r="B65" s="7">
        <f>base!BN65</f>
        <v>0</v>
      </c>
      <c r="C65" s="6">
        <f>base!C65</f>
        <v>0</v>
      </c>
      <c r="D65" s="6">
        <f>base!E65</f>
        <v>0</v>
      </c>
      <c r="E65" s="6">
        <f>base!BF65</f>
        <v>0</v>
      </c>
      <c r="G65" s="6">
        <f>base!G65</f>
        <v>0</v>
      </c>
      <c r="H65" s="6">
        <f>base!I65</f>
        <v>0</v>
      </c>
      <c r="I65" s="6">
        <f>base!S65</f>
        <v>0</v>
      </c>
      <c r="J65" s="6">
        <f>base!T65</f>
        <v>0</v>
      </c>
      <c r="K65" s="6">
        <f>base!U65</f>
        <v>0</v>
      </c>
      <c r="L65" s="6">
        <f>base!Y65</f>
        <v>0</v>
      </c>
      <c r="M65" s="6">
        <f>base!AH65</f>
        <v>0</v>
      </c>
      <c r="N65" s="6">
        <f>base!AI65</f>
        <v>0</v>
      </c>
      <c r="O65" s="6">
        <f>base!BA65</f>
        <v>0</v>
      </c>
      <c r="P65" s="7">
        <f>base!BK65</f>
        <v>0</v>
      </c>
      <c r="Q65" s="6">
        <f>base!BS65</f>
        <v>0</v>
      </c>
    </row>
    <row r="66" spans="1:17" x14ac:dyDescent="0.35">
      <c r="A66" s="6">
        <f>base!A66</f>
        <v>0</v>
      </c>
      <c r="B66" s="7">
        <f>base!BN66</f>
        <v>0</v>
      </c>
      <c r="C66" s="6">
        <f>base!C66</f>
        <v>0</v>
      </c>
      <c r="D66" s="6">
        <f>base!E66</f>
        <v>0</v>
      </c>
      <c r="E66" s="6">
        <f>base!BF66</f>
        <v>0</v>
      </c>
      <c r="G66" s="6">
        <f>base!G66</f>
        <v>0</v>
      </c>
      <c r="H66" s="6">
        <f>base!I66</f>
        <v>0</v>
      </c>
      <c r="I66" s="6">
        <f>base!S66</f>
        <v>0</v>
      </c>
      <c r="J66" s="6">
        <f>base!T66</f>
        <v>0</v>
      </c>
      <c r="K66" s="6">
        <f>base!U66</f>
        <v>0</v>
      </c>
      <c r="L66" s="6">
        <f>base!Y66</f>
        <v>0</v>
      </c>
      <c r="M66" s="6">
        <f>base!AH66</f>
        <v>0</v>
      </c>
      <c r="N66" s="6">
        <f>base!AI66</f>
        <v>0</v>
      </c>
      <c r="O66" s="6">
        <f>base!BA66</f>
        <v>0</v>
      </c>
      <c r="P66" s="7">
        <f>base!BK66</f>
        <v>0</v>
      </c>
      <c r="Q66" s="6">
        <f>base!BS66</f>
        <v>0</v>
      </c>
    </row>
    <row r="67" spans="1:17" x14ac:dyDescent="0.35">
      <c r="A67" s="6">
        <f>base!A67</f>
        <v>0</v>
      </c>
      <c r="B67" s="7">
        <f>base!BN67</f>
        <v>0</v>
      </c>
      <c r="C67" s="6">
        <f>base!C67</f>
        <v>0</v>
      </c>
      <c r="D67" s="6">
        <f>base!E67</f>
        <v>0</v>
      </c>
      <c r="E67" s="6">
        <f>base!BF67</f>
        <v>0</v>
      </c>
      <c r="G67" s="6">
        <f>base!G67</f>
        <v>0</v>
      </c>
      <c r="H67" s="6">
        <f>base!I67</f>
        <v>0</v>
      </c>
      <c r="I67" s="6">
        <f>base!S67</f>
        <v>0</v>
      </c>
      <c r="J67" s="6">
        <f>base!T67</f>
        <v>0</v>
      </c>
      <c r="K67" s="6">
        <f>base!U67</f>
        <v>0</v>
      </c>
      <c r="L67" s="6">
        <f>base!Y67</f>
        <v>0</v>
      </c>
      <c r="M67" s="6">
        <f>base!AH67</f>
        <v>0</v>
      </c>
      <c r="N67" s="6">
        <f>base!AI67</f>
        <v>0</v>
      </c>
      <c r="O67" s="6">
        <f>base!BA67</f>
        <v>0</v>
      </c>
      <c r="P67" s="7">
        <f>base!BK67</f>
        <v>0</v>
      </c>
      <c r="Q67" s="6">
        <f>base!BS67</f>
        <v>0</v>
      </c>
    </row>
    <row r="68" spans="1:17" x14ac:dyDescent="0.35">
      <c r="A68" s="6">
        <f>base!A68</f>
        <v>0</v>
      </c>
      <c r="B68" s="7">
        <f>base!BN68</f>
        <v>0</v>
      </c>
      <c r="C68" s="6">
        <f>base!C68</f>
        <v>0</v>
      </c>
      <c r="D68" s="6">
        <f>base!E68</f>
        <v>0</v>
      </c>
      <c r="E68" s="6">
        <f>base!BF68</f>
        <v>0</v>
      </c>
      <c r="G68" s="6">
        <f>base!G68</f>
        <v>0</v>
      </c>
      <c r="H68" s="6">
        <f>base!I68</f>
        <v>0</v>
      </c>
      <c r="I68" s="6">
        <f>base!S68</f>
        <v>0</v>
      </c>
      <c r="J68" s="6">
        <f>base!T68</f>
        <v>0</v>
      </c>
      <c r="K68" s="6">
        <f>base!U68</f>
        <v>0</v>
      </c>
      <c r="L68" s="6">
        <f>base!Y68</f>
        <v>0</v>
      </c>
      <c r="M68" s="6">
        <f>base!AH68</f>
        <v>0</v>
      </c>
      <c r="N68" s="6">
        <f>base!AI68</f>
        <v>0</v>
      </c>
      <c r="O68" s="6">
        <f>base!BA68</f>
        <v>0</v>
      </c>
      <c r="P68" s="7">
        <f>base!BK68</f>
        <v>0</v>
      </c>
      <c r="Q68" s="6">
        <f>base!BS68</f>
        <v>0</v>
      </c>
    </row>
    <row r="69" spans="1:17" x14ac:dyDescent="0.35">
      <c r="A69" s="6">
        <f>base!A69</f>
        <v>0</v>
      </c>
      <c r="B69" s="7">
        <f>base!BN69</f>
        <v>0</v>
      </c>
      <c r="C69" s="6">
        <f>base!C69</f>
        <v>0</v>
      </c>
      <c r="D69" s="6">
        <f>base!E69</f>
        <v>0</v>
      </c>
      <c r="E69" s="6">
        <f>base!BF69</f>
        <v>0</v>
      </c>
      <c r="G69" s="6">
        <f>base!G69</f>
        <v>0</v>
      </c>
      <c r="H69" s="6">
        <f>base!I69</f>
        <v>0</v>
      </c>
      <c r="I69" s="6">
        <f>base!S69</f>
        <v>0</v>
      </c>
      <c r="J69" s="6">
        <f>base!T69</f>
        <v>0</v>
      </c>
      <c r="K69" s="6">
        <f>base!U69</f>
        <v>0</v>
      </c>
      <c r="L69" s="6">
        <f>base!Y69</f>
        <v>0</v>
      </c>
      <c r="M69" s="6">
        <f>base!AH69</f>
        <v>0</v>
      </c>
      <c r="N69" s="6">
        <f>base!AI69</f>
        <v>0</v>
      </c>
      <c r="O69" s="6">
        <f>base!BA69</f>
        <v>0</v>
      </c>
      <c r="P69" s="7">
        <f>base!BK69</f>
        <v>0</v>
      </c>
      <c r="Q69" s="6">
        <f>base!BS69</f>
        <v>0</v>
      </c>
    </row>
    <row r="70" spans="1:17" x14ac:dyDescent="0.35">
      <c r="A70" s="6">
        <f>base!A70</f>
        <v>0</v>
      </c>
      <c r="B70" s="7">
        <f>base!BN70</f>
        <v>0</v>
      </c>
      <c r="C70" s="6">
        <f>base!C70</f>
        <v>0</v>
      </c>
      <c r="D70" s="6">
        <f>base!E70</f>
        <v>0</v>
      </c>
      <c r="E70" s="6">
        <f>base!BF70</f>
        <v>0</v>
      </c>
      <c r="G70" s="6">
        <f>base!G70</f>
        <v>0</v>
      </c>
      <c r="H70" s="6">
        <f>base!I70</f>
        <v>0</v>
      </c>
      <c r="I70" s="6">
        <f>base!S70</f>
        <v>0</v>
      </c>
      <c r="J70" s="6">
        <f>base!T70</f>
        <v>0</v>
      </c>
      <c r="K70" s="6">
        <f>base!U70</f>
        <v>0</v>
      </c>
      <c r="L70" s="6">
        <f>base!Y70</f>
        <v>0</v>
      </c>
      <c r="M70" s="6">
        <f>base!AH70</f>
        <v>0</v>
      </c>
      <c r="N70" s="6">
        <f>base!AI70</f>
        <v>0</v>
      </c>
      <c r="O70" s="6">
        <f>base!BA70</f>
        <v>0</v>
      </c>
      <c r="P70" s="7">
        <f>base!BK70</f>
        <v>0</v>
      </c>
      <c r="Q70" s="6">
        <f>base!BS70</f>
        <v>0</v>
      </c>
    </row>
    <row r="71" spans="1:17" x14ac:dyDescent="0.35">
      <c r="A71" s="6">
        <f>base!A71</f>
        <v>0</v>
      </c>
      <c r="B71" s="7">
        <f>base!BN71</f>
        <v>0</v>
      </c>
      <c r="C71" s="6">
        <f>base!C71</f>
        <v>0</v>
      </c>
      <c r="D71" s="6">
        <f>base!E71</f>
        <v>0</v>
      </c>
      <c r="E71" s="6">
        <f>base!BF71</f>
        <v>0</v>
      </c>
      <c r="G71" s="6">
        <f>base!G71</f>
        <v>0</v>
      </c>
      <c r="H71" s="6">
        <f>base!I71</f>
        <v>0</v>
      </c>
      <c r="I71" s="6">
        <f>base!S71</f>
        <v>0</v>
      </c>
      <c r="J71" s="6">
        <f>base!T71</f>
        <v>0</v>
      </c>
      <c r="K71" s="6">
        <f>base!U71</f>
        <v>0</v>
      </c>
      <c r="L71" s="6">
        <f>base!Y71</f>
        <v>0</v>
      </c>
      <c r="M71" s="6">
        <f>base!AH71</f>
        <v>0</v>
      </c>
      <c r="N71" s="6">
        <f>base!AI71</f>
        <v>0</v>
      </c>
      <c r="O71" s="6">
        <f>base!BA71</f>
        <v>0</v>
      </c>
      <c r="P71" s="7">
        <f>base!BK71</f>
        <v>0</v>
      </c>
      <c r="Q71" s="6">
        <f>base!BS71</f>
        <v>0</v>
      </c>
    </row>
    <row r="72" spans="1:17" x14ac:dyDescent="0.35">
      <c r="A72" s="6">
        <f>base!A72</f>
        <v>0</v>
      </c>
      <c r="B72" s="7">
        <f>base!BN72</f>
        <v>0</v>
      </c>
      <c r="C72" s="6">
        <f>base!C72</f>
        <v>0</v>
      </c>
      <c r="D72" s="6">
        <f>base!E72</f>
        <v>0</v>
      </c>
      <c r="E72" s="6">
        <f>base!BF72</f>
        <v>0</v>
      </c>
      <c r="G72" s="6">
        <f>base!G72</f>
        <v>0</v>
      </c>
      <c r="H72" s="6">
        <f>base!I72</f>
        <v>0</v>
      </c>
      <c r="I72" s="6">
        <f>base!S72</f>
        <v>0</v>
      </c>
      <c r="J72" s="6">
        <f>base!T72</f>
        <v>0</v>
      </c>
      <c r="K72" s="6">
        <f>base!U72</f>
        <v>0</v>
      </c>
      <c r="L72" s="6">
        <f>base!Y72</f>
        <v>0</v>
      </c>
      <c r="M72" s="6">
        <f>base!AH72</f>
        <v>0</v>
      </c>
      <c r="N72" s="6">
        <f>base!AI72</f>
        <v>0</v>
      </c>
      <c r="O72" s="6">
        <f>base!BA72</f>
        <v>0</v>
      </c>
      <c r="P72" s="7">
        <f>base!BK72</f>
        <v>0</v>
      </c>
      <c r="Q72" s="6">
        <f>base!BS72</f>
        <v>0</v>
      </c>
    </row>
    <row r="73" spans="1:17" x14ac:dyDescent="0.35">
      <c r="A73" s="6">
        <f>base!A73</f>
        <v>0</v>
      </c>
      <c r="B73" s="7">
        <f>base!BN73</f>
        <v>0</v>
      </c>
      <c r="C73" s="6">
        <f>base!C73</f>
        <v>0</v>
      </c>
      <c r="D73" s="6">
        <f>base!E73</f>
        <v>0</v>
      </c>
      <c r="E73" s="6">
        <f>base!BF73</f>
        <v>0</v>
      </c>
      <c r="G73" s="6">
        <f>base!G73</f>
        <v>0</v>
      </c>
      <c r="H73" s="6">
        <f>base!I73</f>
        <v>0</v>
      </c>
      <c r="I73" s="6">
        <f>base!S73</f>
        <v>0</v>
      </c>
      <c r="J73" s="6">
        <f>base!T73</f>
        <v>0</v>
      </c>
      <c r="K73" s="6">
        <f>base!U73</f>
        <v>0</v>
      </c>
      <c r="L73" s="6">
        <f>base!Y73</f>
        <v>0</v>
      </c>
      <c r="M73" s="6">
        <f>base!AH73</f>
        <v>0</v>
      </c>
      <c r="N73" s="6">
        <f>base!AI73</f>
        <v>0</v>
      </c>
      <c r="O73" s="6">
        <f>base!BA73</f>
        <v>0</v>
      </c>
      <c r="P73" s="7">
        <f>base!BK73</f>
        <v>0</v>
      </c>
      <c r="Q73" s="6">
        <f>base!BS73</f>
        <v>0</v>
      </c>
    </row>
    <row r="74" spans="1:17" x14ac:dyDescent="0.35">
      <c r="A74" s="6">
        <f>base!A74</f>
        <v>0</v>
      </c>
      <c r="B74" s="7">
        <f>base!BN74</f>
        <v>0</v>
      </c>
      <c r="C74" s="6">
        <f>base!C74</f>
        <v>0</v>
      </c>
      <c r="D74" s="6">
        <f>base!E74</f>
        <v>0</v>
      </c>
      <c r="E74" s="6">
        <f>base!BF74</f>
        <v>0</v>
      </c>
      <c r="G74" s="6">
        <f>base!G74</f>
        <v>0</v>
      </c>
      <c r="H74" s="6">
        <f>base!I74</f>
        <v>0</v>
      </c>
      <c r="I74" s="6">
        <f>base!S74</f>
        <v>0</v>
      </c>
      <c r="J74" s="6">
        <f>base!T74</f>
        <v>0</v>
      </c>
      <c r="K74" s="6">
        <f>base!U74</f>
        <v>0</v>
      </c>
      <c r="L74" s="6">
        <f>base!Y74</f>
        <v>0</v>
      </c>
      <c r="M74" s="6">
        <f>base!AH74</f>
        <v>0</v>
      </c>
      <c r="N74" s="6">
        <f>base!AI74</f>
        <v>0</v>
      </c>
      <c r="O74" s="6">
        <f>base!BA74</f>
        <v>0</v>
      </c>
      <c r="P74" s="7">
        <f>base!BK74</f>
        <v>0</v>
      </c>
      <c r="Q74" s="6">
        <f>base!BS74</f>
        <v>0</v>
      </c>
    </row>
    <row r="75" spans="1:17" x14ac:dyDescent="0.35">
      <c r="A75" s="6">
        <f>base!A75</f>
        <v>0</v>
      </c>
      <c r="B75" s="7">
        <f>base!BN75</f>
        <v>0</v>
      </c>
      <c r="C75" s="6">
        <f>base!C75</f>
        <v>0</v>
      </c>
      <c r="D75" s="6">
        <f>base!E75</f>
        <v>0</v>
      </c>
      <c r="E75" s="6">
        <f>base!BF75</f>
        <v>0</v>
      </c>
      <c r="G75" s="6">
        <f>base!G75</f>
        <v>0</v>
      </c>
      <c r="H75" s="6">
        <f>base!I75</f>
        <v>0</v>
      </c>
      <c r="I75" s="6">
        <f>base!S75</f>
        <v>0</v>
      </c>
      <c r="J75" s="6">
        <f>base!T75</f>
        <v>0</v>
      </c>
      <c r="K75" s="6">
        <f>base!U75</f>
        <v>0</v>
      </c>
      <c r="L75" s="6">
        <f>base!Y75</f>
        <v>0</v>
      </c>
      <c r="M75" s="6">
        <f>base!AH75</f>
        <v>0</v>
      </c>
      <c r="N75" s="6">
        <f>base!AI75</f>
        <v>0</v>
      </c>
      <c r="O75" s="6">
        <f>base!BA75</f>
        <v>0</v>
      </c>
      <c r="P75" s="7">
        <f>base!BK75</f>
        <v>0</v>
      </c>
      <c r="Q75" s="6">
        <f>base!BS75</f>
        <v>0</v>
      </c>
    </row>
    <row r="76" spans="1:17" x14ac:dyDescent="0.35">
      <c r="A76" s="6">
        <f>base!A76</f>
        <v>0</v>
      </c>
      <c r="B76" s="7">
        <f>base!BN76</f>
        <v>0</v>
      </c>
      <c r="C76" s="6">
        <f>base!C76</f>
        <v>0</v>
      </c>
      <c r="D76" s="6">
        <f>base!E76</f>
        <v>0</v>
      </c>
      <c r="E76" s="6">
        <f>base!BF76</f>
        <v>0</v>
      </c>
      <c r="G76" s="6">
        <f>base!G76</f>
        <v>0</v>
      </c>
      <c r="H76" s="6">
        <f>base!I76</f>
        <v>0</v>
      </c>
      <c r="I76" s="6">
        <f>base!S76</f>
        <v>0</v>
      </c>
      <c r="J76" s="6">
        <f>base!T76</f>
        <v>0</v>
      </c>
      <c r="K76" s="6">
        <f>base!U76</f>
        <v>0</v>
      </c>
      <c r="L76" s="6">
        <f>base!Y76</f>
        <v>0</v>
      </c>
      <c r="M76" s="6">
        <f>base!AH76</f>
        <v>0</v>
      </c>
      <c r="N76" s="6">
        <f>base!AI76</f>
        <v>0</v>
      </c>
      <c r="O76" s="6">
        <f>base!BA76</f>
        <v>0</v>
      </c>
      <c r="P76" s="7">
        <f>base!BK76</f>
        <v>0</v>
      </c>
      <c r="Q76" s="6">
        <f>base!BS76</f>
        <v>0</v>
      </c>
    </row>
    <row r="77" spans="1:17" x14ac:dyDescent="0.35">
      <c r="A77" s="6">
        <f>base!A77</f>
        <v>0</v>
      </c>
      <c r="B77" s="7">
        <f>base!BN77</f>
        <v>0</v>
      </c>
      <c r="C77" s="6">
        <f>base!C77</f>
        <v>0</v>
      </c>
      <c r="D77" s="6">
        <f>base!E77</f>
        <v>0</v>
      </c>
      <c r="E77" s="6">
        <f>base!BF77</f>
        <v>0</v>
      </c>
      <c r="G77" s="6">
        <f>base!G77</f>
        <v>0</v>
      </c>
      <c r="H77" s="6">
        <f>base!I77</f>
        <v>0</v>
      </c>
      <c r="I77" s="6">
        <f>base!S77</f>
        <v>0</v>
      </c>
      <c r="J77" s="6">
        <f>base!T77</f>
        <v>0</v>
      </c>
      <c r="K77" s="6">
        <f>base!U77</f>
        <v>0</v>
      </c>
      <c r="L77" s="6">
        <f>base!Y77</f>
        <v>0</v>
      </c>
      <c r="M77" s="6">
        <f>base!AH77</f>
        <v>0</v>
      </c>
      <c r="N77" s="6">
        <f>base!AI77</f>
        <v>0</v>
      </c>
      <c r="O77" s="6">
        <f>base!BA77</f>
        <v>0</v>
      </c>
      <c r="P77" s="7">
        <f>base!BK77</f>
        <v>0</v>
      </c>
      <c r="Q77" s="6">
        <f>base!BS77</f>
        <v>0</v>
      </c>
    </row>
    <row r="78" spans="1:17" x14ac:dyDescent="0.35">
      <c r="A78" s="6">
        <f>base!A78</f>
        <v>0</v>
      </c>
      <c r="B78" s="7">
        <f>base!BN78</f>
        <v>0</v>
      </c>
      <c r="C78" s="6">
        <f>base!C78</f>
        <v>0</v>
      </c>
      <c r="D78" s="6">
        <f>base!E78</f>
        <v>0</v>
      </c>
      <c r="E78" s="6">
        <f>base!BF78</f>
        <v>0</v>
      </c>
      <c r="G78" s="6">
        <f>base!G78</f>
        <v>0</v>
      </c>
      <c r="H78" s="6">
        <f>base!I78</f>
        <v>0</v>
      </c>
      <c r="I78" s="6">
        <f>base!S78</f>
        <v>0</v>
      </c>
      <c r="J78" s="6">
        <f>base!T78</f>
        <v>0</v>
      </c>
      <c r="K78" s="6">
        <f>base!U78</f>
        <v>0</v>
      </c>
      <c r="L78" s="6">
        <f>base!Y78</f>
        <v>0</v>
      </c>
      <c r="M78" s="6">
        <f>base!AH78</f>
        <v>0</v>
      </c>
      <c r="N78" s="6">
        <f>base!AI78</f>
        <v>0</v>
      </c>
      <c r="O78" s="6">
        <f>base!BA78</f>
        <v>0</v>
      </c>
      <c r="P78" s="7">
        <f>base!BK78</f>
        <v>0</v>
      </c>
      <c r="Q78" s="6">
        <f>base!BS78</f>
        <v>0</v>
      </c>
    </row>
    <row r="79" spans="1:17" x14ac:dyDescent="0.35">
      <c r="A79" s="6">
        <f>base!A79</f>
        <v>0</v>
      </c>
      <c r="B79" s="7">
        <f>base!BN79</f>
        <v>0</v>
      </c>
      <c r="C79" s="6">
        <f>base!C79</f>
        <v>0</v>
      </c>
      <c r="D79" s="6">
        <f>base!E79</f>
        <v>0</v>
      </c>
      <c r="E79" s="6">
        <f>base!BF79</f>
        <v>0</v>
      </c>
      <c r="G79" s="6">
        <f>base!G79</f>
        <v>0</v>
      </c>
      <c r="H79" s="6">
        <f>base!I79</f>
        <v>0</v>
      </c>
      <c r="I79" s="6">
        <f>base!S79</f>
        <v>0</v>
      </c>
      <c r="J79" s="6">
        <f>base!T79</f>
        <v>0</v>
      </c>
      <c r="K79" s="6">
        <f>base!U79</f>
        <v>0</v>
      </c>
      <c r="L79" s="6">
        <f>base!Y79</f>
        <v>0</v>
      </c>
      <c r="M79" s="6">
        <f>base!AH79</f>
        <v>0</v>
      </c>
      <c r="N79" s="6">
        <f>base!AI79</f>
        <v>0</v>
      </c>
      <c r="O79" s="6">
        <f>base!BA79</f>
        <v>0</v>
      </c>
      <c r="P79" s="7">
        <f>base!BK79</f>
        <v>0</v>
      </c>
      <c r="Q79" s="6">
        <f>base!BS79</f>
        <v>0</v>
      </c>
    </row>
    <row r="80" spans="1:17" x14ac:dyDescent="0.35">
      <c r="A80" s="6">
        <f>base!A80</f>
        <v>0</v>
      </c>
      <c r="B80" s="7">
        <f>base!BN80</f>
        <v>0</v>
      </c>
      <c r="C80" s="6">
        <f>base!C80</f>
        <v>0</v>
      </c>
      <c r="D80" s="6">
        <f>base!E80</f>
        <v>0</v>
      </c>
      <c r="E80" s="6">
        <f>base!BF80</f>
        <v>0</v>
      </c>
      <c r="G80" s="6">
        <f>base!G80</f>
        <v>0</v>
      </c>
      <c r="H80" s="6">
        <f>base!I80</f>
        <v>0</v>
      </c>
      <c r="I80" s="6">
        <f>base!S80</f>
        <v>0</v>
      </c>
      <c r="J80" s="6">
        <f>base!T80</f>
        <v>0</v>
      </c>
      <c r="K80" s="6">
        <f>base!U80</f>
        <v>0</v>
      </c>
      <c r="L80" s="6">
        <f>base!Y80</f>
        <v>0</v>
      </c>
      <c r="M80" s="6">
        <f>base!AH80</f>
        <v>0</v>
      </c>
      <c r="N80" s="6">
        <f>base!AI80</f>
        <v>0</v>
      </c>
      <c r="O80" s="6">
        <f>base!BA80</f>
        <v>0</v>
      </c>
      <c r="P80" s="7">
        <f>base!BK80</f>
        <v>0</v>
      </c>
      <c r="Q80" s="6">
        <f>base!BS80</f>
        <v>0</v>
      </c>
    </row>
    <row r="81" spans="1:17" x14ac:dyDescent="0.35">
      <c r="A81" s="6">
        <f>base!A81</f>
        <v>0</v>
      </c>
      <c r="B81" s="7">
        <f>base!BN81</f>
        <v>0</v>
      </c>
      <c r="C81" s="6">
        <f>base!C81</f>
        <v>0</v>
      </c>
      <c r="D81" s="6">
        <f>base!E81</f>
        <v>0</v>
      </c>
      <c r="E81" s="6">
        <f>base!BF81</f>
        <v>0</v>
      </c>
      <c r="G81" s="6">
        <f>base!G81</f>
        <v>0</v>
      </c>
      <c r="H81" s="6">
        <f>base!I81</f>
        <v>0</v>
      </c>
      <c r="I81" s="6">
        <f>base!S81</f>
        <v>0</v>
      </c>
      <c r="J81" s="6">
        <f>base!T81</f>
        <v>0</v>
      </c>
      <c r="K81" s="6">
        <f>base!U81</f>
        <v>0</v>
      </c>
      <c r="L81" s="6">
        <f>base!Y81</f>
        <v>0</v>
      </c>
      <c r="M81" s="6">
        <f>base!AH81</f>
        <v>0</v>
      </c>
      <c r="N81" s="6">
        <f>base!AI81</f>
        <v>0</v>
      </c>
      <c r="O81" s="6">
        <f>base!BA81</f>
        <v>0</v>
      </c>
      <c r="P81" s="7">
        <f>base!BK81</f>
        <v>0</v>
      </c>
      <c r="Q81" s="6">
        <f>base!BS81</f>
        <v>0</v>
      </c>
    </row>
    <row r="82" spans="1:17" x14ac:dyDescent="0.35">
      <c r="A82" s="6">
        <f>base!A82</f>
        <v>0</v>
      </c>
      <c r="B82" s="7">
        <f>base!BN82</f>
        <v>0</v>
      </c>
      <c r="C82" s="6">
        <f>base!C82</f>
        <v>0</v>
      </c>
      <c r="D82" s="6">
        <f>base!E82</f>
        <v>0</v>
      </c>
      <c r="E82" s="6">
        <f>base!BF82</f>
        <v>0</v>
      </c>
      <c r="G82" s="6">
        <f>base!G82</f>
        <v>0</v>
      </c>
      <c r="H82" s="6">
        <f>base!I82</f>
        <v>0</v>
      </c>
      <c r="I82" s="6">
        <f>base!S82</f>
        <v>0</v>
      </c>
      <c r="J82" s="6">
        <f>base!T82</f>
        <v>0</v>
      </c>
      <c r="K82" s="6">
        <f>base!U82</f>
        <v>0</v>
      </c>
      <c r="L82" s="6">
        <f>base!Y82</f>
        <v>0</v>
      </c>
      <c r="M82" s="6">
        <f>base!AH82</f>
        <v>0</v>
      </c>
      <c r="N82" s="6">
        <f>base!AI82</f>
        <v>0</v>
      </c>
      <c r="O82" s="6">
        <f>base!BA82</f>
        <v>0</v>
      </c>
      <c r="P82" s="7">
        <f>base!BK82</f>
        <v>0</v>
      </c>
      <c r="Q82" s="6">
        <f>base!BS82</f>
        <v>0</v>
      </c>
    </row>
    <row r="83" spans="1:17" x14ac:dyDescent="0.35">
      <c r="A83" s="6">
        <f>base!A83</f>
        <v>0</v>
      </c>
      <c r="B83" s="7">
        <f>base!BN83</f>
        <v>0</v>
      </c>
      <c r="C83" s="6">
        <f>base!C83</f>
        <v>0</v>
      </c>
      <c r="D83" s="6">
        <f>base!E83</f>
        <v>0</v>
      </c>
      <c r="E83" s="6">
        <f>base!BF83</f>
        <v>0</v>
      </c>
      <c r="G83" s="6">
        <f>base!G83</f>
        <v>0</v>
      </c>
      <c r="H83" s="6">
        <f>base!I83</f>
        <v>0</v>
      </c>
      <c r="I83" s="6">
        <f>base!S83</f>
        <v>0</v>
      </c>
      <c r="J83" s="6">
        <f>base!T83</f>
        <v>0</v>
      </c>
      <c r="K83" s="6">
        <f>base!U83</f>
        <v>0</v>
      </c>
      <c r="L83" s="6">
        <f>base!Y83</f>
        <v>0</v>
      </c>
      <c r="M83" s="6">
        <f>base!AH83</f>
        <v>0</v>
      </c>
      <c r="N83" s="6">
        <f>base!AI83</f>
        <v>0</v>
      </c>
      <c r="O83" s="6">
        <f>base!BA83</f>
        <v>0</v>
      </c>
      <c r="P83" s="7">
        <f>base!BK83</f>
        <v>0</v>
      </c>
      <c r="Q83" s="6">
        <f>base!BS83</f>
        <v>0</v>
      </c>
    </row>
    <row r="84" spans="1:17" x14ac:dyDescent="0.35">
      <c r="A84" s="6">
        <f>base!A84</f>
        <v>0</v>
      </c>
      <c r="B84" s="7">
        <f>base!BN84</f>
        <v>0</v>
      </c>
      <c r="C84" s="6">
        <f>base!C84</f>
        <v>0</v>
      </c>
      <c r="D84" s="6">
        <f>base!E84</f>
        <v>0</v>
      </c>
      <c r="E84" s="6">
        <f>base!BF84</f>
        <v>0</v>
      </c>
      <c r="G84" s="6">
        <f>base!G84</f>
        <v>0</v>
      </c>
      <c r="H84" s="6">
        <f>base!I84</f>
        <v>0</v>
      </c>
      <c r="I84" s="6">
        <f>base!S84</f>
        <v>0</v>
      </c>
      <c r="J84" s="6">
        <f>base!T84</f>
        <v>0</v>
      </c>
      <c r="K84" s="6">
        <f>base!U84</f>
        <v>0</v>
      </c>
      <c r="L84" s="6">
        <f>base!Y84</f>
        <v>0</v>
      </c>
      <c r="M84" s="6">
        <f>base!AH84</f>
        <v>0</v>
      </c>
      <c r="N84" s="6">
        <f>base!AI84</f>
        <v>0</v>
      </c>
      <c r="O84" s="6">
        <f>base!BA84</f>
        <v>0</v>
      </c>
      <c r="P84" s="7">
        <f>base!BK84</f>
        <v>0</v>
      </c>
      <c r="Q84" s="6">
        <f>base!BS84</f>
        <v>0</v>
      </c>
    </row>
    <row r="85" spans="1:17" x14ac:dyDescent="0.35">
      <c r="A85" s="6">
        <f>base!A85</f>
        <v>0</v>
      </c>
      <c r="B85" s="7">
        <f>base!BN85</f>
        <v>0</v>
      </c>
      <c r="C85" s="6">
        <f>base!C85</f>
        <v>0</v>
      </c>
      <c r="D85" s="6">
        <f>base!E85</f>
        <v>0</v>
      </c>
      <c r="E85" s="6">
        <f>base!BF85</f>
        <v>0</v>
      </c>
      <c r="G85" s="6">
        <f>base!G85</f>
        <v>0</v>
      </c>
      <c r="H85" s="6">
        <f>base!I85</f>
        <v>0</v>
      </c>
      <c r="I85" s="6">
        <f>base!S85</f>
        <v>0</v>
      </c>
      <c r="J85" s="6">
        <f>base!T85</f>
        <v>0</v>
      </c>
      <c r="K85" s="6">
        <f>base!U85</f>
        <v>0</v>
      </c>
      <c r="L85" s="6">
        <f>base!Y85</f>
        <v>0</v>
      </c>
      <c r="M85" s="6">
        <f>base!AH85</f>
        <v>0</v>
      </c>
      <c r="N85" s="6">
        <f>base!AI85</f>
        <v>0</v>
      </c>
      <c r="O85" s="6">
        <f>base!BA85</f>
        <v>0</v>
      </c>
      <c r="P85" s="7">
        <f>base!BK85</f>
        <v>0</v>
      </c>
      <c r="Q85" s="6">
        <f>base!BS85</f>
        <v>0</v>
      </c>
    </row>
    <row r="86" spans="1:17" x14ac:dyDescent="0.35">
      <c r="A86" s="6">
        <f>base!A86</f>
        <v>0</v>
      </c>
      <c r="B86" s="7">
        <f>base!BN86</f>
        <v>0</v>
      </c>
      <c r="C86" s="6">
        <f>base!C86</f>
        <v>0</v>
      </c>
      <c r="D86" s="6">
        <f>base!E86</f>
        <v>0</v>
      </c>
      <c r="E86" s="6">
        <f>base!BF86</f>
        <v>0</v>
      </c>
      <c r="G86" s="6">
        <f>base!G86</f>
        <v>0</v>
      </c>
      <c r="H86" s="6">
        <f>base!I86</f>
        <v>0</v>
      </c>
      <c r="I86" s="6">
        <f>base!S86</f>
        <v>0</v>
      </c>
      <c r="J86" s="6">
        <f>base!T86</f>
        <v>0</v>
      </c>
      <c r="K86" s="6">
        <f>base!U86</f>
        <v>0</v>
      </c>
      <c r="L86" s="6">
        <f>base!Y86</f>
        <v>0</v>
      </c>
      <c r="M86" s="6">
        <f>base!AH86</f>
        <v>0</v>
      </c>
      <c r="N86" s="6">
        <f>base!AI86</f>
        <v>0</v>
      </c>
      <c r="O86" s="6">
        <f>base!BA86</f>
        <v>0</v>
      </c>
      <c r="P86" s="7">
        <f>base!BK86</f>
        <v>0</v>
      </c>
      <c r="Q86" s="6">
        <f>base!BS86</f>
        <v>0</v>
      </c>
    </row>
    <row r="87" spans="1:17" x14ac:dyDescent="0.35">
      <c r="A87" s="6">
        <f>base!A87</f>
        <v>0</v>
      </c>
      <c r="B87" s="7">
        <f>base!BN87</f>
        <v>0</v>
      </c>
      <c r="C87" s="6">
        <f>base!C87</f>
        <v>0</v>
      </c>
      <c r="D87" s="6">
        <f>base!E87</f>
        <v>0</v>
      </c>
      <c r="E87" s="6">
        <f>base!BF87</f>
        <v>0</v>
      </c>
      <c r="G87" s="6">
        <f>base!G87</f>
        <v>0</v>
      </c>
      <c r="H87" s="6">
        <f>base!I87</f>
        <v>0</v>
      </c>
      <c r="I87" s="6">
        <f>base!S87</f>
        <v>0</v>
      </c>
      <c r="J87" s="6">
        <f>base!T87</f>
        <v>0</v>
      </c>
      <c r="K87" s="6">
        <f>base!U87</f>
        <v>0</v>
      </c>
      <c r="L87" s="6">
        <f>base!Y87</f>
        <v>0</v>
      </c>
      <c r="M87" s="6">
        <f>base!AH87</f>
        <v>0</v>
      </c>
      <c r="N87" s="6">
        <f>base!AI87</f>
        <v>0</v>
      </c>
      <c r="O87" s="6">
        <f>base!BA87</f>
        <v>0</v>
      </c>
      <c r="P87" s="7">
        <f>base!BK87</f>
        <v>0</v>
      </c>
      <c r="Q87" s="6">
        <f>base!BS87</f>
        <v>0</v>
      </c>
    </row>
    <row r="88" spans="1:17" x14ac:dyDescent="0.35">
      <c r="A88" s="6">
        <f>base!A88</f>
        <v>0</v>
      </c>
      <c r="B88" s="7">
        <f>base!BN88</f>
        <v>0</v>
      </c>
      <c r="C88" s="6">
        <f>base!C88</f>
        <v>0</v>
      </c>
      <c r="D88" s="6">
        <f>base!E88</f>
        <v>0</v>
      </c>
      <c r="E88" s="6">
        <f>base!BF88</f>
        <v>0</v>
      </c>
      <c r="G88" s="6">
        <f>base!G88</f>
        <v>0</v>
      </c>
      <c r="H88" s="6">
        <f>base!I88</f>
        <v>0</v>
      </c>
      <c r="I88" s="6">
        <f>base!S88</f>
        <v>0</v>
      </c>
      <c r="J88" s="6">
        <f>base!T88</f>
        <v>0</v>
      </c>
      <c r="K88" s="6">
        <f>base!U88</f>
        <v>0</v>
      </c>
      <c r="L88" s="6">
        <f>base!Y88</f>
        <v>0</v>
      </c>
      <c r="M88" s="6">
        <f>base!AH88</f>
        <v>0</v>
      </c>
      <c r="N88" s="6">
        <f>base!AI88</f>
        <v>0</v>
      </c>
      <c r="O88" s="6">
        <f>base!BA88</f>
        <v>0</v>
      </c>
      <c r="P88" s="7">
        <f>base!BK88</f>
        <v>0</v>
      </c>
      <c r="Q88" s="6">
        <f>base!BS88</f>
        <v>0</v>
      </c>
    </row>
    <row r="89" spans="1:17" x14ac:dyDescent="0.35">
      <c r="A89" s="6">
        <f>base!A89</f>
        <v>0</v>
      </c>
      <c r="B89" s="7">
        <f>base!BN89</f>
        <v>0</v>
      </c>
      <c r="C89" s="6">
        <f>base!C89</f>
        <v>0</v>
      </c>
      <c r="D89" s="6">
        <f>base!E89</f>
        <v>0</v>
      </c>
      <c r="E89" s="6">
        <f>base!BF89</f>
        <v>0</v>
      </c>
      <c r="G89" s="6">
        <f>base!G89</f>
        <v>0</v>
      </c>
      <c r="H89" s="6">
        <f>base!I89</f>
        <v>0</v>
      </c>
      <c r="I89" s="6">
        <f>base!S89</f>
        <v>0</v>
      </c>
      <c r="J89" s="6">
        <f>base!T89</f>
        <v>0</v>
      </c>
      <c r="K89" s="6">
        <f>base!U89</f>
        <v>0</v>
      </c>
      <c r="L89" s="6">
        <f>base!Y89</f>
        <v>0</v>
      </c>
      <c r="M89" s="6">
        <f>base!AH89</f>
        <v>0</v>
      </c>
      <c r="N89" s="6">
        <f>base!AI89</f>
        <v>0</v>
      </c>
      <c r="O89" s="6">
        <f>base!BA89</f>
        <v>0</v>
      </c>
      <c r="P89" s="7">
        <f>base!BK89</f>
        <v>0</v>
      </c>
      <c r="Q89" s="6">
        <f>base!BS89</f>
        <v>0</v>
      </c>
    </row>
    <row r="90" spans="1:17" x14ac:dyDescent="0.35">
      <c r="A90" s="6">
        <f>base!A90</f>
        <v>0</v>
      </c>
      <c r="B90" s="7">
        <f>base!BN90</f>
        <v>0</v>
      </c>
      <c r="C90" s="6">
        <f>base!C90</f>
        <v>0</v>
      </c>
      <c r="D90" s="6">
        <f>base!E90</f>
        <v>0</v>
      </c>
      <c r="E90" s="6">
        <f>base!BF90</f>
        <v>0</v>
      </c>
      <c r="G90" s="6">
        <f>base!G90</f>
        <v>0</v>
      </c>
      <c r="H90" s="6">
        <f>base!I90</f>
        <v>0</v>
      </c>
      <c r="I90" s="6">
        <f>base!S90</f>
        <v>0</v>
      </c>
      <c r="J90" s="6">
        <f>base!T90</f>
        <v>0</v>
      </c>
      <c r="K90" s="6">
        <f>base!U90</f>
        <v>0</v>
      </c>
      <c r="L90" s="6">
        <f>base!Y90</f>
        <v>0</v>
      </c>
      <c r="M90" s="6">
        <f>base!AH90</f>
        <v>0</v>
      </c>
      <c r="N90" s="6">
        <f>base!AI90</f>
        <v>0</v>
      </c>
      <c r="O90" s="6">
        <f>base!BA90</f>
        <v>0</v>
      </c>
      <c r="P90" s="7">
        <f>base!BK90</f>
        <v>0</v>
      </c>
      <c r="Q90" s="6">
        <f>base!BS90</f>
        <v>0</v>
      </c>
    </row>
    <row r="91" spans="1:17" x14ac:dyDescent="0.35">
      <c r="A91" s="6">
        <f>base!A91</f>
        <v>0</v>
      </c>
      <c r="B91" s="7">
        <f>base!BN91</f>
        <v>0</v>
      </c>
      <c r="C91" s="6">
        <f>base!C91</f>
        <v>0</v>
      </c>
      <c r="D91" s="6">
        <f>base!E91</f>
        <v>0</v>
      </c>
      <c r="E91" s="6">
        <f>base!BF91</f>
        <v>0</v>
      </c>
      <c r="G91" s="6">
        <f>base!G91</f>
        <v>0</v>
      </c>
      <c r="H91" s="6">
        <f>base!I91</f>
        <v>0</v>
      </c>
      <c r="I91" s="6">
        <f>base!S91</f>
        <v>0</v>
      </c>
      <c r="J91" s="6">
        <f>base!T91</f>
        <v>0</v>
      </c>
      <c r="K91" s="6">
        <f>base!U91</f>
        <v>0</v>
      </c>
      <c r="L91" s="6">
        <f>base!Y91</f>
        <v>0</v>
      </c>
      <c r="M91" s="6">
        <f>base!AH91</f>
        <v>0</v>
      </c>
      <c r="N91" s="6">
        <f>base!AI91</f>
        <v>0</v>
      </c>
      <c r="O91" s="6">
        <f>base!BA91</f>
        <v>0</v>
      </c>
      <c r="P91" s="7">
        <f>base!BK91</f>
        <v>0</v>
      </c>
      <c r="Q91" s="6">
        <f>base!BS91</f>
        <v>0</v>
      </c>
    </row>
    <row r="92" spans="1:17" x14ac:dyDescent="0.35">
      <c r="A92" s="6">
        <f>base!A92</f>
        <v>0</v>
      </c>
      <c r="B92" s="7">
        <f>base!BN92</f>
        <v>0</v>
      </c>
      <c r="C92" s="6">
        <f>base!C92</f>
        <v>0</v>
      </c>
      <c r="D92" s="6">
        <f>base!E92</f>
        <v>0</v>
      </c>
      <c r="E92" s="6">
        <f>base!BF92</f>
        <v>0</v>
      </c>
      <c r="G92" s="6">
        <f>base!G92</f>
        <v>0</v>
      </c>
      <c r="H92" s="6">
        <f>base!I92</f>
        <v>0</v>
      </c>
      <c r="I92" s="6">
        <f>base!S92</f>
        <v>0</v>
      </c>
      <c r="J92" s="6">
        <f>base!T92</f>
        <v>0</v>
      </c>
      <c r="K92" s="6">
        <f>base!U92</f>
        <v>0</v>
      </c>
      <c r="L92" s="6">
        <f>base!Y92</f>
        <v>0</v>
      </c>
      <c r="M92" s="6">
        <f>base!AH92</f>
        <v>0</v>
      </c>
      <c r="N92" s="6">
        <f>base!AI92</f>
        <v>0</v>
      </c>
      <c r="O92" s="6">
        <f>base!BA92</f>
        <v>0</v>
      </c>
      <c r="P92" s="7">
        <f>base!BK92</f>
        <v>0</v>
      </c>
      <c r="Q92" s="6">
        <f>base!BS92</f>
        <v>0</v>
      </c>
    </row>
    <row r="93" spans="1:17" x14ac:dyDescent="0.35">
      <c r="A93" s="6">
        <f>base!A93</f>
        <v>0</v>
      </c>
      <c r="B93" s="7">
        <f>base!BN93</f>
        <v>0</v>
      </c>
      <c r="C93" s="6">
        <f>base!C93</f>
        <v>0</v>
      </c>
      <c r="D93" s="6">
        <f>base!E93</f>
        <v>0</v>
      </c>
      <c r="E93" s="6">
        <f>base!BF93</f>
        <v>0</v>
      </c>
      <c r="G93" s="6">
        <f>base!G93</f>
        <v>0</v>
      </c>
      <c r="H93" s="6">
        <f>base!I93</f>
        <v>0</v>
      </c>
      <c r="I93" s="6">
        <f>base!S93</f>
        <v>0</v>
      </c>
      <c r="J93" s="6">
        <f>base!T93</f>
        <v>0</v>
      </c>
      <c r="K93" s="6">
        <f>base!U93</f>
        <v>0</v>
      </c>
      <c r="L93" s="6">
        <f>base!Y93</f>
        <v>0</v>
      </c>
      <c r="M93" s="6">
        <f>base!AH93</f>
        <v>0</v>
      </c>
      <c r="N93" s="6">
        <f>base!AI93</f>
        <v>0</v>
      </c>
      <c r="O93" s="6">
        <f>base!BA93</f>
        <v>0</v>
      </c>
      <c r="P93" s="7">
        <f>base!BK93</f>
        <v>0</v>
      </c>
      <c r="Q93" s="6">
        <f>base!BS93</f>
        <v>0</v>
      </c>
    </row>
    <row r="94" spans="1:17" x14ac:dyDescent="0.35">
      <c r="A94" s="6">
        <f>base!A94</f>
        <v>0</v>
      </c>
      <c r="B94" s="7">
        <f>base!BN94</f>
        <v>0</v>
      </c>
      <c r="C94" s="6">
        <f>base!C94</f>
        <v>0</v>
      </c>
      <c r="D94" s="6">
        <f>base!E94</f>
        <v>0</v>
      </c>
      <c r="E94" s="6">
        <f>base!BF94</f>
        <v>0</v>
      </c>
      <c r="G94" s="6">
        <f>base!G94</f>
        <v>0</v>
      </c>
      <c r="H94" s="6">
        <f>base!I94</f>
        <v>0</v>
      </c>
      <c r="I94" s="6">
        <f>base!S94</f>
        <v>0</v>
      </c>
      <c r="J94" s="6">
        <f>base!T94</f>
        <v>0</v>
      </c>
      <c r="K94" s="6">
        <f>base!U94</f>
        <v>0</v>
      </c>
      <c r="L94" s="6">
        <f>base!Y94</f>
        <v>0</v>
      </c>
      <c r="M94" s="6">
        <f>base!AH94</f>
        <v>0</v>
      </c>
      <c r="N94" s="6">
        <f>base!AI94</f>
        <v>0</v>
      </c>
      <c r="O94" s="6">
        <f>base!BA94</f>
        <v>0</v>
      </c>
      <c r="P94" s="7">
        <f>base!BK94</f>
        <v>0</v>
      </c>
      <c r="Q94" s="6">
        <f>base!BS94</f>
        <v>0</v>
      </c>
    </row>
    <row r="95" spans="1:17" x14ac:dyDescent="0.35">
      <c r="A95" s="6">
        <f>base!A95</f>
        <v>0</v>
      </c>
      <c r="B95" s="7">
        <f>base!BN95</f>
        <v>0</v>
      </c>
      <c r="C95" s="6">
        <f>base!C95</f>
        <v>0</v>
      </c>
      <c r="D95" s="6">
        <f>base!E95</f>
        <v>0</v>
      </c>
      <c r="E95" s="6">
        <f>base!BF95</f>
        <v>0</v>
      </c>
      <c r="G95" s="6">
        <f>base!G95</f>
        <v>0</v>
      </c>
      <c r="H95" s="6">
        <f>base!I95</f>
        <v>0</v>
      </c>
      <c r="I95" s="6">
        <f>base!S95</f>
        <v>0</v>
      </c>
      <c r="J95" s="6">
        <f>base!T95</f>
        <v>0</v>
      </c>
      <c r="K95" s="6">
        <f>base!U95</f>
        <v>0</v>
      </c>
      <c r="L95" s="6">
        <f>base!Y95</f>
        <v>0</v>
      </c>
      <c r="M95" s="6">
        <f>base!AH95</f>
        <v>0</v>
      </c>
      <c r="N95" s="6">
        <f>base!AI95</f>
        <v>0</v>
      </c>
      <c r="O95" s="6">
        <f>base!BA95</f>
        <v>0</v>
      </c>
      <c r="P95" s="7">
        <f>base!BK95</f>
        <v>0</v>
      </c>
      <c r="Q95" s="6">
        <f>base!BS95</f>
        <v>0</v>
      </c>
    </row>
    <row r="96" spans="1:17" x14ac:dyDescent="0.35">
      <c r="A96" s="6">
        <f>base!A96</f>
        <v>0</v>
      </c>
      <c r="B96" s="7">
        <f>base!BN96</f>
        <v>0</v>
      </c>
      <c r="C96" s="6">
        <f>base!C96</f>
        <v>0</v>
      </c>
      <c r="D96" s="6">
        <f>base!E96</f>
        <v>0</v>
      </c>
      <c r="E96" s="6">
        <f>base!BF96</f>
        <v>0</v>
      </c>
      <c r="G96" s="6">
        <f>base!G96</f>
        <v>0</v>
      </c>
      <c r="H96" s="6">
        <f>base!I96</f>
        <v>0</v>
      </c>
      <c r="I96" s="6">
        <f>base!S96</f>
        <v>0</v>
      </c>
      <c r="J96" s="6">
        <f>base!T96</f>
        <v>0</v>
      </c>
      <c r="K96" s="6">
        <f>base!U96</f>
        <v>0</v>
      </c>
      <c r="L96" s="6">
        <f>base!Y96</f>
        <v>0</v>
      </c>
      <c r="M96" s="6">
        <f>base!AH96</f>
        <v>0</v>
      </c>
      <c r="N96" s="6">
        <f>base!AI96</f>
        <v>0</v>
      </c>
      <c r="O96" s="6">
        <f>base!BA96</f>
        <v>0</v>
      </c>
      <c r="P96" s="7">
        <f>base!BK96</f>
        <v>0</v>
      </c>
      <c r="Q96" s="6">
        <f>base!BS96</f>
        <v>0</v>
      </c>
    </row>
    <row r="97" spans="1:17" x14ac:dyDescent="0.35">
      <c r="A97" s="6">
        <f>base!A97</f>
        <v>0</v>
      </c>
      <c r="B97" s="7">
        <f>base!BN97</f>
        <v>0</v>
      </c>
      <c r="C97" s="6">
        <f>base!C97</f>
        <v>0</v>
      </c>
      <c r="D97" s="6">
        <f>base!E97</f>
        <v>0</v>
      </c>
      <c r="E97" s="6">
        <f>base!BF97</f>
        <v>0</v>
      </c>
      <c r="G97" s="6">
        <f>base!G97</f>
        <v>0</v>
      </c>
      <c r="H97" s="6">
        <f>base!I97</f>
        <v>0</v>
      </c>
      <c r="I97" s="6">
        <f>base!S97</f>
        <v>0</v>
      </c>
      <c r="J97" s="6">
        <f>base!T97</f>
        <v>0</v>
      </c>
      <c r="K97" s="6">
        <f>base!U97</f>
        <v>0</v>
      </c>
      <c r="L97" s="6">
        <f>base!Y97</f>
        <v>0</v>
      </c>
      <c r="M97" s="6">
        <f>base!AH97</f>
        <v>0</v>
      </c>
      <c r="N97" s="6">
        <f>base!AI97</f>
        <v>0</v>
      </c>
      <c r="O97" s="6">
        <f>base!BA97</f>
        <v>0</v>
      </c>
      <c r="P97" s="7">
        <f>base!BK97</f>
        <v>0</v>
      </c>
      <c r="Q97" s="6">
        <f>base!BS97</f>
        <v>0</v>
      </c>
    </row>
    <row r="98" spans="1:17" x14ac:dyDescent="0.35">
      <c r="A98" s="6">
        <f>base!A98</f>
        <v>0</v>
      </c>
      <c r="B98" s="7">
        <f>base!BN98</f>
        <v>0</v>
      </c>
      <c r="C98" s="6">
        <f>base!C98</f>
        <v>0</v>
      </c>
      <c r="D98" s="6">
        <f>base!E98</f>
        <v>0</v>
      </c>
      <c r="E98" s="6">
        <f>base!BF98</f>
        <v>0</v>
      </c>
      <c r="G98" s="6">
        <f>base!G98</f>
        <v>0</v>
      </c>
      <c r="H98" s="6">
        <f>base!I98</f>
        <v>0</v>
      </c>
      <c r="I98" s="6">
        <f>base!S98</f>
        <v>0</v>
      </c>
      <c r="J98" s="6">
        <f>base!T98</f>
        <v>0</v>
      </c>
      <c r="K98" s="6">
        <f>base!U98</f>
        <v>0</v>
      </c>
      <c r="L98" s="6">
        <f>base!Y98</f>
        <v>0</v>
      </c>
      <c r="M98" s="6">
        <f>base!AH98</f>
        <v>0</v>
      </c>
      <c r="N98" s="6">
        <f>base!AI98</f>
        <v>0</v>
      </c>
      <c r="O98" s="6">
        <f>base!BA98</f>
        <v>0</v>
      </c>
      <c r="P98" s="7">
        <f>base!BK98</f>
        <v>0</v>
      </c>
      <c r="Q98" s="6">
        <f>base!BS98</f>
        <v>0</v>
      </c>
    </row>
    <row r="99" spans="1:17" x14ac:dyDescent="0.35">
      <c r="A99" s="6">
        <f>base!A99</f>
        <v>0</v>
      </c>
      <c r="B99" s="7">
        <f>base!BN99</f>
        <v>0</v>
      </c>
      <c r="C99" s="6">
        <f>base!C99</f>
        <v>0</v>
      </c>
      <c r="D99" s="6">
        <f>base!E99</f>
        <v>0</v>
      </c>
      <c r="E99" s="6">
        <f>base!BF99</f>
        <v>0</v>
      </c>
      <c r="G99" s="6">
        <f>base!G99</f>
        <v>0</v>
      </c>
      <c r="H99" s="6">
        <f>base!I99</f>
        <v>0</v>
      </c>
      <c r="I99" s="6">
        <f>base!S99</f>
        <v>0</v>
      </c>
      <c r="J99" s="6">
        <f>base!T99</f>
        <v>0</v>
      </c>
      <c r="K99" s="6">
        <f>base!U99</f>
        <v>0</v>
      </c>
      <c r="L99" s="6">
        <f>base!Y99</f>
        <v>0</v>
      </c>
      <c r="M99" s="6">
        <f>base!AH99</f>
        <v>0</v>
      </c>
      <c r="N99" s="6">
        <f>base!AI99</f>
        <v>0</v>
      </c>
      <c r="O99" s="6">
        <f>base!BA99</f>
        <v>0</v>
      </c>
      <c r="P99" s="7">
        <f>base!BK99</f>
        <v>0</v>
      </c>
      <c r="Q99" s="6">
        <f>base!BS99</f>
        <v>0</v>
      </c>
    </row>
    <row r="100" spans="1:17" x14ac:dyDescent="0.35">
      <c r="A100" s="6">
        <f>base!A100</f>
        <v>0</v>
      </c>
      <c r="B100" s="7">
        <f>base!BN100</f>
        <v>0</v>
      </c>
      <c r="C100" s="6">
        <f>base!C100</f>
        <v>0</v>
      </c>
      <c r="D100" s="6">
        <f>base!E100</f>
        <v>0</v>
      </c>
      <c r="E100" s="6">
        <f>base!BF100</f>
        <v>0</v>
      </c>
      <c r="G100" s="6">
        <f>base!G100</f>
        <v>0</v>
      </c>
      <c r="H100" s="6">
        <f>base!I100</f>
        <v>0</v>
      </c>
      <c r="I100" s="6">
        <f>base!S100</f>
        <v>0</v>
      </c>
      <c r="J100" s="6">
        <f>base!T100</f>
        <v>0</v>
      </c>
      <c r="K100" s="6">
        <f>base!U100</f>
        <v>0</v>
      </c>
      <c r="L100" s="6">
        <f>base!Y100</f>
        <v>0</v>
      </c>
      <c r="M100" s="6">
        <f>base!AH100</f>
        <v>0</v>
      </c>
      <c r="N100" s="6">
        <f>base!AI100</f>
        <v>0</v>
      </c>
      <c r="O100" s="6">
        <f>base!BA100</f>
        <v>0</v>
      </c>
      <c r="P100" s="7">
        <f>base!BK100</f>
        <v>0</v>
      </c>
      <c r="Q100" s="6">
        <f>base!BS100</f>
        <v>0</v>
      </c>
    </row>
    <row r="101" spans="1:17" x14ac:dyDescent="0.35">
      <c r="A101" s="6">
        <f>base!A101</f>
        <v>0</v>
      </c>
      <c r="B101" s="7">
        <f>base!BN101</f>
        <v>0</v>
      </c>
      <c r="C101" s="6">
        <f>base!C101</f>
        <v>0</v>
      </c>
      <c r="D101" s="6">
        <f>base!E101</f>
        <v>0</v>
      </c>
      <c r="E101" s="6">
        <f>base!BF101</f>
        <v>0</v>
      </c>
      <c r="G101" s="6">
        <f>base!G101</f>
        <v>0</v>
      </c>
      <c r="H101" s="6">
        <f>base!I101</f>
        <v>0</v>
      </c>
      <c r="I101" s="6">
        <f>base!S101</f>
        <v>0</v>
      </c>
      <c r="J101" s="6">
        <f>base!T101</f>
        <v>0</v>
      </c>
      <c r="K101" s="6">
        <f>base!U101</f>
        <v>0</v>
      </c>
      <c r="L101" s="6">
        <f>base!Y101</f>
        <v>0</v>
      </c>
      <c r="M101" s="6">
        <f>base!AH101</f>
        <v>0</v>
      </c>
      <c r="N101" s="6">
        <f>base!AI101</f>
        <v>0</v>
      </c>
      <c r="O101" s="6">
        <f>base!BA101</f>
        <v>0</v>
      </c>
      <c r="P101" s="7">
        <f>base!BK101</f>
        <v>0</v>
      </c>
      <c r="Q101" s="6">
        <f>base!BS101</f>
        <v>0</v>
      </c>
    </row>
    <row r="102" spans="1:17" x14ac:dyDescent="0.35">
      <c r="A102" s="6">
        <f>base!A102</f>
        <v>0</v>
      </c>
      <c r="B102" s="7">
        <f>base!BN102</f>
        <v>0</v>
      </c>
      <c r="C102" s="6">
        <f>base!C102</f>
        <v>0</v>
      </c>
      <c r="D102" s="6">
        <f>base!E102</f>
        <v>0</v>
      </c>
      <c r="E102" s="6">
        <f>base!BF102</f>
        <v>0</v>
      </c>
      <c r="G102" s="6">
        <f>base!G102</f>
        <v>0</v>
      </c>
      <c r="H102" s="6">
        <f>base!I102</f>
        <v>0</v>
      </c>
      <c r="I102" s="6">
        <f>base!S102</f>
        <v>0</v>
      </c>
      <c r="J102" s="6">
        <f>base!T102</f>
        <v>0</v>
      </c>
      <c r="K102" s="6">
        <f>base!U102</f>
        <v>0</v>
      </c>
      <c r="L102" s="6">
        <f>base!Y102</f>
        <v>0</v>
      </c>
      <c r="M102" s="6">
        <f>base!AH102</f>
        <v>0</v>
      </c>
      <c r="N102" s="6">
        <f>base!AI102</f>
        <v>0</v>
      </c>
      <c r="O102" s="6">
        <f>base!BA102</f>
        <v>0</v>
      </c>
      <c r="P102" s="7">
        <f>base!BK102</f>
        <v>0</v>
      </c>
      <c r="Q102" s="6">
        <f>base!BS102</f>
        <v>0</v>
      </c>
    </row>
    <row r="103" spans="1:17" x14ac:dyDescent="0.35">
      <c r="A103" s="6">
        <f>base!A103</f>
        <v>0</v>
      </c>
      <c r="B103" s="7">
        <f>base!BN103</f>
        <v>0</v>
      </c>
      <c r="C103" s="6">
        <f>base!C103</f>
        <v>0</v>
      </c>
      <c r="D103" s="6">
        <f>base!E103</f>
        <v>0</v>
      </c>
      <c r="E103" s="6">
        <f>base!BF103</f>
        <v>0</v>
      </c>
      <c r="G103" s="6">
        <f>base!G103</f>
        <v>0</v>
      </c>
      <c r="H103" s="6">
        <f>base!I103</f>
        <v>0</v>
      </c>
      <c r="I103" s="6">
        <f>base!S103</f>
        <v>0</v>
      </c>
      <c r="J103" s="6">
        <f>base!T103</f>
        <v>0</v>
      </c>
      <c r="K103" s="6">
        <f>base!U103</f>
        <v>0</v>
      </c>
      <c r="L103" s="6">
        <f>base!Y103</f>
        <v>0</v>
      </c>
      <c r="M103" s="6">
        <f>base!AH103</f>
        <v>0</v>
      </c>
      <c r="N103" s="6">
        <f>base!AI103</f>
        <v>0</v>
      </c>
      <c r="O103" s="6">
        <f>base!BA103</f>
        <v>0</v>
      </c>
      <c r="P103" s="7">
        <f>base!BK103</f>
        <v>0</v>
      </c>
      <c r="Q103" s="6">
        <f>base!BS103</f>
        <v>0</v>
      </c>
    </row>
    <row r="104" spans="1:17" x14ac:dyDescent="0.35">
      <c r="A104" s="6">
        <f>base!A104</f>
        <v>0</v>
      </c>
      <c r="B104" s="7">
        <f>base!BN104</f>
        <v>0</v>
      </c>
      <c r="C104" s="6">
        <f>base!C104</f>
        <v>0</v>
      </c>
      <c r="D104" s="6">
        <f>base!E104</f>
        <v>0</v>
      </c>
      <c r="E104" s="6">
        <f>base!BF104</f>
        <v>0</v>
      </c>
      <c r="G104" s="6">
        <f>base!G104</f>
        <v>0</v>
      </c>
      <c r="H104" s="6">
        <f>base!I104</f>
        <v>0</v>
      </c>
      <c r="I104" s="6">
        <f>base!S104</f>
        <v>0</v>
      </c>
      <c r="J104" s="6">
        <f>base!T104</f>
        <v>0</v>
      </c>
      <c r="K104" s="6">
        <f>base!U104</f>
        <v>0</v>
      </c>
      <c r="L104" s="6">
        <f>base!Y104</f>
        <v>0</v>
      </c>
      <c r="M104" s="6">
        <f>base!AH104</f>
        <v>0</v>
      </c>
      <c r="N104" s="6">
        <f>base!AI104</f>
        <v>0</v>
      </c>
      <c r="O104" s="6">
        <f>base!BA104</f>
        <v>0</v>
      </c>
      <c r="P104" s="7">
        <f>base!BK104</f>
        <v>0</v>
      </c>
      <c r="Q104" s="6">
        <f>base!BS104</f>
        <v>0</v>
      </c>
    </row>
    <row r="105" spans="1:17" x14ac:dyDescent="0.35">
      <c r="A105" s="6">
        <f>base!A105</f>
        <v>0</v>
      </c>
      <c r="B105" s="7">
        <f>base!BN105</f>
        <v>0</v>
      </c>
      <c r="C105" s="6">
        <f>base!C105</f>
        <v>0</v>
      </c>
      <c r="D105" s="6">
        <f>base!E105</f>
        <v>0</v>
      </c>
      <c r="E105" s="6">
        <f>base!BF105</f>
        <v>0</v>
      </c>
      <c r="G105" s="6">
        <f>base!G105</f>
        <v>0</v>
      </c>
      <c r="H105" s="6">
        <f>base!I105</f>
        <v>0</v>
      </c>
      <c r="I105" s="6">
        <f>base!S105</f>
        <v>0</v>
      </c>
      <c r="J105" s="6">
        <f>base!T105</f>
        <v>0</v>
      </c>
      <c r="K105" s="6">
        <f>base!U105</f>
        <v>0</v>
      </c>
      <c r="L105" s="6">
        <f>base!Y105</f>
        <v>0</v>
      </c>
      <c r="M105" s="6">
        <f>base!AH105</f>
        <v>0</v>
      </c>
      <c r="N105" s="6">
        <f>base!AI105</f>
        <v>0</v>
      </c>
      <c r="O105" s="6">
        <f>base!BA105</f>
        <v>0</v>
      </c>
      <c r="P105" s="7">
        <f>base!BK105</f>
        <v>0</v>
      </c>
      <c r="Q105" s="6">
        <f>base!BS105</f>
        <v>0</v>
      </c>
    </row>
    <row r="106" spans="1:17" x14ac:dyDescent="0.35">
      <c r="A106" s="6">
        <f>base!A106</f>
        <v>0</v>
      </c>
      <c r="B106" s="7">
        <f>base!BN106</f>
        <v>0</v>
      </c>
      <c r="C106" s="6">
        <f>base!C106</f>
        <v>0</v>
      </c>
      <c r="D106" s="6">
        <f>base!E106</f>
        <v>0</v>
      </c>
      <c r="E106" s="6">
        <f>base!BF106</f>
        <v>0</v>
      </c>
      <c r="G106" s="6">
        <f>base!G106</f>
        <v>0</v>
      </c>
      <c r="H106" s="6">
        <f>base!I106</f>
        <v>0</v>
      </c>
      <c r="I106" s="6">
        <f>base!S106</f>
        <v>0</v>
      </c>
      <c r="J106" s="6">
        <f>base!T106</f>
        <v>0</v>
      </c>
      <c r="K106" s="6">
        <f>base!U106</f>
        <v>0</v>
      </c>
      <c r="L106" s="6">
        <f>base!Y106</f>
        <v>0</v>
      </c>
      <c r="M106" s="6">
        <f>base!AH106</f>
        <v>0</v>
      </c>
      <c r="N106" s="6">
        <f>base!AI106</f>
        <v>0</v>
      </c>
      <c r="O106" s="6">
        <f>base!BA106</f>
        <v>0</v>
      </c>
      <c r="P106" s="7">
        <f>base!BK106</f>
        <v>0</v>
      </c>
      <c r="Q106" s="6">
        <f>base!BS106</f>
        <v>0</v>
      </c>
    </row>
    <row r="107" spans="1:17" x14ac:dyDescent="0.35">
      <c r="A107" s="6">
        <f>base!A107</f>
        <v>0</v>
      </c>
      <c r="B107" s="7">
        <f>base!BN107</f>
        <v>0</v>
      </c>
      <c r="C107" s="6">
        <f>base!C107</f>
        <v>0</v>
      </c>
      <c r="D107" s="6">
        <f>base!E107</f>
        <v>0</v>
      </c>
      <c r="E107" s="6">
        <f>base!BF107</f>
        <v>0</v>
      </c>
      <c r="G107" s="6">
        <f>base!G107</f>
        <v>0</v>
      </c>
      <c r="H107" s="6">
        <f>base!I107</f>
        <v>0</v>
      </c>
      <c r="I107" s="6">
        <f>base!S107</f>
        <v>0</v>
      </c>
      <c r="J107" s="6">
        <f>base!T107</f>
        <v>0</v>
      </c>
      <c r="K107" s="6">
        <f>base!U107</f>
        <v>0</v>
      </c>
      <c r="L107" s="6">
        <f>base!Y107</f>
        <v>0</v>
      </c>
      <c r="M107" s="6">
        <f>base!AH107</f>
        <v>0</v>
      </c>
      <c r="N107" s="6">
        <f>base!AI107</f>
        <v>0</v>
      </c>
      <c r="O107" s="6">
        <f>base!BA107</f>
        <v>0</v>
      </c>
      <c r="P107" s="7">
        <f>base!BK107</f>
        <v>0</v>
      </c>
      <c r="Q107" s="6">
        <f>base!BS107</f>
        <v>0</v>
      </c>
    </row>
    <row r="108" spans="1:17" x14ac:dyDescent="0.35">
      <c r="A108" s="6">
        <f>base!A108</f>
        <v>0</v>
      </c>
      <c r="B108" s="7">
        <f>base!BN108</f>
        <v>0</v>
      </c>
      <c r="C108" s="6">
        <f>base!C108</f>
        <v>0</v>
      </c>
      <c r="D108" s="6">
        <f>base!E108</f>
        <v>0</v>
      </c>
      <c r="E108" s="6">
        <f>base!BF108</f>
        <v>0</v>
      </c>
      <c r="G108" s="6">
        <f>base!G108</f>
        <v>0</v>
      </c>
      <c r="H108" s="6">
        <f>base!I108</f>
        <v>0</v>
      </c>
      <c r="I108" s="6">
        <f>base!S108</f>
        <v>0</v>
      </c>
      <c r="J108" s="6">
        <f>base!T108</f>
        <v>0</v>
      </c>
      <c r="K108" s="6">
        <f>base!U108</f>
        <v>0</v>
      </c>
      <c r="L108" s="6">
        <f>base!Y108</f>
        <v>0</v>
      </c>
      <c r="M108" s="6">
        <f>base!AH108</f>
        <v>0</v>
      </c>
      <c r="N108" s="6">
        <f>base!AI108</f>
        <v>0</v>
      </c>
      <c r="O108" s="6">
        <f>base!BA108</f>
        <v>0</v>
      </c>
      <c r="P108" s="7">
        <f>base!BK108</f>
        <v>0</v>
      </c>
      <c r="Q108" s="6">
        <f>base!BS108</f>
        <v>0</v>
      </c>
    </row>
    <row r="109" spans="1:17" x14ac:dyDescent="0.35">
      <c r="A109" s="6">
        <f>base!A109</f>
        <v>0</v>
      </c>
      <c r="B109" s="7">
        <f>base!BN109</f>
        <v>0</v>
      </c>
      <c r="C109" s="6">
        <f>base!C109</f>
        <v>0</v>
      </c>
      <c r="D109" s="6">
        <f>base!E109</f>
        <v>0</v>
      </c>
      <c r="E109" s="6">
        <f>base!BF109</f>
        <v>0</v>
      </c>
      <c r="G109" s="6">
        <f>base!G109</f>
        <v>0</v>
      </c>
      <c r="H109" s="6">
        <f>base!I109</f>
        <v>0</v>
      </c>
      <c r="I109" s="6">
        <f>base!S109</f>
        <v>0</v>
      </c>
      <c r="J109" s="6">
        <f>base!T109</f>
        <v>0</v>
      </c>
      <c r="K109" s="6">
        <f>base!U109</f>
        <v>0</v>
      </c>
      <c r="L109" s="6">
        <f>base!Y109</f>
        <v>0</v>
      </c>
      <c r="M109" s="6">
        <f>base!AH109</f>
        <v>0</v>
      </c>
      <c r="N109" s="6">
        <f>base!AI109</f>
        <v>0</v>
      </c>
      <c r="O109" s="6">
        <f>base!BA109</f>
        <v>0</v>
      </c>
      <c r="P109" s="7">
        <f>base!BK109</f>
        <v>0</v>
      </c>
      <c r="Q109" s="6">
        <f>base!BS109</f>
        <v>0</v>
      </c>
    </row>
    <row r="110" spans="1:17" x14ac:dyDescent="0.35">
      <c r="A110" s="6">
        <f>base!A110</f>
        <v>0</v>
      </c>
      <c r="B110" s="7">
        <f>base!BN110</f>
        <v>0</v>
      </c>
      <c r="C110" s="6">
        <f>base!C110</f>
        <v>0</v>
      </c>
      <c r="D110" s="6">
        <f>base!E110</f>
        <v>0</v>
      </c>
      <c r="E110" s="6">
        <f>base!BF110</f>
        <v>0</v>
      </c>
      <c r="G110" s="6">
        <f>base!G110</f>
        <v>0</v>
      </c>
      <c r="H110" s="6">
        <f>base!I110</f>
        <v>0</v>
      </c>
      <c r="I110" s="6">
        <f>base!S110</f>
        <v>0</v>
      </c>
      <c r="J110" s="6">
        <f>base!T110</f>
        <v>0</v>
      </c>
      <c r="K110" s="6">
        <f>base!U110</f>
        <v>0</v>
      </c>
      <c r="L110" s="6">
        <f>base!Y110</f>
        <v>0</v>
      </c>
      <c r="M110" s="6">
        <f>base!AH110</f>
        <v>0</v>
      </c>
      <c r="N110" s="6">
        <f>base!AI110</f>
        <v>0</v>
      </c>
      <c r="O110" s="6">
        <f>base!BA110</f>
        <v>0</v>
      </c>
      <c r="P110" s="7">
        <f>base!BK110</f>
        <v>0</v>
      </c>
      <c r="Q110" s="6">
        <f>base!BS110</f>
        <v>0</v>
      </c>
    </row>
    <row r="111" spans="1:17" x14ac:dyDescent="0.35">
      <c r="A111" s="6">
        <f>base!A111</f>
        <v>0</v>
      </c>
      <c r="B111" s="7">
        <f>base!BN111</f>
        <v>0</v>
      </c>
      <c r="C111" s="6">
        <f>base!C111</f>
        <v>0</v>
      </c>
      <c r="D111" s="6">
        <f>base!E111</f>
        <v>0</v>
      </c>
      <c r="E111" s="6">
        <f>base!BF111</f>
        <v>0</v>
      </c>
      <c r="G111" s="6">
        <f>base!G111</f>
        <v>0</v>
      </c>
      <c r="H111" s="6">
        <f>base!I111</f>
        <v>0</v>
      </c>
      <c r="I111" s="6">
        <f>base!S111</f>
        <v>0</v>
      </c>
      <c r="J111" s="6">
        <f>base!T111</f>
        <v>0</v>
      </c>
      <c r="K111" s="6">
        <f>base!U111</f>
        <v>0</v>
      </c>
      <c r="L111" s="6">
        <f>base!Y111</f>
        <v>0</v>
      </c>
      <c r="M111" s="6">
        <f>base!AH111</f>
        <v>0</v>
      </c>
      <c r="N111" s="6">
        <f>base!AI111</f>
        <v>0</v>
      </c>
      <c r="O111" s="6">
        <f>base!BA111</f>
        <v>0</v>
      </c>
      <c r="P111" s="7">
        <f>base!BK111</f>
        <v>0</v>
      </c>
      <c r="Q111" s="6">
        <f>base!BS111</f>
        <v>0</v>
      </c>
    </row>
    <row r="112" spans="1:17" x14ac:dyDescent="0.35">
      <c r="A112" s="6">
        <f>base!A112</f>
        <v>0</v>
      </c>
      <c r="B112" s="7">
        <f>base!BN112</f>
        <v>0</v>
      </c>
      <c r="C112" s="6">
        <f>base!C112</f>
        <v>0</v>
      </c>
      <c r="D112" s="6">
        <f>base!E112</f>
        <v>0</v>
      </c>
      <c r="E112" s="6">
        <f>base!BF112</f>
        <v>0</v>
      </c>
      <c r="G112" s="6">
        <f>base!G112</f>
        <v>0</v>
      </c>
      <c r="H112" s="6">
        <f>base!I112</f>
        <v>0</v>
      </c>
      <c r="I112" s="6">
        <f>base!S112</f>
        <v>0</v>
      </c>
      <c r="J112" s="6">
        <f>base!T112</f>
        <v>0</v>
      </c>
      <c r="K112" s="6">
        <f>base!U112</f>
        <v>0</v>
      </c>
      <c r="L112" s="6">
        <f>base!Y112</f>
        <v>0</v>
      </c>
      <c r="M112" s="6">
        <f>base!AH112</f>
        <v>0</v>
      </c>
      <c r="N112" s="6">
        <f>base!AI112</f>
        <v>0</v>
      </c>
      <c r="O112" s="6">
        <f>base!BA112</f>
        <v>0</v>
      </c>
      <c r="P112" s="7">
        <f>base!BK112</f>
        <v>0</v>
      </c>
      <c r="Q112" s="6">
        <f>base!BS112</f>
        <v>0</v>
      </c>
    </row>
    <row r="113" spans="1:17" x14ac:dyDescent="0.35">
      <c r="A113" s="6">
        <f>base!A113</f>
        <v>0</v>
      </c>
      <c r="B113" s="7">
        <f>base!BN113</f>
        <v>0</v>
      </c>
      <c r="C113" s="6">
        <f>base!C113</f>
        <v>0</v>
      </c>
      <c r="D113" s="6">
        <f>base!E113</f>
        <v>0</v>
      </c>
      <c r="E113" s="6">
        <f>base!BF113</f>
        <v>0</v>
      </c>
      <c r="G113" s="6">
        <f>base!G113</f>
        <v>0</v>
      </c>
      <c r="H113" s="6">
        <f>base!I113</f>
        <v>0</v>
      </c>
      <c r="I113" s="6">
        <f>base!S113</f>
        <v>0</v>
      </c>
      <c r="J113" s="6">
        <f>base!T113</f>
        <v>0</v>
      </c>
      <c r="K113" s="6">
        <f>base!U113</f>
        <v>0</v>
      </c>
      <c r="L113" s="6">
        <f>base!Y113</f>
        <v>0</v>
      </c>
      <c r="M113" s="6">
        <f>base!AH113</f>
        <v>0</v>
      </c>
      <c r="N113" s="6">
        <f>base!AI113</f>
        <v>0</v>
      </c>
      <c r="O113" s="6">
        <f>base!BA113</f>
        <v>0</v>
      </c>
      <c r="P113" s="7">
        <f>base!BK113</f>
        <v>0</v>
      </c>
      <c r="Q113" s="6">
        <f>base!BS113</f>
        <v>0</v>
      </c>
    </row>
    <row r="114" spans="1:17" x14ac:dyDescent="0.35">
      <c r="A114" s="6">
        <f>base!A114</f>
        <v>0</v>
      </c>
      <c r="B114" s="7">
        <f>base!BN114</f>
        <v>0</v>
      </c>
      <c r="C114" s="6">
        <f>base!C114</f>
        <v>0</v>
      </c>
      <c r="D114" s="6">
        <f>base!E114</f>
        <v>0</v>
      </c>
      <c r="E114" s="6">
        <f>base!BF114</f>
        <v>0</v>
      </c>
      <c r="G114" s="6">
        <f>base!G114</f>
        <v>0</v>
      </c>
      <c r="H114" s="6">
        <f>base!I114</f>
        <v>0</v>
      </c>
      <c r="I114" s="6">
        <f>base!S114</f>
        <v>0</v>
      </c>
      <c r="J114" s="6">
        <f>base!T114</f>
        <v>0</v>
      </c>
      <c r="K114" s="6">
        <f>base!U114</f>
        <v>0</v>
      </c>
      <c r="L114" s="6">
        <f>base!Y114</f>
        <v>0</v>
      </c>
      <c r="M114" s="6">
        <f>base!AH114</f>
        <v>0</v>
      </c>
      <c r="N114" s="6">
        <f>base!AI114</f>
        <v>0</v>
      </c>
      <c r="O114" s="6">
        <f>base!BA114</f>
        <v>0</v>
      </c>
      <c r="P114" s="7">
        <f>base!BK114</f>
        <v>0</v>
      </c>
      <c r="Q114" s="6">
        <f>base!BS114</f>
        <v>0</v>
      </c>
    </row>
    <row r="115" spans="1:17" x14ac:dyDescent="0.35">
      <c r="A115" s="6">
        <f>base!A115</f>
        <v>0</v>
      </c>
      <c r="B115" s="7">
        <f>base!BN115</f>
        <v>0</v>
      </c>
      <c r="C115" s="6">
        <f>base!C115</f>
        <v>0</v>
      </c>
      <c r="D115" s="6">
        <f>base!E115</f>
        <v>0</v>
      </c>
      <c r="E115" s="6">
        <f>base!BF115</f>
        <v>0</v>
      </c>
      <c r="G115" s="6">
        <f>base!G115</f>
        <v>0</v>
      </c>
      <c r="H115" s="6">
        <f>base!I115</f>
        <v>0</v>
      </c>
      <c r="I115" s="6">
        <f>base!S115</f>
        <v>0</v>
      </c>
      <c r="J115" s="6">
        <f>base!T115</f>
        <v>0</v>
      </c>
      <c r="K115" s="6">
        <f>base!U115</f>
        <v>0</v>
      </c>
      <c r="L115" s="6">
        <f>base!Y115</f>
        <v>0</v>
      </c>
      <c r="M115" s="6">
        <f>base!AH115</f>
        <v>0</v>
      </c>
      <c r="N115" s="6">
        <f>base!AI115</f>
        <v>0</v>
      </c>
      <c r="O115" s="6">
        <f>base!BA115</f>
        <v>0</v>
      </c>
      <c r="P115" s="7">
        <f>base!BK115</f>
        <v>0</v>
      </c>
      <c r="Q115" s="6">
        <f>base!BS115</f>
        <v>0</v>
      </c>
    </row>
    <row r="116" spans="1:17" x14ac:dyDescent="0.35">
      <c r="A116" s="6">
        <f>base!A116</f>
        <v>0</v>
      </c>
      <c r="B116" s="7">
        <f>base!BN116</f>
        <v>0</v>
      </c>
      <c r="C116" s="6">
        <f>base!C116</f>
        <v>0</v>
      </c>
      <c r="D116" s="6">
        <f>base!E116</f>
        <v>0</v>
      </c>
      <c r="E116" s="6">
        <f>base!BF116</f>
        <v>0</v>
      </c>
      <c r="G116" s="6">
        <f>base!G116</f>
        <v>0</v>
      </c>
      <c r="H116" s="6">
        <f>base!I116</f>
        <v>0</v>
      </c>
      <c r="I116" s="6">
        <f>base!S116</f>
        <v>0</v>
      </c>
      <c r="J116" s="6">
        <f>base!T116</f>
        <v>0</v>
      </c>
      <c r="K116" s="6">
        <f>base!U116</f>
        <v>0</v>
      </c>
      <c r="L116" s="6">
        <f>base!Y116</f>
        <v>0</v>
      </c>
      <c r="M116" s="6">
        <f>base!AH116</f>
        <v>0</v>
      </c>
      <c r="N116" s="6">
        <f>base!AI116</f>
        <v>0</v>
      </c>
      <c r="O116" s="6">
        <f>base!BA116</f>
        <v>0</v>
      </c>
      <c r="P116" s="7">
        <f>base!BK116</f>
        <v>0</v>
      </c>
      <c r="Q116" s="6">
        <f>base!BS116</f>
        <v>0</v>
      </c>
    </row>
    <row r="117" spans="1:17" x14ac:dyDescent="0.35">
      <c r="A117" s="6">
        <f>base!A117</f>
        <v>0</v>
      </c>
      <c r="B117" s="7">
        <f>base!BN117</f>
        <v>0</v>
      </c>
      <c r="C117" s="6">
        <f>base!C117</f>
        <v>0</v>
      </c>
      <c r="D117" s="6">
        <f>base!E117</f>
        <v>0</v>
      </c>
      <c r="E117" s="6">
        <f>base!BF117</f>
        <v>0</v>
      </c>
      <c r="G117" s="6">
        <f>base!G117</f>
        <v>0</v>
      </c>
      <c r="H117" s="6">
        <f>base!I117</f>
        <v>0</v>
      </c>
      <c r="I117" s="6">
        <f>base!S117</f>
        <v>0</v>
      </c>
      <c r="J117" s="6">
        <f>base!T117</f>
        <v>0</v>
      </c>
      <c r="K117" s="6">
        <f>base!U117</f>
        <v>0</v>
      </c>
      <c r="L117" s="6">
        <f>base!Y117</f>
        <v>0</v>
      </c>
      <c r="M117" s="6">
        <f>base!AH117</f>
        <v>0</v>
      </c>
      <c r="N117" s="6">
        <f>base!AI117</f>
        <v>0</v>
      </c>
      <c r="O117" s="6">
        <f>base!BA117</f>
        <v>0</v>
      </c>
      <c r="P117" s="7">
        <f>base!BK117</f>
        <v>0</v>
      </c>
      <c r="Q117" s="6">
        <f>base!BS117</f>
        <v>0</v>
      </c>
    </row>
    <row r="118" spans="1:17" x14ac:dyDescent="0.35">
      <c r="A118" s="6">
        <f>base!A118</f>
        <v>0</v>
      </c>
      <c r="B118" s="7">
        <f>base!BN118</f>
        <v>0</v>
      </c>
      <c r="C118" s="6">
        <f>base!C118</f>
        <v>0</v>
      </c>
      <c r="D118" s="6">
        <f>base!E118</f>
        <v>0</v>
      </c>
      <c r="E118" s="6">
        <f>base!BF118</f>
        <v>0</v>
      </c>
      <c r="G118" s="6">
        <f>base!G118</f>
        <v>0</v>
      </c>
      <c r="H118" s="6">
        <f>base!I118</f>
        <v>0</v>
      </c>
      <c r="I118" s="6">
        <f>base!S118</f>
        <v>0</v>
      </c>
      <c r="J118" s="6">
        <f>base!T118</f>
        <v>0</v>
      </c>
      <c r="K118" s="6">
        <f>base!U118</f>
        <v>0</v>
      </c>
      <c r="L118" s="6">
        <f>base!Y118</f>
        <v>0</v>
      </c>
      <c r="M118" s="6">
        <f>base!AH118</f>
        <v>0</v>
      </c>
      <c r="N118" s="6">
        <f>base!AI118</f>
        <v>0</v>
      </c>
      <c r="O118" s="6">
        <f>base!BA118</f>
        <v>0</v>
      </c>
      <c r="P118" s="7">
        <f>base!BK118</f>
        <v>0</v>
      </c>
      <c r="Q118" s="6">
        <f>base!BS118</f>
        <v>0</v>
      </c>
    </row>
    <row r="119" spans="1:17" x14ac:dyDescent="0.35">
      <c r="A119" s="6">
        <f>base!A119</f>
        <v>0</v>
      </c>
      <c r="B119" s="7">
        <f>base!BN119</f>
        <v>0</v>
      </c>
      <c r="C119" s="6">
        <f>base!C119</f>
        <v>0</v>
      </c>
      <c r="D119" s="6">
        <f>base!E119</f>
        <v>0</v>
      </c>
      <c r="E119" s="6">
        <f>base!BF119</f>
        <v>0</v>
      </c>
      <c r="G119" s="6">
        <f>base!G119</f>
        <v>0</v>
      </c>
      <c r="H119" s="6">
        <f>base!I119</f>
        <v>0</v>
      </c>
      <c r="I119" s="6">
        <f>base!S119</f>
        <v>0</v>
      </c>
      <c r="J119" s="6">
        <f>base!T119</f>
        <v>0</v>
      </c>
      <c r="K119" s="6">
        <f>base!U119</f>
        <v>0</v>
      </c>
      <c r="L119" s="6">
        <f>base!Y119</f>
        <v>0</v>
      </c>
      <c r="M119" s="6">
        <f>base!AH119</f>
        <v>0</v>
      </c>
      <c r="N119" s="6">
        <f>base!AI119</f>
        <v>0</v>
      </c>
      <c r="O119" s="6">
        <f>base!BA119</f>
        <v>0</v>
      </c>
      <c r="P119" s="7">
        <f>base!BK119</f>
        <v>0</v>
      </c>
      <c r="Q119" s="6">
        <f>base!BS119</f>
        <v>0</v>
      </c>
    </row>
    <row r="120" spans="1:17" x14ac:dyDescent="0.35">
      <c r="A120" s="6">
        <f>base!A120</f>
        <v>0</v>
      </c>
      <c r="B120" s="7">
        <f>base!BN120</f>
        <v>0</v>
      </c>
      <c r="C120" s="6">
        <f>base!C120</f>
        <v>0</v>
      </c>
      <c r="D120" s="6">
        <f>base!E120</f>
        <v>0</v>
      </c>
      <c r="E120" s="6">
        <f>base!BF120</f>
        <v>0</v>
      </c>
      <c r="G120" s="6">
        <f>base!G120</f>
        <v>0</v>
      </c>
      <c r="H120" s="6">
        <f>base!I120</f>
        <v>0</v>
      </c>
      <c r="I120" s="6">
        <f>base!S120</f>
        <v>0</v>
      </c>
      <c r="J120" s="6">
        <f>base!T120</f>
        <v>0</v>
      </c>
      <c r="K120" s="6">
        <f>base!U120</f>
        <v>0</v>
      </c>
      <c r="L120" s="6">
        <f>base!Y120</f>
        <v>0</v>
      </c>
      <c r="M120" s="6">
        <f>base!AH120</f>
        <v>0</v>
      </c>
      <c r="N120" s="6">
        <f>base!AI120</f>
        <v>0</v>
      </c>
      <c r="O120" s="6">
        <f>base!BA120</f>
        <v>0</v>
      </c>
      <c r="P120" s="7">
        <f>base!BK120</f>
        <v>0</v>
      </c>
      <c r="Q120" s="6">
        <f>base!BS120</f>
        <v>0</v>
      </c>
    </row>
    <row r="121" spans="1:17" x14ac:dyDescent="0.35">
      <c r="A121" s="6">
        <f>base!A121</f>
        <v>0</v>
      </c>
      <c r="B121" s="7">
        <f>base!BN121</f>
        <v>0</v>
      </c>
      <c r="C121" s="6">
        <f>base!C121</f>
        <v>0</v>
      </c>
      <c r="D121" s="6">
        <f>base!E121</f>
        <v>0</v>
      </c>
      <c r="E121" s="6">
        <f>base!BF121</f>
        <v>0</v>
      </c>
      <c r="G121" s="6">
        <f>base!G121</f>
        <v>0</v>
      </c>
      <c r="H121" s="6">
        <f>base!I121</f>
        <v>0</v>
      </c>
      <c r="I121" s="6">
        <f>base!S121</f>
        <v>0</v>
      </c>
      <c r="J121" s="6">
        <f>base!T121</f>
        <v>0</v>
      </c>
      <c r="K121" s="6">
        <f>base!U121</f>
        <v>0</v>
      </c>
      <c r="L121" s="6">
        <f>base!Y121</f>
        <v>0</v>
      </c>
      <c r="M121" s="6">
        <f>base!AH121</f>
        <v>0</v>
      </c>
      <c r="N121" s="6">
        <f>base!AI121</f>
        <v>0</v>
      </c>
      <c r="O121" s="6">
        <f>base!BA121</f>
        <v>0</v>
      </c>
      <c r="P121" s="7">
        <f>base!BK121</f>
        <v>0</v>
      </c>
      <c r="Q121" s="6">
        <f>base!BS121</f>
        <v>0</v>
      </c>
    </row>
    <row r="122" spans="1:17" x14ac:dyDescent="0.35">
      <c r="A122" s="6">
        <f>base!A122</f>
        <v>0</v>
      </c>
      <c r="B122" s="7">
        <f>base!BN122</f>
        <v>0</v>
      </c>
      <c r="C122" s="6">
        <f>base!C122</f>
        <v>0</v>
      </c>
      <c r="D122" s="6">
        <f>base!E122</f>
        <v>0</v>
      </c>
      <c r="E122" s="6">
        <f>base!BF122</f>
        <v>0</v>
      </c>
      <c r="G122" s="6">
        <f>base!G122</f>
        <v>0</v>
      </c>
      <c r="H122" s="6">
        <f>base!I122</f>
        <v>0</v>
      </c>
      <c r="I122" s="6">
        <f>base!S122</f>
        <v>0</v>
      </c>
      <c r="J122" s="6">
        <f>base!T122</f>
        <v>0</v>
      </c>
      <c r="K122" s="6">
        <f>base!U122</f>
        <v>0</v>
      </c>
      <c r="L122" s="6">
        <f>base!Y122</f>
        <v>0</v>
      </c>
      <c r="M122" s="6">
        <f>base!AH122</f>
        <v>0</v>
      </c>
      <c r="N122" s="6">
        <f>base!AI122</f>
        <v>0</v>
      </c>
      <c r="O122" s="6">
        <f>base!BA122</f>
        <v>0</v>
      </c>
      <c r="P122" s="7">
        <f>base!BK122</f>
        <v>0</v>
      </c>
      <c r="Q122" s="6">
        <f>base!BS122</f>
        <v>0</v>
      </c>
    </row>
    <row r="123" spans="1:17" x14ac:dyDescent="0.35">
      <c r="A123" s="6">
        <f>base!A123</f>
        <v>0</v>
      </c>
      <c r="B123" s="7">
        <f>base!BN123</f>
        <v>0</v>
      </c>
      <c r="C123" s="6">
        <f>base!C123</f>
        <v>0</v>
      </c>
      <c r="D123" s="6">
        <f>base!E123</f>
        <v>0</v>
      </c>
      <c r="E123" s="6">
        <f>base!BF123</f>
        <v>0</v>
      </c>
      <c r="G123" s="6">
        <f>base!G123</f>
        <v>0</v>
      </c>
      <c r="H123" s="6">
        <f>base!I123</f>
        <v>0</v>
      </c>
      <c r="I123" s="6">
        <f>base!S123</f>
        <v>0</v>
      </c>
      <c r="J123" s="6">
        <f>base!T123</f>
        <v>0</v>
      </c>
      <c r="K123" s="6">
        <f>base!U123</f>
        <v>0</v>
      </c>
      <c r="L123" s="6">
        <f>base!Y123</f>
        <v>0</v>
      </c>
      <c r="M123" s="6">
        <f>base!AH123</f>
        <v>0</v>
      </c>
      <c r="N123" s="6">
        <f>base!AI123</f>
        <v>0</v>
      </c>
      <c r="O123" s="6">
        <f>base!BA123</f>
        <v>0</v>
      </c>
      <c r="P123" s="7">
        <f>base!BK123</f>
        <v>0</v>
      </c>
      <c r="Q123" s="6">
        <f>base!BS123</f>
        <v>0</v>
      </c>
    </row>
    <row r="124" spans="1:17" x14ac:dyDescent="0.35">
      <c r="A124" s="6">
        <f>base!A124</f>
        <v>0</v>
      </c>
      <c r="B124" s="7">
        <f>base!BN124</f>
        <v>0</v>
      </c>
      <c r="C124" s="6">
        <f>base!C124</f>
        <v>0</v>
      </c>
      <c r="D124" s="6">
        <f>base!E124</f>
        <v>0</v>
      </c>
      <c r="E124" s="6">
        <f>base!BF124</f>
        <v>0</v>
      </c>
      <c r="G124" s="6">
        <f>base!G124</f>
        <v>0</v>
      </c>
      <c r="H124" s="6">
        <f>base!I124</f>
        <v>0</v>
      </c>
      <c r="I124" s="6">
        <f>base!S124</f>
        <v>0</v>
      </c>
      <c r="J124" s="6">
        <f>base!T124</f>
        <v>0</v>
      </c>
      <c r="K124" s="6">
        <f>base!U124</f>
        <v>0</v>
      </c>
      <c r="L124" s="6">
        <f>base!Y124</f>
        <v>0</v>
      </c>
      <c r="M124" s="6">
        <f>base!AH124</f>
        <v>0</v>
      </c>
      <c r="N124" s="6">
        <f>base!AI124</f>
        <v>0</v>
      </c>
      <c r="O124" s="6">
        <f>base!BA124</f>
        <v>0</v>
      </c>
      <c r="P124" s="7">
        <f>base!BK124</f>
        <v>0</v>
      </c>
      <c r="Q124" s="6">
        <f>base!BS124</f>
        <v>0</v>
      </c>
    </row>
    <row r="125" spans="1:17" x14ac:dyDescent="0.35">
      <c r="A125" s="6">
        <f>base!A125</f>
        <v>0</v>
      </c>
      <c r="B125" s="7">
        <f>base!BN125</f>
        <v>0</v>
      </c>
      <c r="C125" s="6">
        <f>base!C125</f>
        <v>0</v>
      </c>
      <c r="D125" s="6">
        <f>base!E125</f>
        <v>0</v>
      </c>
      <c r="E125" s="6">
        <f>base!BF125</f>
        <v>0</v>
      </c>
      <c r="G125" s="6">
        <f>base!G125</f>
        <v>0</v>
      </c>
      <c r="H125" s="6">
        <f>base!I125</f>
        <v>0</v>
      </c>
      <c r="I125" s="6">
        <f>base!S125</f>
        <v>0</v>
      </c>
      <c r="J125" s="6">
        <f>base!T125</f>
        <v>0</v>
      </c>
      <c r="K125" s="6">
        <f>base!U125</f>
        <v>0</v>
      </c>
      <c r="L125" s="6">
        <f>base!Y125</f>
        <v>0</v>
      </c>
      <c r="M125" s="6">
        <f>base!AH125</f>
        <v>0</v>
      </c>
      <c r="N125" s="6">
        <f>base!AI125</f>
        <v>0</v>
      </c>
      <c r="O125" s="6">
        <f>base!BA125</f>
        <v>0</v>
      </c>
      <c r="P125" s="7">
        <f>base!BK125</f>
        <v>0</v>
      </c>
      <c r="Q125" s="6">
        <f>base!BS125</f>
        <v>0</v>
      </c>
    </row>
    <row r="126" spans="1:17" x14ac:dyDescent="0.35">
      <c r="A126" s="6">
        <f>base!A126</f>
        <v>0</v>
      </c>
      <c r="B126" s="7">
        <f>base!BN126</f>
        <v>0</v>
      </c>
      <c r="C126" s="6">
        <f>base!C126</f>
        <v>0</v>
      </c>
      <c r="D126" s="6">
        <f>base!E126</f>
        <v>0</v>
      </c>
      <c r="E126" s="6">
        <f>base!BF126</f>
        <v>0</v>
      </c>
      <c r="G126" s="6">
        <f>base!G126</f>
        <v>0</v>
      </c>
      <c r="H126" s="6">
        <f>base!I126</f>
        <v>0</v>
      </c>
      <c r="I126" s="6">
        <f>base!S126</f>
        <v>0</v>
      </c>
      <c r="J126" s="6">
        <f>base!T126</f>
        <v>0</v>
      </c>
      <c r="K126" s="6">
        <f>base!U126</f>
        <v>0</v>
      </c>
      <c r="L126" s="6">
        <f>base!Y126</f>
        <v>0</v>
      </c>
      <c r="M126" s="6">
        <f>base!AH126</f>
        <v>0</v>
      </c>
      <c r="N126" s="6">
        <f>base!AI126</f>
        <v>0</v>
      </c>
      <c r="O126" s="6">
        <f>base!BA126</f>
        <v>0</v>
      </c>
      <c r="P126" s="7">
        <f>base!BK126</f>
        <v>0</v>
      </c>
      <c r="Q126" s="6">
        <f>base!BS126</f>
        <v>0</v>
      </c>
    </row>
    <row r="127" spans="1:17" x14ac:dyDescent="0.35">
      <c r="A127" s="6">
        <f>base!A127</f>
        <v>0</v>
      </c>
      <c r="B127" s="7">
        <f>base!BN127</f>
        <v>0</v>
      </c>
      <c r="C127" s="6">
        <f>base!C127</f>
        <v>0</v>
      </c>
      <c r="D127" s="6">
        <f>base!E127</f>
        <v>0</v>
      </c>
      <c r="E127" s="6">
        <f>base!BF127</f>
        <v>0</v>
      </c>
      <c r="G127" s="6">
        <f>base!G127</f>
        <v>0</v>
      </c>
      <c r="H127" s="6">
        <f>base!I127</f>
        <v>0</v>
      </c>
      <c r="I127" s="6">
        <f>base!S127</f>
        <v>0</v>
      </c>
      <c r="J127" s="6">
        <f>base!T127</f>
        <v>0</v>
      </c>
      <c r="K127" s="6">
        <f>base!U127</f>
        <v>0</v>
      </c>
      <c r="L127" s="6">
        <f>base!Y127</f>
        <v>0</v>
      </c>
      <c r="M127" s="6">
        <f>base!AH127</f>
        <v>0</v>
      </c>
      <c r="N127" s="6">
        <f>base!AI127</f>
        <v>0</v>
      </c>
      <c r="O127" s="6">
        <f>base!BA127</f>
        <v>0</v>
      </c>
      <c r="P127" s="7">
        <f>base!BK127</f>
        <v>0</v>
      </c>
      <c r="Q127" s="6">
        <f>base!BS127</f>
        <v>0</v>
      </c>
    </row>
    <row r="128" spans="1:17" x14ac:dyDescent="0.35">
      <c r="A128" s="6">
        <f>base!A128</f>
        <v>0</v>
      </c>
      <c r="B128" s="7">
        <f>base!BN128</f>
        <v>0</v>
      </c>
      <c r="C128" s="6">
        <f>base!C128</f>
        <v>0</v>
      </c>
      <c r="D128" s="6">
        <f>base!E128</f>
        <v>0</v>
      </c>
      <c r="E128" s="6">
        <f>base!BF128</f>
        <v>0</v>
      </c>
      <c r="G128" s="6">
        <f>base!G128</f>
        <v>0</v>
      </c>
      <c r="H128" s="6">
        <f>base!I128</f>
        <v>0</v>
      </c>
      <c r="I128" s="6">
        <f>base!S128</f>
        <v>0</v>
      </c>
      <c r="J128" s="6">
        <f>base!T128</f>
        <v>0</v>
      </c>
      <c r="K128" s="6">
        <f>base!U128</f>
        <v>0</v>
      </c>
      <c r="L128" s="6">
        <f>base!Y128</f>
        <v>0</v>
      </c>
      <c r="M128" s="6">
        <f>base!AH128</f>
        <v>0</v>
      </c>
      <c r="N128" s="6">
        <f>base!AI128</f>
        <v>0</v>
      </c>
      <c r="O128" s="6">
        <f>base!BA128</f>
        <v>0</v>
      </c>
      <c r="P128" s="7">
        <f>base!BK128</f>
        <v>0</v>
      </c>
      <c r="Q128" s="6">
        <f>base!BS128</f>
        <v>0</v>
      </c>
    </row>
    <row r="129" spans="1:17" x14ac:dyDescent="0.35">
      <c r="A129" s="6">
        <f>base!A129</f>
        <v>0</v>
      </c>
      <c r="B129" s="7">
        <f>base!BN129</f>
        <v>0</v>
      </c>
      <c r="C129" s="6">
        <f>base!C129</f>
        <v>0</v>
      </c>
      <c r="D129" s="6">
        <f>base!E129</f>
        <v>0</v>
      </c>
      <c r="E129" s="6">
        <f>base!BF129</f>
        <v>0</v>
      </c>
      <c r="G129" s="6">
        <f>base!G129</f>
        <v>0</v>
      </c>
      <c r="H129" s="6">
        <f>base!I129</f>
        <v>0</v>
      </c>
      <c r="I129" s="6">
        <f>base!S129</f>
        <v>0</v>
      </c>
      <c r="J129" s="6">
        <f>base!T129</f>
        <v>0</v>
      </c>
      <c r="K129" s="6">
        <f>base!U129</f>
        <v>0</v>
      </c>
      <c r="L129" s="6">
        <f>base!Y129</f>
        <v>0</v>
      </c>
      <c r="M129" s="6">
        <f>base!AH129</f>
        <v>0</v>
      </c>
      <c r="N129" s="6">
        <f>base!AI129</f>
        <v>0</v>
      </c>
      <c r="O129" s="6">
        <f>base!BA129</f>
        <v>0</v>
      </c>
      <c r="P129" s="7">
        <f>base!BK129</f>
        <v>0</v>
      </c>
      <c r="Q129" s="6">
        <f>base!BS129</f>
        <v>0</v>
      </c>
    </row>
    <row r="130" spans="1:17" x14ac:dyDescent="0.35">
      <c r="A130" s="6">
        <f>base!A130</f>
        <v>0</v>
      </c>
      <c r="B130" s="7">
        <f>base!BN130</f>
        <v>0</v>
      </c>
      <c r="C130" s="6">
        <f>base!C130</f>
        <v>0</v>
      </c>
      <c r="D130" s="6">
        <f>base!E130</f>
        <v>0</v>
      </c>
      <c r="E130" s="6">
        <f>base!BF130</f>
        <v>0</v>
      </c>
      <c r="G130" s="6">
        <f>base!G130</f>
        <v>0</v>
      </c>
      <c r="H130" s="6">
        <f>base!I130</f>
        <v>0</v>
      </c>
      <c r="I130" s="6">
        <f>base!S130</f>
        <v>0</v>
      </c>
      <c r="J130" s="6">
        <f>base!T130</f>
        <v>0</v>
      </c>
      <c r="K130" s="6">
        <f>base!U130</f>
        <v>0</v>
      </c>
      <c r="L130" s="6">
        <f>base!Y130</f>
        <v>0</v>
      </c>
      <c r="M130" s="6">
        <f>base!AH130</f>
        <v>0</v>
      </c>
      <c r="N130" s="6">
        <f>base!AI130</f>
        <v>0</v>
      </c>
      <c r="O130" s="6">
        <f>base!BA130</f>
        <v>0</v>
      </c>
      <c r="P130" s="7">
        <f>base!BK130</f>
        <v>0</v>
      </c>
      <c r="Q130" s="6">
        <f>base!BS130</f>
        <v>0</v>
      </c>
    </row>
    <row r="131" spans="1:17" x14ac:dyDescent="0.35">
      <c r="A131" s="6">
        <f>base!A131</f>
        <v>0</v>
      </c>
      <c r="B131" s="7">
        <f>base!BN131</f>
        <v>0</v>
      </c>
      <c r="C131" s="6">
        <f>base!C131</f>
        <v>0</v>
      </c>
      <c r="D131" s="6">
        <f>base!E131</f>
        <v>0</v>
      </c>
      <c r="E131" s="6">
        <f>base!BF131</f>
        <v>0</v>
      </c>
      <c r="G131" s="6">
        <f>base!G131</f>
        <v>0</v>
      </c>
      <c r="H131" s="6">
        <f>base!I131</f>
        <v>0</v>
      </c>
      <c r="I131" s="6">
        <f>base!S131</f>
        <v>0</v>
      </c>
      <c r="J131" s="6">
        <f>base!T131</f>
        <v>0</v>
      </c>
      <c r="K131" s="6">
        <f>base!U131</f>
        <v>0</v>
      </c>
      <c r="L131" s="6">
        <f>base!Y131</f>
        <v>0</v>
      </c>
      <c r="M131" s="6">
        <f>base!AH131</f>
        <v>0</v>
      </c>
      <c r="N131" s="6">
        <f>base!AI131</f>
        <v>0</v>
      </c>
      <c r="O131" s="6">
        <f>base!BA131</f>
        <v>0</v>
      </c>
      <c r="P131" s="7">
        <f>base!BK131</f>
        <v>0</v>
      </c>
      <c r="Q131" s="6">
        <f>base!BS131</f>
        <v>0</v>
      </c>
    </row>
    <row r="132" spans="1:17" x14ac:dyDescent="0.35">
      <c r="A132" s="6">
        <f>base!A132</f>
        <v>0</v>
      </c>
      <c r="B132" s="7">
        <f>base!BN132</f>
        <v>0</v>
      </c>
      <c r="C132" s="6">
        <f>base!C132</f>
        <v>0</v>
      </c>
      <c r="D132" s="6">
        <f>base!E132</f>
        <v>0</v>
      </c>
      <c r="E132" s="6">
        <f>base!BF132</f>
        <v>0</v>
      </c>
      <c r="G132" s="6">
        <f>base!G132</f>
        <v>0</v>
      </c>
      <c r="H132" s="6">
        <f>base!I132</f>
        <v>0</v>
      </c>
      <c r="I132" s="6">
        <f>base!S132</f>
        <v>0</v>
      </c>
      <c r="J132" s="6">
        <f>base!T132</f>
        <v>0</v>
      </c>
      <c r="K132" s="6">
        <f>base!U132</f>
        <v>0</v>
      </c>
      <c r="L132" s="6">
        <f>base!Y132</f>
        <v>0</v>
      </c>
      <c r="M132" s="6">
        <f>base!AH132</f>
        <v>0</v>
      </c>
      <c r="N132" s="6">
        <f>base!AI132</f>
        <v>0</v>
      </c>
      <c r="O132" s="6">
        <f>base!BA132</f>
        <v>0</v>
      </c>
      <c r="P132" s="7">
        <f>base!BK132</f>
        <v>0</v>
      </c>
      <c r="Q132" s="6">
        <f>base!BS132</f>
        <v>0</v>
      </c>
    </row>
    <row r="133" spans="1:17" x14ac:dyDescent="0.35">
      <c r="A133" s="6">
        <f>base!A133</f>
        <v>0</v>
      </c>
      <c r="B133" s="7">
        <f>base!BN133</f>
        <v>0</v>
      </c>
      <c r="C133" s="6">
        <f>base!C133</f>
        <v>0</v>
      </c>
      <c r="D133" s="6">
        <f>base!E133</f>
        <v>0</v>
      </c>
      <c r="E133" s="6">
        <f>base!BF133</f>
        <v>0</v>
      </c>
      <c r="G133" s="6">
        <f>base!G133</f>
        <v>0</v>
      </c>
      <c r="H133" s="6">
        <f>base!I133</f>
        <v>0</v>
      </c>
      <c r="I133" s="6">
        <f>base!S133</f>
        <v>0</v>
      </c>
      <c r="J133" s="6">
        <f>base!T133</f>
        <v>0</v>
      </c>
      <c r="K133" s="6">
        <f>base!U133</f>
        <v>0</v>
      </c>
      <c r="L133" s="6">
        <f>base!Y133</f>
        <v>0</v>
      </c>
      <c r="M133" s="6">
        <f>base!AH133</f>
        <v>0</v>
      </c>
      <c r="N133" s="6">
        <f>base!AI133</f>
        <v>0</v>
      </c>
      <c r="O133" s="6">
        <f>base!BA133</f>
        <v>0</v>
      </c>
      <c r="P133" s="7">
        <f>base!BK133</f>
        <v>0</v>
      </c>
      <c r="Q133" s="6">
        <f>base!BS133</f>
        <v>0</v>
      </c>
    </row>
    <row r="134" spans="1:17" x14ac:dyDescent="0.35">
      <c r="A134" s="6">
        <f>base!A134</f>
        <v>0</v>
      </c>
      <c r="B134" s="7">
        <f>base!BN134</f>
        <v>0</v>
      </c>
      <c r="C134" s="6">
        <f>base!C134</f>
        <v>0</v>
      </c>
      <c r="D134" s="6">
        <f>base!E134</f>
        <v>0</v>
      </c>
      <c r="E134" s="6">
        <f>base!BF134</f>
        <v>0</v>
      </c>
      <c r="G134" s="6">
        <f>base!G134</f>
        <v>0</v>
      </c>
      <c r="H134" s="6">
        <f>base!I134</f>
        <v>0</v>
      </c>
      <c r="I134" s="6">
        <f>base!S134</f>
        <v>0</v>
      </c>
      <c r="J134" s="6">
        <f>base!T134</f>
        <v>0</v>
      </c>
      <c r="K134" s="6">
        <f>base!U134</f>
        <v>0</v>
      </c>
      <c r="L134" s="6">
        <f>base!Y134</f>
        <v>0</v>
      </c>
      <c r="M134" s="6">
        <f>base!AH134</f>
        <v>0</v>
      </c>
      <c r="N134" s="6">
        <f>base!AI134</f>
        <v>0</v>
      </c>
      <c r="O134" s="6">
        <f>base!BA134</f>
        <v>0</v>
      </c>
      <c r="P134" s="7">
        <f>base!BK134</f>
        <v>0</v>
      </c>
      <c r="Q134" s="6">
        <f>base!BS134</f>
        <v>0</v>
      </c>
    </row>
    <row r="135" spans="1:17" x14ac:dyDescent="0.35">
      <c r="A135" s="6">
        <f>base!A135</f>
        <v>0</v>
      </c>
      <c r="B135" s="7">
        <f>base!BN135</f>
        <v>0</v>
      </c>
      <c r="C135" s="6">
        <f>base!C135</f>
        <v>0</v>
      </c>
      <c r="D135" s="6">
        <f>base!E135</f>
        <v>0</v>
      </c>
      <c r="E135" s="6">
        <f>base!BF135</f>
        <v>0</v>
      </c>
      <c r="G135" s="6">
        <f>base!G135</f>
        <v>0</v>
      </c>
      <c r="H135" s="6">
        <f>base!I135</f>
        <v>0</v>
      </c>
      <c r="I135" s="6">
        <f>base!S135</f>
        <v>0</v>
      </c>
      <c r="J135" s="6">
        <f>base!T135</f>
        <v>0</v>
      </c>
      <c r="K135" s="6">
        <f>base!U135</f>
        <v>0</v>
      </c>
      <c r="L135" s="6">
        <f>base!Y135</f>
        <v>0</v>
      </c>
      <c r="M135" s="6">
        <f>base!AH135</f>
        <v>0</v>
      </c>
      <c r="N135" s="6">
        <f>base!AI135</f>
        <v>0</v>
      </c>
      <c r="O135" s="6">
        <f>base!BA135</f>
        <v>0</v>
      </c>
      <c r="P135" s="7">
        <f>base!BK135</f>
        <v>0</v>
      </c>
      <c r="Q135" s="6">
        <f>base!BS135</f>
        <v>0</v>
      </c>
    </row>
    <row r="136" spans="1:17" x14ac:dyDescent="0.35">
      <c r="A136" s="6">
        <f>base!A136</f>
        <v>0</v>
      </c>
      <c r="B136" s="7">
        <f>base!BN136</f>
        <v>0</v>
      </c>
      <c r="C136" s="6">
        <f>base!C136</f>
        <v>0</v>
      </c>
      <c r="D136" s="6">
        <f>base!E136</f>
        <v>0</v>
      </c>
      <c r="E136" s="6">
        <f>base!BF136</f>
        <v>0</v>
      </c>
      <c r="G136" s="6">
        <f>base!G136</f>
        <v>0</v>
      </c>
      <c r="H136" s="6">
        <f>base!I136</f>
        <v>0</v>
      </c>
      <c r="I136" s="6">
        <f>base!S136</f>
        <v>0</v>
      </c>
      <c r="J136" s="6">
        <f>base!T136</f>
        <v>0</v>
      </c>
      <c r="K136" s="6">
        <f>base!U136</f>
        <v>0</v>
      </c>
      <c r="L136" s="6">
        <f>base!Y136</f>
        <v>0</v>
      </c>
      <c r="M136" s="6">
        <f>base!AH136</f>
        <v>0</v>
      </c>
      <c r="N136" s="6">
        <f>base!AI136</f>
        <v>0</v>
      </c>
      <c r="O136" s="6">
        <f>base!BA136</f>
        <v>0</v>
      </c>
      <c r="P136" s="7">
        <f>base!BK136</f>
        <v>0</v>
      </c>
      <c r="Q136" s="6">
        <f>base!BS136</f>
        <v>0</v>
      </c>
    </row>
    <row r="137" spans="1:17" x14ac:dyDescent="0.35">
      <c r="A137" s="6">
        <f>base!A137</f>
        <v>0</v>
      </c>
      <c r="B137" s="7">
        <f>base!BN137</f>
        <v>0</v>
      </c>
      <c r="C137" s="6">
        <f>base!C137</f>
        <v>0</v>
      </c>
      <c r="D137" s="6">
        <f>base!E137</f>
        <v>0</v>
      </c>
      <c r="E137" s="6">
        <f>base!BF137</f>
        <v>0</v>
      </c>
      <c r="G137" s="6">
        <f>base!G137</f>
        <v>0</v>
      </c>
      <c r="H137" s="6">
        <f>base!I137</f>
        <v>0</v>
      </c>
      <c r="I137" s="6">
        <f>base!S137</f>
        <v>0</v>
      </c>
      <c r="J137" s="6">
        <f>base!T137</f>
        <v>0</v>
      </c>
      <c r="K137" s="6">
        <f>base!U137</f>
        <v>0</v>
      </c>
      <c r="L137" s="6">
        <f>base!Y137</f>
        <v>0</v>
      </c>
      <c r="M137" s="6">
        <f>base!AH137</f>
        <v>0</v>
      </c>
      <c r="N137" s="6">
        <f>base!AI137</f>
        <v>0</v>
      </c>
      <c r="O137" s="6">
        <f>base!BA137</f>
        <v>0</v>
      </c>
      <c r="P137" s="7">
        <f>base!BK137</f>
        <v>0</v>
      </c>
      <c r="Q137" s="6">
        <f>base!BS137</f>
        <v>0</v>
      </c>
    </row>
    <row r="138" spans="1:17" x14ac:dyDescent="0.35">
      <c r="A138" s="6">
        <f>base!A138</f>
        <v>0</v>
      </c>
      <c r="B138" s="7">
        <f>base!BN138</f>
        <v>0</v>
      </c>
      <c r="C138" s="6">
        <f>base!C138</f>
        <v>0</v>
      </c>
      <c r="D138" s="6">
        <f>base!E138</f>
        <v>0</v>
      </c>
      <c r="E138" s="6">
        <f>base!BF138</f>
        <v>0</v>
      </c>
      <c r="G138" s="6">
        <f>base!G138</f>
        <v>0</v>
      </c>
      <c r="H138" s="6">
        <f>base!I138</f>
        <v>0</v>
      </c>
      <c r="I138" s="6">
        <f>base!S138</f>
        <v>0</v>
      </c>
      <c r="J138" s="6">
        <f>base!T138</f>
        <v>0</v>
      </c>
      <c r="K138" s="6">
        <f>base!U138</f>
        <v>0</v>
      </c>
      <c r="L138" s="6">
        <f>base!Y138</f>
        <v>0</v>
      </c>
      <c r="M138" s="6">
        <f>base!AH138</f>
        <v>0</v>
      </c>
      <c r="N138" s="6">
        <f>base!AI138</f>
        <v>0</v>
      </c>
      <c r="O138" s="6">
        <f>base!BA138</f>
        <v>0</v>
      </c>
      <c r="P138" s="7">
        <f>base!BK138</f>
        <v>0</v>
      </c>
      <c r="Q138" s="6">
        <f>base!BS138</f>
        <v>0</v>
      </c>
    </row>
    <row r="139" spans="1:17" x14ac:dyDescent="0.35">
      <c r="A139" s="6">
        <f>base!A139</f>
        <v>0</v>
      </c>
      <c r="B139" s="7">
        <f>base!BN139</f>
        <v>0</v>
      </c>
      <c r="C139" s="6">
        <f>base!C139</f>
        <v>0</v>
      </c>
      <c r="D139" s="6">
        <f>base!E139</f>
        <v>0</v>
      </c>
      <c r="E139" s="6">
        <f>base!BF139</f>
        <v>0</v>
      </c>
      <c r="G139" s="6">
        <f>base!G139</f>
        <v>0</v>
      </c>
      <c r="H139" s="6">
        <f>base!I139</f>
        <v>0</v>
      </c>
      <c r="I139" s="6">
        <f>base!S139</f>
        <v>0</v>
      </c>
      <c r="J139" s="6">
        <f>base!T139</f>
        <v>0</v>
      </c>
      <c r="K139" s="6">
        <f>base!U139</f>
        <v>0</v>
      </c>
      <c r="L139" s="6">
        <f>base!Y139</f>
        <v>0</v>
      </c>
      <c r="M139" s="6">
        <f>base!AH139</f>
        <v>0</v>
      </c>
      <c r="N139" s="6">
        <f>base!AI139</f>
        <v>0</v>
      </c>
      <c r="O139" s="6">
        <f>base!BA139</f>
        <v>0</v>
      </c>
      <c r="P139" s="7">
        <f>base!BK139</f>
        <v>0</v>
      </c>
      <c r="Q139" s="6">
        <f>base!BS139</f>
        <v>0</v>
      </c>
    </row>
    <row r="140" spans="1:17" x14ac:dyDescent="0.35">
      <c r="A140" s="6">
        <f>base!A140</f>
        <v>0</v>
      </c>
      <c r="B140" s="7">
        <f>base!BN140</f>
        <v>0</v>
      </c>
      <c r="C140" s="6">
        <f>base!C140</f>
        <v>0</v>
      </c>
      <c r="D140" s="6">
        <f>base!E140</f>
        <v>0</v>
      </c>
      <c r="E140" s="6">
        <f>base!BF140</f>
        <v>0</v>
      </c>
      <c r="G140" s="6">
        <f>base!G140</f>
        <v>0</v>
      </c>
      <c r="H140" s="6">
        <f>base!I140</f>
        <v>0</v>
      </c>
      <c r="I140" s="6">
        <f>base!S140</f>
        <v>0</v>
      </c>
      <c r="J140" s="6">
        <f>base!T140</f>
        <v>0</v>
      </c>
      <c r="K140" s="6">
        <f>base!U140</f>
        <v>0</v>
      </c>
      <c r="L140" s="6">
        <f>base!Y140</f>
        <v>0</v>
      </c>
      <c r="M140" s="6">
        <f>base!AH140</f>
        <v>0</v>
      </c>
      <c r="N140" s="6">
        <f>base!AI140</f>
        <v>0</v>
      </c>
      <c r="O140" s="6">
        <f>base!BA140</f>
        <v>0</v>
      </c>
      <c r="P140" s="7">
        <f>base!BK140</f>
        <v>0</v>
      </c>
      <c r="Q140" s="6">
        <f>base!BS140</f>
        <v>0</v>
      </c>
    </row>
    <row r="141" spans="1:17" x14ac:dyDescent="0.35">
      <c r="A141" s="6">
        <f>base!A141</f>
        <v>0</v>
      </c>
      <c r="B141" s="7">
        <f>base!BN141</f>
        <v>0</v>
      </c>
      <c r="C141" s="6">
        <f>base!C141</f>
        <v>0</v>
      </c>
      <c r="D141" s="6">
        <f>base!E141</f>
        <v>0</v>
      </c>
      <c r="E141" s="6">
        <f>base!BF141</f>
        <v>0</v>
      </c>
      <c r="G141" s="6">
        <f>base!G141</f>
        <v>0</v>
      </c>
      <c r="H141" s="6">
        <f>base!I141</f>
        <v>0</v>
      </c>
      <c r="I141" s="6">
        <f>base!S141</f>
        <v>0</v>
      </c>
      <c r="J141" s="6">
        <f>base!T141</f>
        <v>0</v>
      </c>
      <c r="K141" s="6">
        <f>base!U141</f>
        <v>0</v>
      </c>
      <c r="L141" s="6">
        <f>base!Y141</f>
        <v>0</v>
      </c>
      <c r="M141" s="6">
        <f>base!AH141</f>
        <v>0</v>
      </c>
      <c r="N141" s="6">
        <f>base!AI141</f>
        <v>0</v>
      </c>
      <c r="O141" s="6">
        <f>base!BA141</f>
        <v>0</v>
      </c>
      <c r="P141" s="7">
        <f>base!BK141</f>
        <v>0</v>
      </c>
      <c r="Q141" s="6">
        <f>base!BS141</f>
        <v>0</v>
      </c>
    </row>
    <row r="142" spans="1:17" x14ac:dyDescent="0.35">
      <c r="A142" s="6">
        <f>base!A142</f>
        <v>0</v>
      </c>
      <c r="B142" s="7">
        <f>base!BN142</f>
        <v>0</v>
      </c>
      <c r="C142" s="6">
        <f>base!C142</f>
        <v>0</v>
      </c>
      <c r="D142" s="6">
        <f>base!E142</f>
        <v>0</v>
      </c>
      <c r="E142" s="6">
        <f>base!BF142</f>
        <v>0</v>
      </c>
      <c r="G142" s="6">
        <f>base!G142</f>
        <v>0</v>
      </c>
      <c r="H142" s="6">
        <f>base!I142</f>
        <v>0</v>
      </c>
      <c r="I142" s="6">
        <f>base!S142</f>
        <v>0</v>
      </c>
      <c r="J142" s="6">
        <f>base!T142</f>
        <v>0</v>
      </c>
      <c r="K142" s="6">
        <f>base!U142</f>
        <v>0</v>
      </c>
      <c r="L142" s="6">
        <f>base!Y142</f>
        <v>0</v>
      </c>
      <c r="M142" s="6">
        <f>base!AH142</f>
        <v>0</v>
      </c>
      <c r="N142" s="6">
        <f>base!AI142</f>
        <v>0</v>
      </c>
      <c r="O142" s="6">
        <f>base!BA142</f>
        <v>0</v>
      </c>
      <c r="P142" s="7">
        <f>base!BK142</f>
        <v>0</v>
      </c>
      <c r="Q142" s="6">
        <f>base!BS142</f>
        <v>0</v>
      </c>
    </row>
    <row r="143" spans="1:17" x14ac:dyDescent="0.35">
      <c r="A143" s="6">
        <f>base!A143</f>
        <v>0</v>
      </c>
      <c r="B143" s="7">
        <f>base!BN143</f>
        <v>0</v>
      </c>
      <c r="C143" s="6">
        <f>base!C143</f>
        <v>0</v>
      </c>
      <c r="D143" s="6">
        <f>base!E143</f>
        <v>0</v>
      </c>
      <c r="E143" s="6">
        <f>base!BF143</f>
        <v>0</v>
      </c>
      <c r="G143" s="6">
        <f>base!G143</f>
        <v>0</v>
      </c>
      <c r="H143" s="6">
        <f>base!I143</f>
        <v>0</v>
      </c>
      <c r="I143" s="6">
        <f>base!S143</f>
        <v>0</v>
      </c>
      <c r="J143" s="6">
        <f>base!T143</f>
        <v>0</v>
      </c>
      <c r="K143" s="6">
        <f>base!U143</f>
        <v>0</v>
      </c>
      <c r="L143" s="6">
        <f>base!Y143</f>
        <v>0</v>
      </c>
      <c r="M143" s="6">
        <f>base!AH143</f>
        <v>0</v>
      </c>
      <c r="N143" s="6">
        <f>base!AI143</f>
        <v>0</v>
      </c>
      <c r="O143" s="6">
        <f>base!BA143</f>
        <v>0</v>
      </c>
      <c r="P143" s="7">
        <f>base!BK143</f>
        <v>0</v>
      </c>
      <c r="Q143" s="6">
        <f>base!BS143</f>
        <v>0</v>
      </c>
    </row>
    <row r="144" spans="1:17" x14ac:dyDescent="0.35">
      <c r="A144" s="6">
        <f>base!A144</f>
        <v>0</v>
      </c>
      <c r="B144" s="7">
        <f>base!BN144</f>
        <v>0</v>
      </c>
      <c r="C144" s="6">
        <f>base!C144</f>
        <v>0</v>
      </c>
      <c r="D144" s="6">
        <f>base!E144</f>
        <v>0</v>
      </c>
      <c r="E144" s="6">
        <f>base!BF144</f>
        <v>0</v>
      </c>
      <c r="G144" s="6">
        <f>base!G144</f>
        <v>0</v>
      </c>
      <c r="H144" s="6">
        <f>base!I144</f>
        <v>0</v>
      </c>
      <c r="I144" s="6">
        <f>base!S144</f>
        <v>0</v>
      </c>
      <c r="J144" s="6">
        <f>base!T144</f>
        <v>0</v>
      </c>
      <c r="K144" s="6">
        <f>base!U144</f>
        <v>0</v>
      </c>
      <c r="L144" s="6">
        <f>base!Y144</f>
        <v>0</v>
      </c>
      <c r="M144" s="6">
        <f>base!AH144</f>
        <v>0</v>
      </c>
      <c r="N144" s="6">
        <f>base!AI144</f>
        <v>0</v>
      </c>
      <c r="O144" s="6">
        <f>base!BA144</f>
        <v>0</v>
      </c>
      <c r="P144" s="7">
        <f>base!BK144</f>
        <v>0</v>
      </c>
      <c r="Q144" s="6">
        <f>base!BS144</f>
        <v>0</v>
      </c>
    </row>
    <row r="145" spans="1:17" x14ac:dyDescent="0.35">
      <c r="A145" s="6">
        <f>base!A145</f>
        <v>0</v>
      </c>
      <c r="B145" s="7">
        <f>base!BN145</f>
        <v>0</v>
      </c>
      <c r="C145" s="6">
        <f>base!C145</f>
        <v>0</v>
      </c>
      <c r="D145" s="6">
        <f>base!E145</f>
        <v>0</v>
      </c>
      <c r="E145" s="6">
        <f>base!BF145</f>
        <v>0</v>
      </c>
      <c r="G145" s="6">
        <f>base!G145</f>
        <v>0</v>
      </c>
      <c r="H145" s="6">
        <f>base!I145</f>
        <v>0</v>
      </c>
      <c r="I145" s="6">
        <f>base!S145</f>
        <v>0</v>
      </c>
      <c r="J145" s="6">
        <f>base!T145</f>
        <v>0</v>
      </c>
      <c r="K145" s="6">
        <f>base!U145</f>
        <v>0</v>
      </c>
      <c r="L145" s="6">
        <f>base!Y145</f>
        <v>0</v>
      </c>
      <c r="M145" s="6">
        <f>base!AH145</f>
        <v>0</v>
      </c>
      <c r="N145" s="6">
        <f>base!AI145</f>
        <v>0</v>
      </c>
      <c r="O145" s="6">
        <f>base!BA145</f>
        <v>0</v>
      </c>
      <c r="P145" s="7">
        <f>base!BK145</f>
        <v>0</v>
      </c>
      <c r="Q145" s="6">
        <f>base!BS145</f>
        <v>0</v>
      </c>
    </row>
    <row r="146" spans="1:17" x14ac:dyDescent="0.35">
      <c r="A146" s="6">
        <f>base!A146</f>
        <v>0</v>
      </c>
      <c r="B146" s="7">
        <f>base!BN146</f>
        <v>0</v>
      </c>
      <c r="C146" s="6">
        <f>base!C146</f>
        <v>0</v>
      </c>
      <c r="D146" s="6">
        <f>base!E146</f>
        <v>0</v>
      </c>
      <c r="E146" s="6">
        <f>base!BF146</f>
        <v>0</v>
      </c>
      <c r="G146" s="6">
        <f>base!G146</f>
        <v>0</v>
      </c>
      <c r="H146" s="6">
        <f>base!I146</f>
        <v>0</v>
      </c>
      <c r="I146" s="6">
        <f>base!S146</f>
        <v>0</v>
      </c>
      <c r="J146" s="6">
        <f>base!T146</f>
        <v>0</v>
      </c>
      <c r="K146" s="6">
        <f>base!U146</f>
        <v>0</v>
      </c>
      <c r="L146" s="6">
        <f>base!Y146</f>
        <v>0</v>
      </c>
      <c r="M146" s="6">
        <f>base!AH146</f>
        <v>0</v>
      </c>
      <c r="N146" s="6">
        <f>base!AI146</f>
        <v>0</v>
      </c>
      <c r="O146" s="6">
        <f>base!BA146</f>
        <v>0</v>
      </c>
      <c r="P146" s="7">
        <f>base!BK146</f>
        <v>0</v>
      </c>
      <c r="Q146" s="6">
        <f>base!BS146</f>
        <v>0</v>
      </c>
    </row>
    <row r="147" spans="1:17" x14ac:dyDescent="0.35">
      <c r="A147" s="6">
        <f>base!A147</f>
        <v>0</v>
      </c>
      <c r="B147" s="7">
        <f>base!BN147</f>
        <v>0</v>
      </c>
      <c r="C147" s="6">
        <f>base!C147</f>
        <v>0</v>
      </c>
      <c r="D147" s="6">
        <f>base!E147</f>
        <v>0</v>
      </c>
      <c r="E147" s="6">
        <f>base!BF147</f>
        <v>0</v>
      </c>
      <c r="G147" s="6">
        <f>base!G147</f>
        <v>0</v>
      </c>
      <c r="H147" s="6">
        <f>base!I147</f>
        <v>0</v>
      </c>
      <c r="I147" s="6">
        <f>base!S147</f>
        <v>0</v>
      </c>
      <c r="J147" s="6">
        <f>base!T147</f>
        <v>0</v>
      </c>
      <c r="K147" s="6">
        <f>base!U147</f>
        <v>0</v>
      </c>
      <c r="L147" s="6">
        <f>base!Y147</f>
        <v>0</v>
      </c>
      <c r="M147" s="6">
        <f>base!AH147</f>
        <v>0</v>
      </c>
      <c r="N147" s="6">
        <f>base!AI147</f>
        <v>0</v>
      </c>
      <c r="O147" s="6">
        <f>base!BA147</f>
        <v>0</v>
      </c>
      <c r="P147" s="7">
        <f>base!BK147</f>
        <v>0</v>
      </c>
      <c r="Q147" s="6">
        <f>base!BS147</f>
        <v>0</v>
      </c>
    </row>
    <row r="148" spans="1:17" x14ac:dyDescent="0.35">
      <c r="A148" s="6">
        <f>base!A148</f>
        <v>0</v>
      </c>
      <c r="B148" s="7">
        <f>base!BN148</f>
        <v>0</v>
      </c>
      <c r="C148" s="6">
        <f>base!C148</f>
        <v>0</v>
      </c>
      <c r="D148" s="6">
        <f>base!E148</f>
        <v>0</v>
      </c>
      <c r="E148" s="6">
        <f>base!BF148</f>
        <v>0</v>
      </c>
      <c r="G148" s="6">
        <f>base!G148</f>
        <v>0</v>
      </c>
      <c r="H148" s="6">
        <f>base!I148</f>
        <v>0</v>
      </c>
      <c r="I148" s="6">
        <f>base!S148</f>
        <v>0</v>
      </c>
      <c r="J148" s="6">
        <f>base!T148</f>
        <v>0</v>
      </c>
      <c r="K148" s="6">
        <f>base!U148</f>
        <v>0</v>
      </c>
      <c r="L148" s="6">
        <f>base!Y148</f>
        <v>0</v>
      </c>
      <c r="M148" s="6">
        <f>base!AH148</f>
        <v>0</v>
      </c>
      <c r="N148" s="6">
        <f>base!AI148</f>
        <v>0</v>
      </c>
      <c r="O148" s="6">
        <f>base!BA148</f>
        <v>0</v>
      </c>
      <c r="P148" s="7">
        <f>base!BK148</f>
        <v>0</v>
      </c>
      <c r="Q148" s="6">
        <f>base!BS148</f>
        <v>0</v>
      </c>
    </row>
    <row r="149" spans="1:17" x14ac:dyDescent="0.35">
      <c r="A149" s="6">
        <f>base!A149</f>
        <v>0</v>
      </c>
      <c r="B149" s="7">
        <f>base!BN149</f>
        <v>0</v>
      </c>
      <c r="C149" s="6">
        <f>base!C149</f>
        <v>0</v>
      </c>
      <c r="D149" s="6">
        <f>base!E149</f>
        <v>0</v>
      </c>
      <c r="E149" s="6">
        <f>base!BF149</f>
        <v>0</v>
      </c>
      <c r="G149" s="6">
        <f>base!G149</f>
        <v>0</v>
      </c>
      <c r="H149" s="6">
        <f>base!I149</f>
        <v>0</v>
      </c>
      <c r="I149" s="6">
        <f>base!S149</f>
        <v>0</v>
      </c>
      <c r="J149" s="6">
        <f>base!T149</f>
        <v>0</v>
      </c>
      <c r="K149" s="6">
        <f>base!U149</f>
        <v>0</v>
      </c>
      <c r="L149" s="6">
        <f>base!Y149</f>
        <v>0</v>
      </c>
      <c r="M149" s="6">
        <f>base!AH149</f>
        <v>0</v>
      </c>
      <c r="N149" s="6">
        <f>base!AI149</f>
        <v>0</v>
      </c>
      <c r="O149" s="6">
        <f>base!BA149</f>
        <v>0</v>
      </c>
      <c r="P149" s="7">
        <f>base!BK149</f>
        <v>0</v>
      </c>
      <c r="Q149" s="6">
        <f>base!BS149</f>
        <v>0</v>
      </c>
    </row>
    <row r="150" spans="1:17" x14ac:dyDescent="0.35">
      <c r="A150" s="6">
        <f>base!A150</f>
        <v>0</v>
      </c>
      <c r="B150" s="7">
        <f>base!BN150</f>
        <v>0</v>
      </c>
      <c r="C150" s="6">
        <f>base!C150</f>
        <v>0</v>
      </c>
      <c r="D150" s="6">
        <f>base!E150</f>
        <v>0</v>
      </c>
      <c r="E150" s="6">
        <f>base!BF150</f>
        <v>0</v>
      </c>
      <c r="G150" s="6">
        <f>base!G150</f>
        <v>0</v>
      </c>
      <c r="H150" s="6">
        <f>base!I150</f>
        <v>0</v>
      </c>
      <c r="I150" s="6">
        <f>base!S150</f>
        <v>0</v>
      </c>
      <c r="J150" s="6">
        <f>base!T150</f>
        <v>0</v>
      </c>
      <c r="K150" s="6">
        <f>base!U150</f>
        <v>0</v>
      </c>
      <c r="L150" s="6">
        <f>base!Y150</f>
        <v>0</v>
      </c>
      <c r="M150" s="6">
        <f>base!AH150</f>
        <v>0</v>
      </c>
      <c r="N150" s="6">
        <f>base!AI150</f>
        <v>0</v>
      </c>
      <c r="O150" s="6">
        <f>base!BA150</f>
        <v>0</v>
      </c>
      <c r="P150" s="7">
        <f>base!BK150</f>
        <v>0</v>
      </c>
      <c r="Q150" s="6">
        <f>base!BS150</f>
        <v>0</v>
      </c>
    </row>
    <row r="151" spans="1:17" x14ac:dyDescent="0.35">
      <c r="A151" s="6">
        <f>base!A151</f>
        <v>0</v>
      </c>
      <c r="B151" s="7">
        <f>base!BN151</f>
        <v>0</v>
      </c>
      <c r="C151" s="6">
        <f>base!C151</f>
        <v>0</v>
      </c>
      <c r="D151" s="6">
        <f>base!E151</f>
        <v>0</v>
      </c>
      <c r="E151" s="6">
        <f>base!BF151</f>
        <v>0</v>
      </c>
      <c r="G151" s="6">
        <f>base!G151</f>
        <v>0</v>
      </c>
      <c r="H151" s="6">
        <f>base!I151</f>
        <v>0</v>
      </c>
      <c r="I151" s="6">
        <f>base!S151</f>
        <v>0</v>
      </c>
      <c r="J151" s="6">
        <f>base!T151</f>
        <v>0</v>
      </c>
      <c r="K151" s="6">
        <f>base!U151</f>
        <v>0</v>
      </c>
      <c r="L151" s="6">
        <f>base!Y151</f>
        <v>0</v>
      </c>
      <c r="M151" s="6">
        <f>base!AH151</f>
        <v>0</v>
      </c>
      <c r="N151" s="6">
        <f>base!AI151</f>
        <v>0</v>
      </c>
      <c r="O151" s="6">
        <f>base!BA151</f>
        <v>0</v>
      </c>
      <c r="P151" s="7">
        <f>base!BK151</f>
        <v>0</v>
      </c>
      <c r="Q151" s="6">
        <f>base!BS151</f>
        <v>0</v>
      </c>
    </row>
    <row r="152" spans="1:17" x14ac:dyDescent="0.35">
      <c r="A152" s="6">
        <f>base!A152</f>
        <v>0</v>
      </c>
      <c r="B152" s="7">
        <f>base!BN152</f>
        <v>0</v>
      </c>
      <c r="C152" s="6">
        <f>base!C152</f>
        <v>0</v>
      </c>
      <c r="D152" s="6">
        <f>base!E152</f>
        <v>0</v>
      </c>
      <c r="E152" s="6">
        <f>base!BF152</f>
        <v>0</v>
      </c>
      <c r="G152" s="6">
        <f>base!G152</f>
        <v>0</v>
      </c>
      <c r="H152" s="6">
        <f>base!I152</f>
        <v>0</v>
      </c>
      <c r="I152" s="6">
        <f>base!S152</f>
        <v>0</v>
      </c>
      <c r="J152" s="6">
        <f>base!T152</f>
        <v>0</v>
      </c>
      <c r="K152" s="6">
        <f>base!U152</f>
        <v>0</v>
      </c>
      <c r="L152" s="6">
        <f>base!Y152</f>
        <v>0</v>
      </c>
      <c r="M152" s="6">
        <f>base!AH152</f>
        <v>0</v>
      </c>
      <c r="N152" s="6">
        <f>base!AI152</f>
        <v>0</v>
      </c>
      <c r="O152" s="6">
        <f>base!BA152</f>
        <v>0</v>
      </c>
      <c r="P152" s="7">
        <f>base!BK152</f>
        <v>0</v>
      </c>
      <c r="Q152" s="6">
        <f>base!BS152</f>
        <v>0</v>
      </c>
    </row>
    <row r="153" spans="1:17" x14ac:dyDescent="0.35">
      <c r="A153" s="6">
        <f>base!A153</f>
        <v>0</v>
      </c>
      <c r="B153" s="7">
        <f>base!BN153</f>
        <v>0</v>
      </c>
      <c r="C153" s="6">
        <f>base!C153</f>
        <v>0</v>
      </c>
      <c r="D153" s="6">
        <f>base!E153</f>
        <v>0</v>
      </c>
      <c r="E153" s="6">
        <f>base!BF153</f>
        <v>0</v>
      </c>
      <c r="G153" s="6">
        <f>base!G153</f>
        <v>0</v>
      </c>
      <c r="H153" s="6">
        <f>base!I153</f>
        <v>0</v>
      </c>
      <c r="I153" s="6">
        <f>base!S153</f>
        <v>0</v>
      </c>
      <c r="J153" s="6">
        <f>base!T153</f>
        <v>0</v>
      </c>
      <c r="K153" s="6">
        <f>base!U153</f>
        <v>0</v>
      </c>
      <c r="L153" s="6">
        <f>base!Y153</f>
        <v>0</v>
      </c>
      <c r="M153" s="6">
        <f>base!AH153</f>
        <v>0</v>
      </c>
      <c r="N153" s="6">
        <f>base!AI153</f>
        <v>0</v>
      </c>
      <c r="O153" s="6">
        <f>base!BA153</f>
        <v>0</v>
      </c>
      <c r="P153" s="7">
        <f>base!BK153</f>
        <v>0</v>
      </c>
      <c r="Q153" s="6">
        <f>base!BS153</f>
        <v>0</v>
      </c>
    </row>
    <row r="154" spans="1:17" x14ac:dyDescent="0.35">
      <c r="A154" s="6">
        <f>base!A154</f>
        <v>0</v>
      </c>
      <c r="B154" s="7">
        <f>base!BN154</f>
        <v>0</v>
      </c>
      <c r="C154" s="6">
        <f>base!C154</f>
        <v>0</v>
      </c>
      <c r="D154" s="6">
        <f>base!E154</f>
        <v>0</v>
      </c>
      <c r="E154" s="6">
        <f>base!BF154</f>
        <v>0</v>
      </c>
      <c r="G154" s="6">
        <f>base!G154</f>
        <v>0</v>
      </c>
      <c r="H154" s="6">
        <f>base!I154</f>
        <v>0</v>
      </c>
      <c r="I154" s="6">
        <f>base!S154</f>
        <v>0</v>
      </c>
      <c r="J154" s="6">
        <f>base!T154</f>
        <v>0</v>
      </c>
      <c r="K154" s="6">
        <f>base!U154</f>
        <v>0</v>
      </c>
      <c r="L154" s="6">
        <f>base!Y154</f>
        <v>0</v>
      </c>
      <c r="M154" s="6">
        <f>base!AH154</f>
        <v>0</v>
      </c>
      <c r="N154" s="6">
        <f>base!AI154</f>
        <v>0</v>
      </c>
      <c r="O154" s="6">
        <f>base!BA154</f>
        <v>0</v>
      </c>
      <c r="P154" s="7">
        <f>base!BK154</f>
        <v>0</v>
      </c>
      <c r="Q154" s="6">
        <f>base!BS154</f>
        <v>0</v>
      </c>
    </row>
    <row r="155" spans="1:17" x14ac:dyDescent="0.35">
      <c r="A155" s="6">
        <f>base!A155</f>
        <v>0</v>
      </c>
      <c r="B155" s="7">
        <f>base!BN155</f>
        <v>0</v>
      </c>
      <c r="C155" s="6">
        <f>base!C155</f>
        <v>0</v>
      </c>
      <c r="D155" s="6">
        <f>base!E155</f>
        <v>0</v>
      </c>
      <c r="E155" s="6">
        <f>base!BF155</f>
        <v>0</v>
      </c>
      <c r="G155" s="6">
        <f>base!G155</f>
        <v>0</v>
      </c>
      <c r="H155" s="6">
        <f>base!I155</f>
        <v>0</v>
      </c>
      <c r="I155" s="6">
        <f>base!S155</f>
        <v>0</v>
      </c>
      <c r="J155" s="6">
        <f>base!T155</f>
        <v>0</v>
      </c>
      <c r="K155" s="6">
        <f>base!U155</f>
        <v>0</v>
      </c>
      <c r="L155" s="6">
        <f>base!Y155</f>
        <v>0</v>
      </c>
      <c r="M155" s="6">
        <f>base!AH155</f>
        <v>0</v>
      </c>
      <c r="N155" s="6">
        <f>base!AI155</f>
        <v>0</v>
      </c>
      <c r="O155" s="6">
        <f>base!BA155</f>
        <v>0</v>
      </c>
      <c r="P155" s="7">
        <f>base!BK155</f>
        <v>0</v>
      </c>
      <c r="Q155" s="6">
        <f>base!BS155</f>
        <v>0</v>
      </c>
    </row>
    <row r="156" spans="1:17" x14ac:dyDescent="0.35">
      <c r="A156" s="6">
        <f>base!A156</f>
        <v>0</v>
      </c>
      <c r="B156" s="7">
        <f>base!BN156</f>
        <v>0</v>
      </c>
      <c r="C156" s="6">
        <f>base!C156</f>
        <v>0</v>
      </c>
      <c r="D156" s="6">
        <f>base!E156</f>
        <v>0</v>
      </c>
      <c r="E156" s="6">
        <f>base!BF156</f>
        <v>0</v>
      </c>
      <c r="G156" s="6">
        <f>base!G156</f>
        <v>0</v>
      </c>
      <c r="H156" s="6">
        <f>base!I156</f>
        <v>0</v>
      </c>
      <c r="I156" s="6">
        <f>base!S156</f>
        <v>0</v>
      </c>
      <c r="J156" s="6">
        <f>base!T156</f>
        <v>0</v>
      </c>
      <c r="K156" s="6">
        <f>base!U156</f>
        <v>0</v>
      </c>
      <c r="L156" s="6">
        <f>base!Y156</f>
        <v>0</v>
      </c>
      <c r="M156" s="6">
        <f>base!AH156</f>
        <v>0</v>
      </c>
      <c r="N156" s="6">
        <f>base!AI156</f>
        <v>0</v>
      </c>
      <c r="O156" s="6">
        <f>base!BA156</f>
        <v>0</v>
      </c>
      <c r="P156" s="7">
        <f>base!BK156</f>
        <v>0</v>
      </c>
      <c r="Q156" s="6">
        <f>base!BS156</f>
        <v>0</v>
      </c>
    </row>
    <row r="157" spans="1:17" x14ac:dyDescent="0.35">
      <c r="A157" s="6">
        <f>base!A157</f>
        <v>0</v>
      </c>
      <c r="B157" s="7">
        <f>base!BN157</f>
        <v>0</v>
      </c>
      <c r="C157" s="6">
        <f>base!C157</f>
        <v>0</v>
      </c>
      <c r="D157" s="6">
        <f>base!E157</f>
        <v>0</v>
      </c>
      <c r="E157" s="6">
        <f>base!BF157</f>
        <v>0</v>
      </c>
      <c r="G157" s="6">
        <f>base!G157</f>
        <v>0</v>
      </c>
      <c r="H157" s="6">
        <f>base!I157</f>
        <v>0</v>
      </c>
      <c r="I157" s="6">
        <f>base!S157</f>
        <v>0</v>
      </c>
      <c r="J157" s="6">
        <f>base!T157</f>
        <v>0</v>
      </c>
      <c r="K157" s="6">
        <f>base!U157</f>
        <v>0</v>
      </c>
      <c r="L157" s="6">
        <f>base!Y157</f>
        <v>0</v>
      </c>
      <c r="M157" s="6">
        <f>base!AH157</f>
        <v>0</v>
      </c>
      <c r="N157" s="6">
        <f>base!AI157</f>
        <v>0</v>
      </c>
      <c r="O157" s="6">
        <f>base!BA157</f>
        <v>0</v>
      </c>
      <c r="P157" s="7">
        <f>base!BK157</f>
        <v>0</v>
      </c>
      <c r="Q157" s="6">
        <f>base!BS157</f>
        <v>0</v>
      </c>
    </row>
    <row r="158" spans="1:17" x14ac:dyDescent="0.35">
      <c r="A158" s="6">
        <f>base!A158</f>
        <v>0</v>
      </c>
      <c r="B158" s="7">
        <f>base!BN158</f>
        <v>0</v>
      </c>
      <c r="C158" s="6">
        <f>base!C158</f>
        <v>0</v>
      </c>
      <c r="D158" s="6">
        <f>base!E158</f>
        <v>0</v>
      </c>
      <c r="E158" s="6">
        <f>base!BF158</f>
        <v>0</v>
      </c>
      <c r="G158" s="6">
        <f>base!G158</f>
        <v>0</v>
      </c>
      <c r="H158" s="6">
        <f>base!I158</f>
        <v>0</v>
      </c>
      <c r="I158" s="6">
        <f>base!S158</f>
        <v>0</v>
      </c>
      <c r="J158" s="6">
        <f>base!T158</f>
        <v>0</v>
      </c>
      <c r="K158" s="6">
        <f>base!U158</f>
        <v>0</v>
      </c>
      <c r="L158" s="6">
        <f>base!Y158</f>
        <v>0</v>
      </c>
      <c r="M158" s="6">
        <f>base!AH158</f>
        <v>0</v>
      </c>
      <c r="N158" s="6">
        <f>base!AI158</f>
        <v>0</v>
      </c>
      <c r="O158" s="6">
        <f>base!BA158</f>
        <v>0</v>
      </c>
      <c r="P158" s="7">
        <f>base!BK158</f>
        <v>0</v>
      </c>
      <c r="Q158" s="6">
        <f>base!BS158</f>
        <v>0</v>
      </c>
    </row>
    <row r="159" spans="1:17" x14ac:dyDescent="0.35">
      <c r="A159" s="6">
        <f>base!A159</f>
        <v>0</v>
      </c>
      <c r="B159" s="7">
        <f>base!BN159</f>
        <v>0</v>
      </c>
      <c r="C159" s="6">
        <f>base!C159</f>
        <v>0</v>
      </c>
      <c r="D159" s="6">
        <f>base!E159</f>
        <v>0</v>
      </c>
      <c r="E159" s="6">
        <f>base!BF159</f>
        <v>0</v>
      </c>
      <c r="G159" s="6">
        <f>base!G159</f>
        <v>0</v>
      </c>
      <c r="H159" s="6">
        <f>base!I159</f>
        <v>0</v>
      </c>
      <c r="I159" s="6">
        <f>base!S159</f>
        <v>0</v>
      </c>
      <c r="J159" s="6">
        <f>base!T159</f>
        <v>0</v>
      </c>
      <c r="K159" s="6">
        <f>base!U159</f>
        <v>0</v>
      </c>
      <c r="L159" s="6">
        <f>base!Y159</f>
        <v>0</v>
      </c>
      <c r="M159" s="6">
        <f>base!AH159</f>
        <v>0</v>
      </c>
      <c r="N159" s="6">
        <f>base!AI159</f>
        <v>0</v>
      </c>
      <c r="O159" s="6">
        <f>base!BA159</f>
        <v>0</v>
      </c>
      <c r="P159" s="7">
        <f>base!BK159</f>
        <v>0</v>
      </c>
      <c r="Q159" s="6">
        <f>base!BS159</f>
        <v>0</v>
      </c>
    </row>
    <row r="160" spans="1:17" x14ac:dyDescent="0.35">
      <c r="A160" s="6">
        <f>base!A160</f>
        <v>0</v>
      </c>
      <c r="B160" s="7">
        <f>base!BN160</f>
        <v>0</v>
      </c>
      <c r="C160" s="6">
        <f>base!C160</f>
        <v>0</v>
      </c>
      <c r="D160" s="6">
        <f>base!E160</f>
        <v>0</v>
      </c>
      <c r="E160" s="6">
        <f>base!BF160</f>
        <v>0</v>
      </c>
      <c r="G160" s="6">
        <f>base!G160</f>
        <v>0</v>
      </c>
      <c r="H160" s="6">
        <f>base!I160</f>
        <v>0</v>
      </c>
      <c r="I160" s="6">
        <f>base!S160</f>
        <v>0</v>
      </c>
      <c r="J160" s="6">
        <f>base!T160</f>
        <v>0</v>
      </c>
      <c r="K160" s="6">
        <f>base!U160</f>
        <v>0</v>
      </c>
      <c r="L160" s="6">
        <f>base!Y160</f>
        <v>0</v>
      </c>
      <c r="M160" s="6">
        <f>base!AH160</f>
        <v>0</v>
      </c>
      <c r="N160" s="6">
        <f>base!AI160</f>
        <v>0</v>
      </c>
      <c r="O160" s="6">
        <f>base!BA160</f>
        <v>0</v>
      </c>
      <c r="P160" s="7">
        <f>base!BK160</f>
        <v>0</v>
      </c>
      <c r="Q160" s="6">
        <f>base!BS160</f>
        <v>0</v>
      </c>
    </row>
    <row r="161" spans="1:17" x14ac:dyDescent="0.35">
      <c r="A161" s="6">
        <f>base!A161</f>
        <v>0</v>
      </c>
      <c r="B161" s="7">
        <f>base!BN161</f>
        <v>0</v>
      </c>
      <c r="C161" s="6">
        <f>base!C161</f>
        <v>0</v>
      </c>
      <c r="D161" s="6">
        <f>base!E161</f>
        <v>0</v>
      </c>
      <c r="E161" s="6">
        <f>base!BF161</f>
        <v>0</v>
      </c>
      <c r="G161" s="6">
        <f>base!G161</f>
        <v>0</v>
      </c>
      <c r="H161" s="6">
        <f>base!I161</f>
        <v>0</v>
      </c>
      <c r="I161" s="6">
        <f>base!S161</f>
        <v>0</v>
      </c>
      <c r="J161" s="6">
        <f>base!T161</f>
        <v>0</v>
      </c>
      <c r="K161" s="6">
        <f>base!U161</f>
        <v>0</v>
      </c>
      <c r="L161" s="6">
        <f>base!Y161</f>
        <v>0</v>
      </c>
      <c r="M161" s="6">
        <f>base!AH161</f>
        <v>0</v>
      </c>
      <c r="N161" s="6">
        <f>base!AI161</f>
        <v>0</v>
      </c>
      <c r="O161" s="6">
        <f>base!BA161</f>
        <v>0</v>
      </c>
      <c r="P161" s="7">
        <f>base!BK161</f>
        <v>0</v>
      </c>
      <c r="Q161" s="6">
        <f>base!BS161</f>
        <v>0</v>
      </c>
    </row>
    <row r="162" spans="1:17" x14ac:dyDescent="0.35">
      <c r="A162" s="6">
        <f>base!A162</f>
        <v>0</v>
      </c>
      <c r="B162" s="7">
        <f>base!BN162</f>
        <v>0</v>
      </c>
      <c r="C162" s="6">
        <f>base!C162</f>
        <v>0</v>
      </c>
      <c r="D162" s="6">
        <f>base!E162</f>
        <v>0</v>
      </c>
      <c r="E162" s="6">
        <f>base!BF162</f>
        <v>0</v>
      </c>
      <c r="G162" s="6">
        <f>base!G162</f>
        <v>0</v>
      </c>
      <c r="H162" s="6">
        <f>base!I162</f>
        <v>0</v>
      </c>
      <c r="I162" s="6">
        <f>base!S162</f>
        <v>0</v>
      </c>
      <c r="J162" s="6">
        <f>base!T162</f>
        <v>0</v>
      </c>
      <c r="K162" s="6">
        <f>base!U162</f>
        <v>0</v>
      </c>
      <c r="L162" s="6">
        <f>base!Y162</f>
        <v>0</v>
      </c>
      <c r="M162" s="6">
        <f>base!AH162</f>
        <v>0</v>
      </c>
      <c r="N162" s="6">
        <f>base!AI162</f>
        <v>0</v>
      </c>
      <c r="O162" s="6">
        <f>base!BA162</f>
        <v>0</v>
      </c>
      <c r="P162" s="7">
        <f>base!BK162</f>
        <v>0</v>
      </c>
      <c r="Q162" s="6">
        <f>base!BS162</f>
        <v>0</v>
      </c>
    </row>
    <row r="163" spans="1:17" x14ac:dyDescent="0.35">
      <c r="A163" s="6">
        <f>base!A163</f>
        <v>0</v>
      </c>
      <c r="B163" s="7">
        <f>base!BN163</f>
        <v>0</v>
      </c>
      <c r="C163" s="6">
        <f>base!C163</f>
        <v>0</v>
      </c>
      <c r="D163" s="6">
        <f>base!E163</f>
        <v>0</v>
      </c>
      <c r="E163" s="6">
        <f>base!BF163</f>
        <v>0</v>
      </c>
      <c r="G163" s="6">
        <f>base!G163</f>
        <v>0</v>
      </c>
      <c r="H163" s="6">
        <f>base!I163</f>
        <v>0</v>
      </c>
      <c r="I163" s="6">
        <f>base!S163</f>
        <v>0</v>
      </c>
      <c r="J163" s="6">
        <f>base!T163</f>
        <v>0</v>
      </c>
      <c r="K163" s="6">
        <f>base!U163</f>
        <v>0</v>
      </c>
      <c r="L163" s="6">
        <f>base!Y163</f>
        <v>0</v>
      </c>
      <c r="M163" s="6">
        <f>base!AH163</f>
        <v>0</v>
      </c>
      <c r="N163" s="6">
        <f>base!AI163</f>
        <v>0</v>
      </c>
      <c r="O163" s="6">
        <f>base!BA163</f>
        <v>0</v>
      </c>
      <c r="P163" s="7">
        <f>base!BK163</f>
        <v>0</v>
      </c>
      <c r="Q163" s="6">
        <f>base!BS163</f>
        <v>0</v>
      </c>
    </row>
    <row r="164" spans="1:17" x14ac:dyDescent="0.35">
      <c r="A164" s="6">
        <f>base!A164</f>
        <v>0</v>
      </c>
      <c r="B164" s="7">
        <f>base!BN164</f>
        <v>0</v>
      </c>
      <c r="C164" s="6">
        <f>base!C164</f>
        <v>0</v>
      </c>
      <c r="D164" s="6">
        <f>base!E164</f>
        <v>0</v>
      </c>
      <c r="E164" s="6">
        <f>base!BF164</f>
        <v>0</v>
      </c>
      <c r="G164" s="6">
        <f>base!G164</f>
        <v>0</v>
      </c>
      <c r="H164" s="6">
        <f>base!I164</f>
        <v>0</v>
      </c>
      <c r="I164" s="6">
        <f>base!S164</f>
        <v>0</v>
      </c>
      <c r="J164" s="6">
        <f>base!T164</f>
        <v>0</v>
      </c>
      <c r="K164" s="6">
        <f>base!U164</f>
        <v>0</v>
      </c>
      <c r="L164" s="6">
        <f>base!Y164</f>
        <v>0</v>
      </c>
      <c r="M164" s="6">
        <f>base!AH164</f>
        <v>0</v>
      </c>
      <c r="N164" s="6">
        <f>base!AI164</f>
        <v>0</v>
      </c>
      <c r="O164" s="6">
        <f>base!BA164</f>
        <v>0</v>
      </c>
      <c r="P164" s="7">
        <f>base!BK164</f>
        <v>0</v>
      </c>
      <c r="Q164" s="6">
        <f>base!BS164</f>
        <v>0</v>
      </c>
    </row>
    <row r="165" spans="1:17" x14ac:dyDescent="0.35">
      <c r="A165" s="6">
        <f>base!A165</f>
        <v>0</v>
      </c>
      <c r="B165" s="7">
        <f>base!BN165</f>
        <v>0</v>
      </c>
      <c r="C165" s="6">
        <f>base!C165</f>
        <v>0</v>
      </c>
      <c r="D165" s="6">
        <f>base!E165</f>
        <v>0</v>
      </c>
      <c r="E165" s="6">
        <f>base!BF165</f>
        <v>0</v>
      </c>
      <c r="G165" s="6">
        <f>base!G165</f>
        <v>0</v>
      </c>
      <c r="H165" s="6">
        <f>base!I165</f>
        <v>0</v>
      </c>
      <c r="I165" s="6">
        <f>base!S165</f>
        <v>0</v>
      </c>
      <c r="J165" s="6">
        <f>base!T165</f>
        <v>0</v>
      </c>
      <c r="K165" s="6">
        <f>base!U165</f>
        <v>0</v>
      </c>
      <c r="L165" s="6">
        <f>base!Y165</f>
        <v>0</v>
      </c>
      <c r="M165" s="6">
        <f>base!AH165</f>
        <v>0</v>
      </c>
      <c r="N165" s="6">
        <f>base!AI165</f>
        <v>0</v>
      </c>
      <c r="O165" s="6">
        <f>base!BA165</f>
        <v>0</v>
      </c>
      <c r="P165" s="7">
        <f>base!BK165</f>
        <v>0</v>
      </c>
      <c r="Q165" s="6">
        <f>base!BS165</f>
        <v>0</v>
      </c>
    </row>
    <row r="166" spans="1:17" x14ac:dyDescent="0.35">
      <c r="A166" s="6">
        <f>base!A166</f>
        <v>0</v>
      </c>
      <c r="B166" s="7">
        <f>base!BN166</f>
        <v>0</v>
      </c>
      <c r="C166" s="6">
        <f>base!C166</f>
        <v>0</v>
      </c>
      <c r="D166" s="6">
        <f>base!E166</f>
        <v>0</v>
      </c>
      <c r="E166" s="6">
        <f>base!BF166</f>
        <v>0</v>
      </c>
      <c r="G166" s="6">
        <f>base!G166</f>
        <v>0</v>
      </c>
      <c r="H166" s="6">
        <f>base!I166</f>
        <v>0</v>
      </c>
      <c r="I166" s="6">
        <f>base!S166</f>
        <v>0</v>
      </c>
      <c r="J166" s="6">
        <f>base!T166</f>
        <v>0</v>
      </c>
      <c r="K166" s="6">
        <f>base!U166</f>
        <v>0</v>
      </c>
      <c r="L166" s="6">
        <f>base!Y166</f>
        <v>0</v>
      </c>
      <c r="M166" s="6">
        <f>base!AH166</f>
        <v>0</v>
      </c>
      <c r="N166" s="6">
        <f>base!AI166</f>
        <v>0</v>
      </c>
      <c r="O166" s="6">
        <f>base!BA166</f>
        <v>0</v>
      </c>
      <c r="P166" s="7">
        <f>base!BK166</f>
        <v>0</v>
      </c>
      <c r="Q166" s="6">
        <f>base!BS166</f>
        <v>0</v>
      </c>
    </row>
    <row r="167" spans="1:17" x14ac:dyDescent="0.35">
      <c r="A167" s="6">
        <f>base!A167</f>
        <v>0</v>
      </c>
      <c r="B167" s="7">
        <f>base!BN167</f>
        <v>0</v>
      </c>
      <c r="C167" s="6">
        <f>base!C167</f>
        <v>0</v>
      </c>
      <c r="D167" s="6">
        <f>base!E167</f>
        <v>0</v>
      </c>
      <c r="E167" s="6">
        <f>base!BF167</f>
        <v>0</v>
      </c>
      <c r="G167" s="6">
        <f>base!G167</f>
        <v>0</v>
      </c>
      <c r="H167" s="6">
        <f>base!I167</f>
        <v>0</v>
      </c>
      <c r="I167" s="6">
        <f>base!S167</f>
        <v>0</v>
      </c>
      <c r="J167" s="6">
        <f>base!T167</f>
        <v>0</v>
      </c>
      <c r="K167" s="6">
        <f>base!U167</f>
        <v>0</v>
      </c>
      <c r="L167" s="6">
        <f>base!Y167</f>
        <v>0</v>
      </c>
      <c r="M167" s="6">
        <f>base!AH167</f>
        <v>0</v>
      </c>
      <c r="N167" s="6">
        <f>base!AI167</f>
        <v>0</v>
      </c>
      <c r="O167" s="6">
        <f>base!BA167</f>
        <v>0</v>
      </c>
      <c r="P167" s="7">
        <f>base!BK167</f>
        <v>0</v>
      </c>
      <c r="Q167" s="6">
        <f>base!BS167</f>
        <v>0</v>
      </c>
    </row>
    <row r="168" spans="1:17" x14ac:dyDescent="0.35">
      <c r="A168" s="6">
        <f>base!A168</f>
        <v>0</v>
      </c>
      <c r="B168" s="7">
        <f>base!BN168</f>
        <v>0</v>
      </c>
      <c r="C168" s="6">
        <f>base!C168</f>
        <v>0</v>
      </c>
      <c r="D168" s="6">
        <f>base!E168</f>
        <v>0</v>
      </c>
      <c r="E168" s="6">
        <f>base!BF168</f>
        <v>0</v>
      </c>
      <c r="G168" s="6">
        <f>base!G168</f>
        <v>0</v>
      </c>
      <c r="H168" s="6">
        <f>base!I168</f>
        <v>0</v>
      </c>
      <c r="I168" s="6">
        <f>base!S168</f>
        <v>0</v>
      </c>
      <c r="J168" s="6">
        <f>base!T168</f>
        <v>0</v>
      </c>
      <c r="K168" s="6">
        <f>base!U168</f>
        <v>0</v>
      </c>
      <c r="L168" s="6">
        <f>base!Y168</f>
        <v>0</v>
      </c>
      <c r="M168" s="6">
        <f>base!AH168</f>
        <v>0</v>
      </c>
      <c r="N168" s="6">
        <f>base!AI168</f>
        <v>0</v>
      </c>
      <c r="O168" s="6">
        <f>base!BA168</f>
        <v>0</v>
      </c>
      <c r="P168" s="7">
        <f>base!BK168</f>
        <v>0</v>
      </c>
      <c r="Q168" s="6">
        <f>base!BS168</f>
        <v>0</v>
      </c>
    </row>
    <row r="169" spans="1:17" x14ac:dyDescent="0.35">
      <c r="A169" s="6">
        <f>base!A169</f>
        <v>0</v>
      </c>
      <c r="B169" s="7">
        <f>base!BN169</f>
        <v>0</v>
      </c>
      <c r="C169" s="6">
        <f>base!C169</f>
        <v>0</v>
      </c>
      <c r="D169" s="6">
        <f>base!E169</f>
        <v>0</v>
      </c>
      <c r="E169" s="6">
        <f>base!BF169</f>
        <v>0</v>
      </c>
      <c r="G169" s="6">
        <f>base!G169</f>
        <v>0</v>
      </c>
      <c r="H169" s="6">
        <f>base!I169</f>
        <v>0</v>
      </c>
      <c r="I169" s="6">
        <f>base!S169</f>
        <v>0</v>
      </c>
      <c r="J169" s="6">
        <f>base!T169</f>
        <v>0</v>
      </c>
      <c r="K169" s="6">
        <f>base!U169</f>
        <v>0</v>
      </c>
      <c r="L169" s="6">
        <f>base!Y169</f>
        <v>0</v>
      </c>
      <c r="M169" s="6">
        <f>base!AH169</f>
        <v>0</v>
      </c>
      <c r="N169" s="6">
        <f>base!AI169</f>
        <v>0</v>
      </c>
      <c r="O169" s="6">
        <f>base!BA169</f>
        <v>0</v>
      </c>
      <c r="P169" s="7">
        <f>base!BK169</f>
        <v>0</v>
      </c>
      <c r="Q169" s="6">
        <f>base!BS169</f>
        <v>0</v>
      </c>
    </row>
    <row r="170" spans="1:17" x14ac:dyDescent="0.35">
      <c r="A170" s="6">
        <f>base!A170</f>
        <v>0</v>
      </c>
      <c r="B170" s="7">
        <f>base!BN170</f>
        <v>0</v>
      </c>
      <c r="C170" s="6">
        <f>base!C170</f>
        <v>0</v>
      </c>
      <c r="D170" s="6">
        <f>base!E170</f>
        <v>0</v>
      </c>
      <c r="E170" s="6">
        <f>base!BF170</f>
        <v>0</v>
      </c>
      <c r="G170" s="6">
        <f>base!G170</f>
        <v>0</v>
      </c>
      <c r="H170" s="6">
        <f>base!I170</f>
        <v>0</v>
      </c>
      <c r="I170" s="6">
        <f>base!S170</f>
        <v>0</v>
      </c>
      <c r="J170" s="6">
        <f>base!T170</f>
        <v>0</v>
      </c>
      <c r="K170" s="6">
        <f>base!U170</f>
        <v>0</v>
      </c>
      <c r="L170" s="6">
        <f>base!Y170</f>
        <v>0</v>
      </c>
      <c r="M170" s="6">
        <f>base!AH170</f>
        <v>0</v>
      </c>
      <c r="N170" s="6">
        <f>base!AI170</f>
        <v>0</v>
      </c>
      <c r="O170" s="6">
        <f>base!BA170</f>
        <v>0</v>
      </c>
      <c r="P170" s="7">
        <f>base!BK170</f>
        <v>0</v>
      </c>
      <c r="Q170" s="6">
        <f>base!BS170</f>
        <v>0</v>
      </c>
    </row>
    <row r="171" spans="1:17" x14ac:dyDescent="0.35">
      <c r="A171" s="6">
        <f>base!A171</f>
        <v>0</v>
      </c>
      <c r="B171" s="7">
        <f>base!BN171</f>
        <v>0</v>
      </c>
      <c r="C171" s="6">
        <f>base!C171</f>
        <v>0</v>
      </c>
      <c r="D171" s="6">
        <f>base!E171</f>
        <v>0</v>
      </c>
      <c r="E171" s="6">
        <f>base!BF171</f>
        <v>0</v>
      </c>
      <c r="G171" s="6">
        <f>base!G171</f>
        <v>0</v>
      </c>
      <c r="H171" s="6">
        <f>base!I171</f>
        <v>0</v>
      </c>
      <c r="I171" s="6">
        <f>base!S171</f>
        <v>0</v>
      </c>
      <c r="J171" s="6">
        <f>base!T171</f>
        <v>0</v>
      </c>
      <c r="K171" s="6">
        <f>base!U171</f>
        <v>0</v>
      </c>
      <c r="L171" s="6">
        <f>base!Y171</f>
        <v>0</v>
      </c>
      <c r="M171" s="6">
        <f>base!AH171</f>
        <v>0</v>
      </c>
      <c r="N171" s="6">
        <f>base!AI171</f>
        <v>0</v>
      </c>
      <c r="O171" s="6">
        <f>base!BA171</f>
        <v>0</v>
      </c>
      <c r="P171" s="7">
        <f>base!BK171</f>
        <v>0</v>
      </c>
      <c r="Q171" s="6">
        <f>base!BS171</f>
        <v>0</v>
      </c>
    </row>
    <row r="172" spans="1:17" x14ac:dyDescent="0.35">
      <c r="A172" s="6">
        <f>base!A172</f>
        <v>0</v>
      </c>
      <c r="B172" s="7">
        <f>base!BN172</f>
        <v>0</v>
      </c>
      <c r="C172" s="6">
        <f>base!C172</f>
        <v>0</v>
      </c>
      <c r="D172" s="6">
        <f>base!E172</f>
        <v>0</v>
      </c>
      <c r="E172" s="6">
        <f>base!BF172</f>
        <v>0</v>
      </c>
      <c r="G172" s="6">
        <f>base!G172</f>
        <v>0</v>
      </c>
      <c r="H172" s="6">
        <f>base!I172</f>
        <v>0</v>
      </c>
      <c r="I172" s="6">
        <f>base!S172</f>
        <v>0</v>
      </c>
      <c r="J172" s="6">
        <f>base!T172</f>
        <v>0</v>
      </c>
      <c r="K172" s="6">
        <f>base!U172</f>
        <v>0</v>
      </c>
      <c r="L172" s="6">
        <f>base!Y172</f>
        <v>0</v>
      </c>
      <c r="M172" s="6">
        <f>base!AH172</f>
        <v>0</v>
      </c>
      <c r="N172" s="6">
        <f>base!AI172</f>
        <v>0</v>
      </c>
      <c r="O172" s="6">
        <f>base!BA172</f>
        <v>0</v>
      </c>
      <c r="P172" s="7">
        <f>base!BK172</f>
        <v>0</v>
      </c>
      <c r="Q172" s="6">
        <f>base!BS172</f>
        <v>0</v>
      </c>
    </row>
    <row r="173" spans="1:17" x14ac:dyDescent="0.35">
      <c r="A173" s="6">
        <f>base!A173</f>
        <v>0</v>
      </c>
      <c r="B173" s="7">
        <f>base!BN173</f>
        <v>0</v>
      </c>
      <c r="C173" s="6">
        <f>base!C173</f>
        <v>0</v>
      </c>
      <c r="D173" s="6">
        <f>base!E173</f>
        <v>0</v>
      </c>
      <c r="E173" s="6">
        <f>base!BF173</f>
        <v>0</v>
      </c>
      <c r="G173" s="6">
        <f>base!G173</f>
        <v>0</v>
      </c>
      <c r="H173" s="6">
        <f>base!I173</f>
        <v>0</v>
      </c>
      <c r="I173" s="6">
        <f>base!S173</f>
        <v>0</v>
      </c>
      <c r="J173" s="6">
        <f>base!T173</f>
        <v>0</v>
      </c>
      <c r="K173" s="6">
        <f>base!U173</f>
        <v>0</v>
      </c>
      <c r="L173" s="6">
        <f>base!Y173</f>
        <v>0</v>
      </c>
      <c r="M173" s="6">
        <f>base!AH173</f>
        <v>0</v>
      </c>
      <c r="N173" s="6">
        <f>base!AI173</f>
        <v>0</v>
      </c>
      <c r="O173" s="6">
        <f>base!BA173</f>
        <v>0</v>
      </c>
      <c r="P173" s="7">
        <f>base!BK173</f>
        <v>0</v>
      </c>
      <c r="Q173" s="6">
        <f>base!BS173</f>
        <v>0</v>
      </c>
    </row>
    <row r="174" spans="1:17" x14ac:dyDescent="0.35">
      <c r="A174" s="6">
        <f>base!A174</f>
        <v>0</v>
      </c>
      <c r="B174" s="7">
        <f>base!BN174</f>
        <v>0</v>
      </c>
      <c r="C174" s="6">
        <f>base!C174</f>
        <v>0</v>
      </c>
      <c r="D174" s="6">
        <f>base!E174</f>
        <v>0</v>
      </c>
      <c r="E174" s="6">
        <f>base!BF174</f>
        <v>0</v>
      </c>
      <c r="G174" s="6">
        <f>base!G174</f>
        <v>0</v>
      </c>
      <c r="H174" s="6">
        <f>base!I174</f>
        <v>0</v>
      </c>
      <c r="I174" s="6">
        <f>base!S174</f>
        <v>0</v>
      </c>
      <c r="J174" s="6">
        <f>base!T174</f>
        <v>0</v>
      </c>
      <c r="K174" s="6">
        <f>base!U174</f>
        <v>0</v>
      </c>
      <c r="L174" s="6">
        <f>base!Y174</f>
        <v>0</v>
      </c>
      <c r="M174" s="6">
        <f>base!AH174</f>
        <v>0</v>
      </c>
      <c r="N174" s="6">
        <f>base!AI174</f>
        <v>0</v>
      </c>
      <c r="O174" s="6">
        <f>base!BA174</f>
        <v>0</v>
      </c>
      <c r="P174" s="7">
        <f>base!BK174</f>
        <v>0</v>
      </c>
      <c r="Q174" s="6">
        <f>base!BS174</f>
        <v>0</v>
      </c>
    </row>
    <row r="175" spans="1:17" x14ac:dyDescent="0.35">
      <c r="A175" s="6">
        <f>base!A175</f>
        <v>0</v>
      </c>
      <c r="B175" s="7">
        <f>base!BN175</f>
        <v>0</v>
      </c>
      <c r="C175" s="6">
        <f>base!C175</f>
        <v>0</v>
      </c>
      <c r="D175" s="6">
        <f>base!E175</f>
        <v>0</v>
      </c>
      <c r="E175" s="6">
        <f>base!BF175</f>
        <v>0</v>
      </c>
      <c r="G175" s="6">
        <f>base!G175</f>
        <v>0</v>
      </c>
      <c r="H175" s="6">
        <f>base!I175</f>
        <v>0</v>
      </c>
      <c r="I175" s="6">
        <f>base!S175</f>
        <v>0</v>
      </c>
      <c r="J175" s="6">
        <f>base!T175</f>
        <v>0</v>
      </c>
      <c r="K175" s="6">
        <f>base!U175</f>
        <v>0</v>
      </c>
      <c r="L175" s="6">
        <f>base!Y175</f>
        <v>0</v>
      </c>
      <c r="M175" s="6">
        <f>base!AH175</f>
        <v>0</v>
      </c>
      <c r="N175" s="6">
        <f>base!AI175</f>
        <v>0</v>
      </c>
      <c r="O175" s="6">
        <f>base!BA175</f>
        <v>0</v>
      </c>
      <c r="P175" s="7">
        <f>base!BK175</f>
        <v>0</v>
      </c>
      <c r="Q175" s="6">
        <f>base!BS175</f>
        <v>0</v>
      </c>
    </row>
    <row r="176" spans="1:17" x14ac:dyDescent="0.35">
      <c r="A176" s="6">
        <f>base!A176</f>
        <v>0</v>
      </c>
      <c r="B176" s="7">
        <f>base!BN176</f>
        <v>0</v>
      </c>
      <c r="C176" s="6">
        <f>base!C176</f>
        <v>0</v>
      </c>
      <c r="D176" s="6">
        <f>base!E176</f>
        <v>0</v>
      </c>
      <c r="E176" s="6">
        <f>base!BF176</f>
        <v>0</v>
      </c>
      <c r="G176" s="6">
        <f>base!G176</f>
        <v>0</v>
      </c>
      <c r="H176" s="6">
        <f>base!I176</f>
        <v>0</v>
      </c>
      <c r="I176" s="6">
        <f>base!S176</f>
        <v>0</v>
      </c>
      <c r="J176" s="6">
        <f>base!T176</f>
        <v>0</v>
      </c>
      <c r="K176" s="6">
        <f>base!U176</f>
        <v>0</v>
      </c>
      <c r="L176" s="6">
        <f>base!Y176</f>
        <v>0</v>
      </c>
      <c r="M176" s="6">
        <f>base!AH176</f>
        <v>0</v>
      </c>
      <c r="N176" s="6">
        <f>base!AI176</f>
        <v>0</v>
      </c>
      <c r="O176" s="6">
        <f>base!BA176</f>
        <v>0</v>
      </c>
      <c r="P176" s="7">
        <f>base!BK176</f>
        <v>0</v>
      </c>
      <c r="Q176" s="6">
        <f>base!BS176</f>
        <v>0</v>
      </c>
    </row>
    <row r="177" spans="1:17" x14ac:dyDescent="0.35">
      <c r="A177" s="6">
        <f>base!A177</f>
        <v>0</v>
      </c>
      <c r="B177" s="7">
        <f>base!BN177</f>
        <v>0</v>
      </c>
      <c r="C177" s="6">
        <f>base!C177</f>
        <v>0</v>
      </c>
      <c r="D177" s="6">
        <f>base!E177</f>
        <v>0</v>
      </c>
      <c r="E177" s="6">
        <f>base!BF177</f>
        <v>0</v>
      </c>
      <c r="G177" s="6">
        <f>base!G177</f>
        <v>0</v>
      </c>
      <c r="H177" s="6">
        <f>base!I177</f>
        <v>0</v>
      </c>
      <c r="I177" s="6">
        <f>base!S177</f>
        <v>0</v>
      </c>
      <c r="J177" s="6">
        <f>base!T177</f>
        <v>0</v>
      </c>
      <c r="K177" s="6">
        <f>base!U177</f>
        <v>0</v>
      </c>
      <c r="L177" s="6">
        <f>base!Y177</f>
        <v>0</v>
      </c>
      <c r="M177" s="6">
        <f>base!AH177</f>
        <v>0</v>
      </c>
      <c r="N177" s="6">
        <f>base!AI177</f>
        <v>0</v>
      </c>
      <c r="O177" s="6">
        <f>base!BA177</f>
        <v>0</v>
      </c>
      <c r="P177" s="7">
        <f>base!BK177</f>
        <v>0</v>
      </c>
      <c r="Q177" s="6">
        <f>base!BS177</f>
        <v>0</v>
      </c>
    </row>
    <row r="178" spans="1:17" x14ac:dyDescent="0.35">
      <c r="A178" s="6">
        <f>base!A178</f>
        <v>0</v>
      </c>
      <c r="B178" s="7">
        <f>base!BN178</f>
        <v>0</v>
      </c>
      <c r="C178" s="6">
        <f>base!C178</f>
        <v>0</v>
      </c>
      <c r="D178" s="6">
        <f>base!E178</f>
        <v>0</v>
      </c>
      <c r="E178" s="6">
        <f>base!BF178</f>
        <v>0</v>
      </c>
      <c r="G178" s="6">
        <f>base!G178</f>
        <v>0</v>
      </c>
      <c r="H178" s="6">
        <f>base!I178</f>
        <v>0</v>
      </c>
      <c r="I178" s="6">
        <f>base!S178</f>
        <v>0</v>
      </c>
      <c r="J178" s="6">
        <f>base!T178</f>
        <v>0</v>
      </c>
      <c r="K178" s="6">
        <f>base!U178</f>
        <v>0</v>
      </c>
      <c r="L178" s="6">
        <f>base!Y178</f>
        <v>0</v>
      </c>
      <c r="M178" s="6">
        <f>base!AH178</f>
        <v>0</v>
      </c>
      <c r="N178" s="6">
        <f>base!AI178</f>
        <v>0</v>
      </c>
      <c r="O178" s="6">
        <f>base!BA178</f>
        <v>0</v>
      </c>
      <c r="P178" s="7">
        <f>base!BK178</f>
        <v>0</v>
      </c>
      <c r="Q178" s="6">
        <f>base!BS178</f>
        <v>0</v>
      </c>
    </row>
    <row r="179" spans="1:17" x14ac:dyDescent="0.35">
      <c r="A179" s="6">
        <f>base!A179</f>
        <v>0</v>
      </c>
      <c r="B179" s="7">
        <f>base!BN179</f>
        <v>0</v>
      </c>
      <c r="C179" s="6">
        <f>base!C179</f>
        <v>0</v>
      </c>
      <c r="D179" s="6">
        <f>base!E179</f>
        <v>0</v>
      </c>
      <c r="E179" s="6">
        <f>base!BF179</f>
        <v>0</v>
      </c>
      <c r="G179" s="6">
        <f>base!G179</f>
        <v>0</v>
      </c>
      <c r="H179" s="6">
        <f>base!I179</f>
        <v>0</v>
      </c>
      <c r="I179" s="6">
        <f>base!S179</f>
        <v>0</v>
      </c>
      <c r="J179" s="6">
        <f>base!T179</f>
        <v>0</v>
      </c>
      <c r="K179" s="6">
        <f>base!U179</f>
        <v>0</v>
      </c>
      <c r="L179" s="6">
        <f>base!Y179</f>
        <v>0</v>
      </c>
      <c r="M179" s="6">
        <f>base!AH179</f>
        <v>0</v>
      </c>
      <c r="N179" s="6">
        <f>base!AI179</f>
        <v>0</v>
      </c>
      <c r="O179" s="6">
        <f>base!BA179</f>
        <v>0</v>
      </c>
      <c r="P179" s="7">
        <f>base!BK179</f>
        <v>0</v>
      </c>
      <c r="Q179" s="6">
        <f>base!BS179</f>
        <v>0</v>
      </c>
    </row>
    <row r="180" spans="1:17" x14ac:dyDescent="0.35">
      <c r="A180" s="6">
        <f>base!A180</f>
        <v>0</v>
      </c>
      <c r="B180" s="7">
        <f>base!BN180</f>
        <v>0</v>
      </c>
      <c r="C180" s="6">
        <f>base!C180</f>
        <v>0</v>
      </c>
      <c r="D180" s="6">
        <f>base!E180</f>
        <v>0</v>
      </c>
      <c r="E180" s="6">
        <f>base!BF180</f>
        <v>0</v>
      </c>
      <c r="G180" s="6">
        <f>base!G180</f>
        <v>0</v>
      </c>
      <c r="H180" s="6">
        <f>base!I180</f>
        <v>0</v>
      </c>
      <c r="I180" s="6">
        <f>base!S180</f>
        <v>0</v>
      </c>
      <c r="J180" s="6">
        <f>base!T180</f>
        <v>0</v>
      </c>
      <c r="K180" s="6">
        <f>base!U180</f>
        <v>0</v>
      </c>
      <c r="L180" s="6">
        <f>base!Y180</f>
        <v>0</v>
      </c>
      <c r="M180" s="6">
        <f>base!AH180</f>
        <v>0</v>
      </c>
      <c r="N180" s="6">
        <f>base!AI180</f>
        <v>0</v>
      </c>
      <c r="O180" s="6">
        <f>base!BA180</f>
        <v>0</v>
      </c>
      <c r="P180" s="7">
        <f>base!BK180</f>
        <v>0</v>
      </c>
      <c r="Q180" s="6">
        <f>base!BS180</f>
        <v>0</v>
      </c>
    </row>
    <row r="181" spans="1:17" x14ac:dyDescent="0.35">
      <c r="A181" s="6">
        <f>base!A181</f>
        <v>0</v>
      </c>
      <c r="B181" s="7">
        <f>base!BN181</f>
        <v>0</v>
      </c>
      <c r="C181" s="6">
        <f>base!C181</f>
        <v>0</v>
      </c>
      <c r="D181" s="6">
        <f>base!E181</f>
        <v>0</v>
      </c>
      <c r="E181" s="6">
        <f>base!BF181</f>
        <v>0</v>
      </c>
      <c r="G181" s="6">
        <f>base!G181</f>
        <v>0</v>
      </c>
      <c r="H181" s="6">
        <f>base!I181</f>
        <v>0</v>
      </c>
      <c r="I181" s="6">
        <f>base!S181</f>
        <v>0</v>
      </c>
      <c r="J181" s="6">
        <f>base!T181</f>
        <v>0</v>
      </c>
      <c r="K181" s="6">
        <f>base!U181</f>
        <v>0</v>
      </c>
      <c r="L181" s="6">
        <f>base!Y181</f>
        <v>0</v>
      </c>
      <c r="M181" s="6">
        <f>base!AH181</f>
        <v>0</v>
      </c>
      <c r="N181" s="6">
        <f>base!AI181</f>
        <v>0</v>
      </c>
      <c r="O181" s="6">
        <f>base!BA181</f>
        <v>0</v>
      </c>
      <c r="P181" s="7">
        <f>base!BK181</f>
        <v>0</v>
      </c>
      <c r="Q181" s="6">
        <f>base!BS181</f>
        <v>0</v>
      </c>
    </row>
    <row r="182" spans="1:17" x14ac:dyDescent="0.35">
      <c r="A182" s="6">
        <f>base!A182</f>
        <v>0</v>
      </c>
      <c r="B182" s="7">
        <f>base!BN182</f>
        <v>0</v>
      </c>
      <c r="C182" s="6">
        <f>base!C182</f>
        <v>0</v>
      </c>
      <c r="D182" s="6">
        <f>base!E182</f>
        <v>0</v>
      </c>
      <c r="E182" s="6">
        <f>base!BF182</f>
        <v>0</v>
      </c>
      <c r="G182" s="6">
        <f>base!G182</f>
        <v>0</v>
      </c>
      <c r="H182" s="6">
        <f>base!I182</f>
        <v>0</v>
      </c>
      <c r="I182" s="6">
        <f>base!S182</f>
        <v>0</v>
      </c>
      <c r="J182" s="6">
        <f>base!T182</f>
        <v>0</v>
      </c>
      <c r="K182" s="6">
        <f>base!U182</f>
        <v>0</v>
      </c>
      <c r="L182" s="6">
        <f>base!Y182</f>
        <v>0</v>
      </c>
      <c r="M182" s="6">
        <f>base!AH182</f>
        <v>0</v>
      </c>
      <c r="N182" s="6">
        <f>base!AI182</f>
        <v>0</v>
      </c>
      <c r="O182" s="6">
        <f>base!BA182</f>
        <v>0</v>
      </c>
      <c r="P182" s="7">
        <f>base!BK182</f>
        <v>0</v>
      </c>
      <c r="Q182" s="6">
        <f>base!BS182</f>
        <v>0</v>
      </c>
    </row>
    <row r="183" spans="1:17" x14ac:dyDescent="0.35">
      <c r="A183" s="6">
        <f>base!A183</f>
        <v>0</v>
      </c>
      <c r="B183" s="7">
        <f>base!BN183</f>
        <v>0</v>
      </c>
      <c r="C183" s="6">
        <f>base!C183</f>
        <v>0</v>
      </c>
      <c r="D183" s="6">
        <f>base!E183</f>
        <v>0</v>
      </c>
      <c r="E183" s="6">
        <f>base!BF183</f>
        <v>0</v>
      </c>
      <c r="G183" s="6">
        <f>base!G183</f>
        <v>0</v>
      </c>
      <c r="H183" s="6">
        <f>base!I183</f>
        <v>0</v>
      </c>
      <c r="I183" s="6">
        <f>base!S183</f>
        <v>0</v>
      </c>
      <c r="J183" s="6">
        <f>base!T183</f>
        <v>0</v>
      </c>
      <c r="K183" s="6">
        <f>base!U183</f>
        <v>0</v>
      </c>
      <c r="L183" s="6">
        <f>base!Y183</f>
        <v>0</v>
      </c>
      <c r="M183" s="6">
        <f>base!AH183</f>
        <v>0</v>
      </c>
      <c r="N183" s="6">
        <f>base!AI183</f>
        <v>0</v>
      </c>
      <c r="O183" s="6">
        <f>base!BA183</f>
        <v>0</v>
      </c>
      <c r="P183" s="7">
        <f>base!BK183</f>
        <v>0</v>
      </c>
      <c r="Q183" s="6">
        <f>base!BS183</f>
        <v>0</v>
      </c>
    </row>
    <row r="184" spans="1:17" x14ac:dyDescent="0.35">
      <c r="A184" s="6">
        <f>base!A184</f>
        <v>0</v>
      </c>
      <c r="B184" s="7">
        <f>base!BN184</f>
        <v>0</v>
      </c>
      <c r="C184" s="6">
        <f>base!C184</f>
        <v>0</v>
      </c>
      <c r="D184" s="6">
        <f>base!E184</f>
        <v>0</v>
      </c>
      <c r="E184" s="6">
        <f>base!BF184</f>
        <v>0</v>
      </c>
      <c r="G184" s="6">
        <f>base!G184</f>
        <v>0</v>
      </c>
      <c r="H184" s="6">
        <f>base!I184</f>
        <v>0</v>
      </c>
      <c r="I184" s="6">
        <f>base!S184</f>
        <v>0</v>
      </c>
      <c r="J184" s="6">
        <f>base!T184</f>
        <v>0</v>
      </c>
      <c r="K184" s="6">
        <f>base!U184</f>
        <v>0</v>
      </c>
      <c r="L184" s="6">
        <f>base!Y184</f>
        <v>0</v>
      </c>
      <c r="M184" s="6">
        <f>base!AH184</f>
        <v>0</v>
      </c>
      <c r="N184" s="6">
        <f>base!AI184</f>
        <v>0</v>
      </c>
      <c r="O184" s="6">
        <f>base!BA184</f>
        <v>0</v>
      </c>
      <c r="P184" s="7">
        <f>base!BK184</f>
        <v>0</v>
      </c>
      <c r="Q184" s="6">
        <f>base!BS184</f>
        <v>0</v>
      </c>
    </row>
    <row r="185" spans="1:17" x14ac:dyDescent="0.35">
      <c r="A185" s="6">
        <f>base!A185</f>
        <v>0</v>
      </c>
      <c r="B185" s="7">
        <f>base!BN185</f>
        <v>0</v>
      </c>
      <c r="C185" s="6">
        <f>base!C185</f>
        <v>0</v>
      </c>
      <c r="D185" s="6">
        <f>base!E185</f>
        <v>0</v>
      </c>
      <c r="E185" s="6">
        <f>base!BF185</f>
        <v>0</v>
      </c>
      <c r="G185" s="6">
        <f>base!G185</f>
        <v>0</v>
      </c>
      <c r="H185" s="6">
        <f>base!I185</f>
        <v>0</v>
      </c>
      <c r="I185" s="6">
        <f>base!S185</f>
        <v>0</v>
      </c>
      <c r="J185" s="6">
        <f>base!T185</f>
        <v>0</v>
      </c>
      <c r="K185" s="6">
        <f>base!U185</f>
        <v>0</v>
      </c>
      <c r="L185" s="6">
        <f>base!Y185</f>
        <v>0</v>
      </c>
      <c r="M185" s="6">
        <f>base!AH185</f>
        <v>0</v>
      </c>
      <c r="N185" s="6">
        <f>base!AI185</f>
        <v>0</v>
      </c>
      <c r="O185" s="6">
        <f>base!BA185</f>
        <v>0</v>
      </c>
      <c r="P185" s="7">
        <f>base!BK185</f>
        <v>0</v>
      </c>
      <c r="Q185" s="6">
        <f>base!BS185</f>
        <v>0</v>
      </c>
    </row>
    <row r="186" spans="1:17" x14ac:dyDescent="0.35">
      <c r="A186" s="6">
        <f>base!A186</f>
        <v>0</v>
      </c>
      <c r="B186" s="7">
        <f>base!BN186</f>
        <v>0</v>
      </c>
      <c r="C186" s="6">
        <f>base!C186</f>
        <v>0</v>
      </c>
      <c r="D186" s="6">
        <f>base!E186</f>
        <v>0</v>
      </c>
      <c r="E186" s="6">
        <f>base!BF186</f>
        <v>0</v>
      </c>
      <c r="G186" s="6">
        <f>base!G186</f>
        <v>0</v>
      </c>
      <c r="H186" s="6">
        <f>base!I186</f>
        <v>0</v>
      </c>
      <c r="I186" s="6">
        <f>base!S186</f>
        <v>0</v>
      </c>
      <c r="J186" s="6">
        <f>base!T186</f>
        <v>0</v>
      </c>
      <c r="K186" s="6">
        <f>base!U186</f>
        <v>0</v>
      </c>
      <c r="L186" s="6">
        <f>base!Y186</f>
        <v>0</v>
      </c>
      <c r="M186" s="6">
        <f>base!AH186</f>
        <v>0</v>
      </c>
      <c r="N186" s="6">
        <f>base!AI186</f>
        <v>0</v>
      </c>
      <c r="O186" s="6">
        <f>base!BA186</f>
        <v>0</v>
      </c>
      <c r="P186" s="7">
        <f>base!BK186</f>
        <v>0</v>
      </c>
      <c r="Q186" s="6">
        <f>base!BS186</f>
        <v>0</v>
      </c>
    </row>
    <row r="187" spans="1:17" x14ac:dyDescent="0.35">
      <c r="A187" s="6">
        <f>base!A187</f>
        <v>0</v>
      </c>
      <c r="B187" s="7">
        <f>base!BN187</f>
        <v>0</v>
      </c>
      <c r="C187" s="6">
        <f>base!C187</f>
        <v>0</v>
      </c>
      <c r="D187" s="6">
        <f>base!E187</f>
        <v>0</v>
      </c>
      <c r="E187" s="6">
        <f>base!BF187</f>
        <v>0</v>
      </c>
      <c r="G187" s="6">
        <f>base!G187</f>
        <v>0</v>
      </c>
      <c r="H187" s="6">
        <f>base!I187</f>
        <v>0</v>
      </c>
      <c r="I187" s="6">
        <f>base!S187</f>
        <v>0</v>
      </c>
      <c r="J187" s="6">
        <f>base!T187</f>
        <v>0</v>
      </c>
      <c r="K187" s="6">
        <f>base!U187</f>
        <v>0</v>
      </c>
      <c r="L187" s="6">
        <f>base!Y187</f>
        <v>0</v>
      </c>
      <c r="M187" s="6">
        <f>base!AH187</f>
        <v>0</v>
      </c>
      <c r="N187" s="6">
        <f>base!AI187</f>
        <v>0</v>
      </c>
      <c r="O187" s="6">
        <f>base!BA187</f>
        <v>0</v>
      </c>
      <c r="P187" s="7">
        <f>base!BK187</f>
        <v>0</v>
      </c>
      <c r="Q187" s="6">
        <f>base!BS187</f>
        <v>0</v>
      </c>
    </row>
    <row r="188" spans="1:17" x14ac:dyDescent="0.35">
      <c r="A188" s="6">
        <f>base!A188</f>
        <v>0</v>
      </c>
      <c r="B188" s="7">
        <f>base!BN188</f>
        <v>0</v>
      </c>
      <c r="C188" s="6">
        <f>base!C188</f>
        <v>0</v>
      </c>
      <c r="D188" s="6">
        <f>base!E188</f>
        <v>0</v>
      </c>
      <c r="E188" s="6">
        <f>base!BF188</f>
        <v>0</v>
      </c>
      <c r="G188" s="6">
        <f>base!G188</f>
        <v>0</v>
      </c>
      <c r="H188" s="6">
        <f>base!I188</f>
        <v>0</v>
      </c>
      <c r="I188" s="6">
        <f>base!S188</f>
        <v>0</v>
      </c>
      <c r="J188" s="6">
        <f>base!T188</f>
        <v>0</v>
      </c>
      <c r="K188" s="6">
        <f>base!U188</f>
        <v>0</v>
      </c>
      <c r="L188" s="6">
        <f>base!Y188</f>
        <v>0</v>
      </c>
      <c r="M188" s="6">
        <f>base!AH188</f>
        <v>0</v>
      </c>
      <c r="N188" s="6">
        <f>base!AI188</f>
        <v>0</v>
      </c>
      <c r="O188" s="6">
        <f>base!BA188</f>
        <v>0</v>
      </c>
      <c r="P188" s="7">
        <f>base!BK188</f>
        <v>0</v>
      </c>
      <c r="Q188" s="6">
        <f>base!BS188</f>
        <v>0</v>
      </c>
    </row>
    <row r="189" spans="1:17" x14ac:dyDescent="0.35">
      <c r="A189" s="6">
        <f>base!A189</f>
        <v>0</v>
      </c>
      <c r="B189" s="7">
        <f>base!BN189</f>
        <v>0</v>
      </c>
      <c r="C189" s="6">
        <f>base!C189</f>
        <v>0</v>
      </c>
      <c r="D189" s="6">
        <f>base!E189</f>
        <v>0</v>
      </c>
      <c r="E189" s="6">
        <f>base!BF189</f>
        <v>0</v>
      </c>
      <c r="G189" s="6">
        <f>base!G189</f>
        <v>0</v>
      </c>
      <c r="H189" s="6">
        <f>base!I189</f>
        <v>0</v>
      </c>
      <c r="I189" s="6">
        <f>base!S189</f>
        <v>0</v>
      </c>
      <c r="J189" s="6">
        <f>base!T189</f>
        <v>0</v>
      </c>
      <c r="K189" s="6">
        <f>base!U189</f>
        <v>0</v>
      </c>
      <c r="L189" s="6">
        <f>base!Y189</f>
        <v>0</v>
      </c>
      <c r="M189" s="6">
        <f>base!AH189</f>
        <v>0</v>
      </c>
      <c r="N189" s="6">
        <f>base!AI189</f>
        <v>0</v>
      </c>
      <c r="O189" s="6">
        <f>base!BA189</f>
        <v>0</v>
      </c>
      <c r="P189" s="7">
        <f>base!BK189</f>
        <v>0</v>
      </c>
      <c r="Q189" s="6">
        <f>base!BS189</f>
        <v>0</v>
      </c>
    </row>
  </sheetData>
  <autoFilter ref="A1:T1" xr:uid="{00000000-0009-0000-0000-000000000000}">
    <filterColumn colId="17" showButton="0"/>
    <filterColumn colId="18" showButton="0"/>
  </autoFilter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aux!$A$1:$A$4</xm:f>
          </x14:formula1>
          <xm:sqref>F2:F189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36"/>
  <sheetViews>
    <sheetView showGridLines="0" topLeftCell="S1" workbookViewId="0">
      <selection activeCell="S3" sqref="S3"/>
    </sheetView>
  </sheetViews>
  <sheetFormatPr baseColWidth="10" defaultRowHeight="15" x14ac:dyDescent="0.25"/>
  <cols>
    <col min="1" max="1" width="8.85546875" bestFit="1" customWidth="1"/>
    <col min="2" max="2" width="10.7109375" bestFit="1" customWidth="1"/>
    <col min="3" max="3" width="16.140625" bestFit="1" customWidth="1"/>
    <col min="4" max="4" width="25.7109375" bestFit="1" customWidth="1"/>
    <col min="5" max="5" width="24.42578125" bestFit="1" customWidth="1"/>
    <col min="6" max="6" width="27.140625" bestFit="1" customWidth="1"/>
    <col min="7" max="7" width="18.7109375" bestFit="1" customWidth="1"/>
    <col min="8" max="8" width="17.140625" bestFit="1" customWidth="1"/>
    <col min="9" max="9" width="9.42578125" bestFit="1" customWidth="1"/>
    <col min="10" max="10" width="7.7109375" bestFit="1" customWidth="1"/>
    <col min="11" max="11" width="15.7109375" bestFit="1" customWidth="1"/>
    <col min="12" max="12" width="16.7109375" bestFit="1" customWidth="1"/>
    <col min="13" max="13" width="7.85546875" bestFit="1" customWidth="1"/>
    <col min="14" max="14" width="6" bestFit="1" customWidth="1"/>
    <col min="15" max="15" width="6.5703125" bestFit="1" customWidth="1"/>
    <col min="16" max="16" width="8.140625" bestFit="1" customWidth="1"/>
    <col min="17" max="17" width="15" bestFit="1" customWidth="1"/>
    <col min="18" max="18" width="8.5703125" bestFit="1" customWidth="1"/>
    <col min="19" max="19" width="27" bestFit="1" customWidth="1"/>
    <col min="20" max="20" width="40.7109375" bestFit="1" customWidth="1"/>
    <col min="21" max="21" width="17.28515625" bestFit="1" customWidth="1"/>
    <col min="22" max="22" width="14.28515625" bestFit="1" customWidth="1"/>
    <col min="23" max="23" width="5.85546875" bestFit="1" customWidth="1"/>
    <col min="24" max="24" width="7.5703125" bestFit="1" customWidth="1"/>
    <col min="25" max="25" width="45.7109375" bestFit="1" customWidth="1"/>
    <col min="26" max="26" width="18.140625" bestFit="1" customWidth="1"/>
    <col min="27" max="27" width="19" bestFit="1" customWidth="1"/>
    <col min="28" max="28" width="13.140625" bestFit="1" customWidth="1"/>
    <col min="29" max="29" width="11.85546875" bestFit="1" customWidth="1"/>
    <col min="30" max="30" width="15.42578125" bestFit="1" customWidth="1"/>
    <col min="31" max="31" width="14.140625" bestFit="1" customWidth="1"/>
    <col min="32" max="32" width="13.42578125" bestFit="1" customWidth="1"/>
    <col min="33" max="33" width="15.7109375" bestFit="1" customWidth="1"/>
    <col min="34" max="34" width="22.28515625" bestFit="1" customWidth="1"/>
    <col min="35" max="35" width="11.28515625" bestFit="1" customWidth="1"/>
    <col min="36" max="36" width="4.85546875" bestFit="1" customWidth="1"/>
    <col min="37" max="37" width="16.5703125" bestFit="1" customWidth="1"/>
    <col min="38" max="38" width="10.140625" bestFit="1" customWidth="1"/>
    <col min="39" max="40" width="45.7109375" bestFit="1" customWidth="1"/>
    <col min="41" max="41" width="9.5703125" bestFit="1" customWidth="1"/>
    <col min="42" max="42" width="13.42578125" bestFit="1" customWidth="1"/>
    <col min="43" max="43" width="14.42578125" bestFit="1" customWidth="1"/>
    <col min="44" max="44" width="16.85546875" bestFit="1" customWidth="1"/>
    <col min="45" max="45" width="9.140625" bestFit="1" customWidth="1"/>
    <col min="46" max="46" width="5.28515625" bestFit="1" customWidth="1"/>
    <col min="47" max="47" width="15.85546875" bestFit="1" customWidth="1"/>
    <col min="48" max="48" width="9.5703125" bestFit="1" customWidth="1"/>
    <col min="49" max="49" width="14.5703125" bestFit="1" customWidth="1"/>
    <col min="50" max="50" width="12.140625" bestFit="1" customWidth="1"/>
    <col min="51" max="51" width="7.5703125" bestFit="1" customWidth="1"/>
    <col min="52" max="52" width="17.42578125" bestFit="1" customWidth="1"/>
    <col min="53" max="53" width="5" bestFit="1" customWidth="1"/>
    <col min="54" max="54" width="20.85546875" bestFit="1" customWidth="1"/>
    <col min="55" max="55" width="19.5703125" bestFit="1" customWidth="1"/>
    <col min="56" max="56" width="17.85546875" bestFit="1" customWidth="1"/>
    <col min="57" max="57" width="18.5703125" bestFit="1" customWidth="1"/>
    <col min="58" max="58" width="18.42578125" bestFit="1" customWidth="1"/>
    <col min="59" max="59" width="45.7109375" bestFit="1" customWidth="1"/>
    <col min="60" max="60" width="11" bestFit="1" customWidth="1"/>
    <col min="61" max="61" width="45.7109375" bestFit="1" customWidth="1"/>
    <col min="62" max="62" width="17.140625" bestFit="1" customWidth="1"/>
    <col min="63" max="63" width="22" bestFit="1" customWidth="1"/>
    <col min="64" max="64" width="8.42578125" bestFit="1" customWidth="1"/>
    <col min="65" max="65" width="14.85546875" bestFit="1" customWidth="1"/>
    <col min="66" max="66" width="20.7109375" bestFit="1" customWidth="1"/>
    <col min="67" max="67" width="38.28515625" bestFit="1" customWidth="1"/>
    <col min="68" max="68" width="7.85546875" bestFit="1" customWidth="1"/>
    <col min="69" max="69" width="33.140625" bestFit="1" customWidth="1"/>
    <col min="70" max="70" width="37.42578125" bestFit="1" customWidth="1"/>
    <col min="71" max="71" width="12.5703125" bestFit="1" customWidth="1"/>
    <col min="72" max="72" width="16.42578125" bestFit="1" customWidth="1"/>
    <col min="73" max="73" width="16.140625" bestFit="1" customWidth="1"/>
    <col min="74" max="74" width="15" bestFit="1" customWidth="1"/>
    <col min="75" max="75" width="15.4257812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30" x14ac:dyDescent="0.25">
      <c r="A2" s="2">
        <v>5526235</v>
      </c>
      <c r="B2" s="3">
        <v>46147</v>
      </c>
      <c r="C2" s="2" t="s">
        <v>133</v>
      </c>
      <c r="D2" s="2" t="s">
        <v>134</v>
      </c>
      <c r="E2" s="2" t="s">
        <v>75</v>
      </c>
      <c r="F2" s="2" t="s">
        <v>118</v>
      </c>
      <c r="G2" s="2">
        <v>46994624650</v>
      </c>
      <c r="H2" s="4" t="s">
        <v>135</v>
      </c>
      <c r="I2" s="2" t="s">
        <v>98</v>
      </c>
      <c r="J2" s="2"/>
      <c r="K2" s="2"/>
      <c r="L2" s="2"/>
      <c r="M2" s="2"/>
      <c r="N2" s="2">
        <v>1.7</v>
      </c>
      <c r="O2" s="2">
        <v>1</v>
      </c>
      <c r="P2" s="2">
        <v>9426.31</v>
      </c>
      <c r="Q2" s="2">
        <v>27741</v>
      </c>
      <c r="R2" s="2"/>
      <c r="S2" s="2" t="s">
        <v>136</v>
      </c>
      <c r="T2" s="2" t="s">
        <v>137</v>
      </c>
      <c r="U2" s="2" t="s">
        <v>138</v>
      </c>
      <c r="V2" s="2" t="s">
        <v>82</v>
      </c>
      <c r="W2" s="2"/>
      <c r="X2" s="2"/>
      <c r="Y2" s="2" t="s">
        <v>106</v>
      </c>
      <c r="Z2" s="2"/>
      <c r="AA2" s="2"/>
      <c r="AB2" s="3">
        <v>46148</v>
      </c>
      <c r="AC2" s="2">
        <v>80018</v>
      </c>
      <c r="AD2" s="2"/>
      <c r="AE2" s="2"/>
      <c r="AF2" s="3">
        <v>46148</v>
      </c>
      <c r="AG2" s="5">
        <v>46148.737500000003</v>
      </c>
      <c r="AH2" s="2"/>
      <c r="AI2" s="2"/>
      <c r="AJ2" s="2"/>
      <c r="AK2" s="2">
        <v>0</v>
      </c>
      <c r="AL2" s="2"/>
      <c r="AM2" s="2" t="s">
        <v>139</v>
      </c>
      <c r="AN2" s="2" t="s">
        <v>139</v>
      </c>
      <c r="AO2" s="2"/>
      <c r="AP2" s="4"/>
      <c r="AQ2" s="2" t="s">
        <v>140</v>
      </c>
      <c r="AR2" s="4" t="s">
        <v>141</v>
      </c>
      <c r="AS2" s="2">
        <v>5.2649999999999997</v>
      </c>
      <c r="AT2" s="2"/>
      <c r="AU2" s="2"/>
      <c r="AV2" s="2"/>
      <c r="AW2" s="2"/>
      <c r="AX2" s="2" t="s">
        <v>77</v>
      </c>
      <c r="AY2" s="2"/>
      <c r="AZ2" s="2"/>
      <c r="BA2" s="2">
        <v>1669</v>
      </c>
      <c r="BB2" s="2"/>
      <c r="BC2" s="2"/>
      <c r="BD2" s="2"/>
      <c r="BE2" s="2"/>
      <c r="BF2" s="2" t="s">
        <v>78</v>
      </c>
      <c r="BG2" s="2" t="s">
        <v>139</v>
      </c>
      <c r="BH2" s="2"/>
      <c r="BI2" s="2"/>
      <c r="BJ2" s="2" t="s">
        <v>99</v>
      </c>
      <c r="BK2" s="5">
        <v>46148.738067129627</v>
      </c>
      <c r="BL2" s="2"/>
      <c r="BM2" s="2"/>
      <c r="BN2" s="5">
        <v>46148.584178240744</v>
      </c>
      <c r="BO2" s="2" t="s">
        <v>119</v>
      </c>
      <c r="BP2" s="2" t="s">
        <v>79</v>
      </c>
      <c r="BQ2" s="2"/>
      <c r="BR2" s="2"/>
      <c r="BS2" s="2" t="s">
        <v>92</v>
      </c>
      <c r="BT2" s="2" t="s">
        <v>142</v>
      </c>
      <c r="BU2" s="2" t="s">
        <v>143</v>
      </c>
      <c r="BV2" s="2"/>
      <c r="BW2" s="2" t="s">
        <v>120</v>
      </c>
    </row>
    <row r="3" spans="1:75" x14ac:dyDescent="0.25">
      <c r="A3" s="2">
        <v>5528272</v>
      </c>
      <c r="B3" s="3">
        <v>46147</v>
      </c>
      <c r="C3" s="2" t="s">
        <v>133</v>
      </c>
      <c r="D3" s="2" t="s">
        <v>134</v>
      </c>
      <c r="E3" s="2" t="s">
        <v>75</v>
      </c>
      <c r="F3" s="2"/>
      <c r="G3" s="2" t="s">
        <v>144</v>
      </c>
      <c r="H3" s="4"/>
      <c r="I3" s="2" t="s">
        <v>145</v>
      </c>
      <c r="J3" s="2"/>
      <c r="K3" s="2"/>
      <c r="L3" s="2"/>
      <c r="M3" s="2"/>
      <c r="N3" s="2">
        <v>1</v>
      </c>
      <c r="O3" s="2">
        <v>1</v>
      </c>
      <c r="P3" s="2">
        <v>9426.31</v>
      </c>
      <c r="Q3" s="2"/>
      <c r="R3" s="2"/>
      <c r="S3" s="2"/>
      <c r="T3" s="2" t="s">
        <v>146</v>
      </c>
      <c r="U3" s="2" t="s">
        <v>121</v>
      </c>
      <c r="V3" s="2" t="s">
        <v>147</v>
      </c>
      <c r="W3" s="2"/>
      <c r="X3" s="2"/>
      <c r="Y3" s="2" t="s">
        <v>96</v>
      </c>
      <c r="Z3" s="2"/>
      <c r="AA3" s="2"/>
      <c r="AB3" s="3">
        <v>46148</v>
      </c>
      <c r="AC3" s="2">
        <v>79950</v>
      </c>
      <c r="AD3" s="2"/>
      <c r="AE3" s="2"/>
      <c r="AF3" s="3">
        <v>46148</v>
      </c>
      <c r="AG3" s="5">
        <v>46148.513611111113</v>
      </c>
      <c r="AH3" s="2"/>
      <c r="AI3" s="2"/>
      <c r="AJ3" s="2"/>
      <c r="AK3" s="2"/>
      <c r="AL3" s="2"/>
      <c r="AM3" s="2"/>
      <c r="AN3" s="2"/>
      <c r="AO3" s="2"/>
      <c r="AP3" s="4"/>
      <c r="AQ3" s="2" t="s">
        <v>148</v>
      </c>
      <c r="AR3" s="4" t="s">
        <v>149</v>
      </c>
      <c r="AS3" s="2">
        <v>1</v>
      </c>
      <c r="AT3" s="2"/>
      <c r="AU3" s="2"/>
      <c r="AV3" s="2">
        <v>0</v>
      </c>
      <c r="AW3" s="2">
        <v>0</v>
      </c>
      <c r="AX3" s="2" t="s">
        <v>77</v>
      </c>
      <c r="AY3" s="2"/>
      <c r="AZ3" s="2"/>
      <c r="BA3" s="2">
        <v>1925</v>
      </c>
      <c r="BB3" s="2"/>
      <c r="BC3" s="2"/>
      <c r="BD3" s="2" t="s">
        <v>80</v>
      </c>
      <c r="BE3" s="2" t="s">
        <v>80</v>
      </c>
      <c r="BF3" s="2" t="s">
        <v>78</v>
      </c>
      <c r="BG3" s="2"/>
      <c r="BH3" s="2"/>
      <c r="BI3" s="2"/>
      <c r="BJ3" s="2"/>
      <c r="BK3" s="5">
        <v>46148.513611111113</v>
      </c>
      <c r="BL3" s="2"/>
      <c r="BM3" s="2"/>
      <c r="BN3" s="5">
        <v>46148.458912037036</v>
      </c>
      <c r="BO3" s="2"/>
      <c r="BP3" s="2" t="s">
        <v>79</v>
      </c>
      <c r="BQ3" s="2"/>
      <c r="BR3" s="2"/>
      <c r="BS3" s="2" t="s">
        <v>97</v>
      </c>
      <c r="BT3" s="2" t="s">
        <v>121</v>
      </c>
      <c r="BU3" s="2" t="s">
        <v>143</v>
      </c>
      <c r="BV3" s="2"/>
      <c r="BW3" s="2" t="s">
        <v>150</v>
      </c>
    </row>
    <row r="4" spans="1:75" ht="45" x14ac:dyDescent="0.25">
      <c r="A4" s="2">
        <v>5528657</v>
      </c>
      <c r="B4" s="3">
        <v>46147</v>
      </c>
      <c r="C4" s="2" t="s">
        <v>133</v>
      </c>
      <c r="D4" s="2" t="s">
        <v>134</v>
      </c>
      <c r="E4" s="2" t="s">
        <v>75</v>
      </c>
      <c r="F4" s="2" t="s">
        <v>118</v>
      </c>
      <c r="G4" s="2">
        <v>46997213558</v>
      </c>
      <c r="H4" s="4" t="s">
        <v>151</v>
      </c>
      <c r="I4" s="2" t="s">
        <v>98</v>
      </c>
      <c r="J4" s="2"/>
      <c r="K4" s="2"/>
      <c r="L4" s="2"/>
      <c r="M4" s="2"/>
      <c r="N4" s="2">
        <v>0.66</v>
      </c>
      <c r="O4" s="2">
        <v>2</v>
      </c>
      <c r="P4" s="2">
        <v>9426.31</v>
      </c>
      <c r="Q4" s="2">
        <v>17176</v>
      </c>
      <c r="R4" s="2"/>
      <c r="S4" s="2" t="s">
        <v>152</v>
      </c>
      <c r="T4" s="2" t="s">
        <v>153</v>
      </c>
      <c r="U4" s="2" t="s">
        <v>154</v>
      </c>
      <c r="V4" s="2" t="s">
        <v>82</v>
      </c>
      <c r="W4" s="2"/>
      <c r="X4" s="2"/>
      <c r="Y4" s="2" t="s">
        <v>155</v>
      </c>
      <c r="Z4" s="2"/>
      <c r="AA4" s="2"/>
      <c r="AB4" s="3">
        <v>46148</v>
      </c>
      <c r="AC4" s="2">
        <v>79916</v>
      </c>
      <c r="AD4" s="2"/>
      <c r="AE4" s="2"/>
      <c r="AF4" s="3">
        <v>46148</v>
      </c>
      <c r="AG4" s="5">
        <v>46148.855555555558</v>
      </c>
      <c r="AH4" s="2"/>
      <c r="AI4" s="2"/>
      <c r="AJ4" s="2"/>
      <c r="AK4" s="2">
        <v>0</v>
      </c>
      <c r="AL4" s="2"/>
      <c r="AM4" s="2" t="s">
        <v>156</v>
      </c>
      <c r="AN4" s="2" t="s">
        <v>156</v>
      </c>
      <c r="AO4" s="2"/>
      <c r="AP4" s="4"/>
      <c r="AQ4" s="2" t="s">
        <v>140</v>
      </c>
      <c r="AR4" s="4" t="s">
        <v>157</v>
      </c>
      <c r="AS4" s="2">
        <v>11.718</v>
      </c>
      <c r="AT4" s="2"/>
      <c r="AU4" s="2"/>
      <c r="AV4" s="2"/>
      <c r="AW4" s="2"/>
      <c r="AX4" s="2" t="s">
        <v>77</v>
      </c>
      <c r="AY4" s="2"/>
      <c r="AZ4" s="2"/>
      <c r="BA4" s="2">
        <v>1670</v>
      </c>
      <c r="BB4" s="2"/>
      <c r="BC4" s="2"/>
      <c r="BD4" s="2"/>
      <c r="BE4" s="2" t="s">
        <v>80</v>
      </c>
      <c r="BF4" s="2" t="s">
        <v>78</v>
      </c>
      <c r="BG4" s="2" t="s">
        <v>156</v>
      </c>
      <c r="BH4" s="2"/>
      <c r="BI4" s="2"/>
      <c r="BJ4" s="2" t="s">
        <v>99</v>
      </c>
      <c r="BK4" s="5">
        <v>46148.856238425928</v>
      </c>
      <c r="BL4" s="2"/>
      <c r="BM4" s="2"/>
      <c r="BN4" s="5">
        <v>46148.582916666666</v>
      </c>
      <c r="BO4" s="2" t="s">
        <v>119</v>
      </c>
      <c r="BP4" s="2" t="s">
        <v>79</v>
      </c>
      <c r="BQ4" s="2"/>
      <c r="BR4" s="2"/>
      <c r="BS4" s="2" t="s">
        <v>92</v>
      </c>
      <c r="BT4" s="2" t="s">
        <v>158</v>
      </c>
      <c r="BU4" s="2" t="s">
        <v>143</v>
      </c>
      <c r="BV4" s="2"/>
      <c r="BW4" s="2" t="s">
        <v>120</v>
      </c>
    </row>
    <row r="5" spans="1:75" ht="45" x14ac:dyDescent="0.25">
      <c r="A5" s="2">
        <v>5529232</v>
      </c>
      <c r="B5" s="3">
        <v>46147</v>
      </c>
      <c r="C5" s="2" t="s">
        <v>133</v>
      </c>
      <c r="D5" s="2" t="s">
        <v>134</v>
      </c>
      <c r="E5" s="2" t="s">
        <v>75</v>
      </c>
      <c r="F5" s="2" t="s">
        <v>118</v>
      </c>
      <c r="G5" s="2">
        <v>46997885122</v>
      </c>
      <c r="H5" s="4" t="s">
        <v>159</v>
      </c>
      <c r="I5" s="2" t="s">
        <v>98</v>
      </c>
      <c r="J5" s="2"/>
      <c r="K5" s="2"/>
      <c r="L5" s="2"/>
      <c r="M5" s="2"/>
      <c r="N5" s="2">
        <v>336</v>
      </c>
      <c r="O5" s="2">
        <v>20</v>
      </c>
      <c r="P5" s="2">
        <v>3919.34</v>
      </c>
      <c r="Q5" s="2">
        <v>259220</v>
      </c>
      <c r="R5" s="2"/>
      <c r="S5" s="2" t="s">
        <v>160</v>
      </c>
      <c r="T5" s="2" t="s">
        <v>161</v>
      </c>
      <c r="U5" s="2" t="s">
        <v>162</v>
      </c>
      <c r="V5" s="2" t="s">
        <v>76</v>
      </c>
      <c r="W5" s="2"/>
      <c r="X5" s="2"/>
      <c r="Y5" s="2" t="s">
        <v>163</v>
      </c>
      <c r="Z5" s="2"/>
      <c r="AA5" s="2"/>
      <c r="AB5" s="3">
        <v>46148</v>
      </c>
      <c r="AC5" s="2">
        <v>79901</v>
      </c>
      <c r="AD5" s="2"/>
      <c r="AE5" s="2"/>
      <c r="AF5" s="3">
        <v>46148</v>
      </c>
      <c r="AG5" s="5">
        <v>46148.740277777775</v>
      </c>
      <c r="AH5" s="2"/>
      <c r="AI5" s="2"/>
      <c r="AJ5" s="2"/>
      <c r="AK5" s="2">
        <v>0</v>
      </c>
      <c r="AL5" s="2"/>
      <c r="AM5" s="2" t="s">
        <v>164</v>
      </c>
      <c r="AN5" s="2" t="s">
        <v>164</v>
      </c>
      <c r="AO5" s="2"/>
      <c r="AP5" s="4"/>
      <c r="AQ5" s="2" t="s">
        <v>140</v>
      </c>
      <c r="AR5" s="4" t="s">
        <v>165</v>
      </c>
      <c r="AS5" s="2">
        <v>336</v>
      </c>
      <c r="AT5" s="2"/>
      <c r="AU5" s="2"/>
      <c r="AV5" s="2"/>
      <c r="AW5" s="2"/>
      <c r="AX5" s="2" t="s">
        <v>77</v>
      </c>
      <c r="AY5" s="2"/>
      <c r="AZ5" s="2"/>
      <c r="BA5" s="2">
        <v>1437</v>
      </c>
      <c r="BB5" s="2"/>
      <c r="BC5" s="2"/>
      <c r="BD5" s="2"/>
      <c r="BE5" s="2"/>
      <c r="BF5" s="2" t="s">
        <v>78</v>
      </c>
      <c r="BG5" s="2" t="s">
        <v>164</v>
      </c>
      <c r="BH5" s="2"/>
      <c r="BI5" s="2"/>
      <c r="BJ5" s="2" t="s">
        <v>99</v>
      </c>
      <c r="BK5" s="5">
        <v>46148.740902777776</v>
      </c>
      <c r="BL5" s="2"/>
      <c r="BM5" s="2"/>
      <c r="BN5" s="5">
        <v>46148.58258101852</v>
      </c>
      <c r="BO5" s="2" t="s">
        <v>119</v>
      </c>
      <c r="BP5" s="2" t="s">
        <v>79</v>
      </c>
      <c r="BQ5" s="2"/>
      <c r="BR5" s="2"/>
      <c r="BS5" s="2" t="s">
        <v>81</v>
      </c>
      <c r="BT5" s="2" t="s">
        <v>81</v>
      </c>
      <c r="BU5" s="2" t="s">
        <v>143</v>
      </c>
      <c r="BV5" s="2"/>
      <c r="BW5" s="2" t="s">
        <v>120</v>
      </c>
    </row>
    <row r="6" spans="1:75" ht="45" x14ac:dyDescent="0.25">
      <c r="A6" s="2">
        <v>5529356</v>
      </c>
      <c r="B6" s="3">
        <v>46147</v>
      </c>
      <c r="C6" s="2" t="s">
        <v>133</v>
      </c>
      <c r="D6" s="2" t="s">
        <v>134</v>
      </c>
      <c r="E6" s="2" t="s">
        <v>75</v>
      </c>
      <c r="F6" s="2" t="s">
        <v>118</v>
      </c>
      <c r="G6" s="2">
        <v>46997769697</v>
      </c>
      <c r="H6" s="4" t="s">
        <v>166</v>
      </c>
      <c r="I6" s="2" t="s">
        <v>98</v>
      </c>
      <c r="J6" s="2"/>
      <c r="K6" s="2"/>
      <c r="L6" s="2"/>
      <c r="M6" s="2"/>
      <c r="N6" s="2">
        <v>2.95</v>
      </c>
      <c r="O6" s="2">
        <v>1</v>
      </c>
      <c r="P6" s="2">
        <v>9426.31</v>
      </c>
      <c r="Q6" s="2">
        <v>47732.12</v>
      </c>
      <c r="R6" s="2"/>
      <c r="S6" s="2" t="s">
        <v>167</v>
      </c>
      <c r="T6" s="2" t="s">
        <v>168</v>
      </c>
      <c r="U6" s="2" t="s">
        <v>169</v>
      </c>
      <c r="V6" s="2" t="s">
        <v>82</v>
      </c>
      <c r="W6" s="2"/>
      <c r="X6" s="2"/>
      <c r="Y6" s="2" t="s">
        <v>170</v>
      </c>
      <c r="Z6" s="2"/>
      <c r="AA6" s="2"/>
      <c r="AB6" s="3">
        <v>46148</v>
      </c>
      <c r="AC6" s="2">
        <v>79923</v>
      </c>
      <c r="AD6" s="2"/>
      <c r="AE6" s="2"/>
      <c r="AF6" s="3">
        <v>46148</v>
      </c>
      <c r="AG6" s="5">
        <v>46148.823611111111</v>
      </c>
      <c r="AH6" s="2"/>
      <c r="AI6" s="2"/>
      <c r="AJ6" s="2"/>
      <c r="AK6" s="2">
        <v>0</v>
      </c>
      <c r="AL6" s="2"/>
      <c r="AM6" s="2" t="s">
        <v>171</v>
      </c>
      <c r="AN6" s="2" t="s">
        <v>171</v>
      </c>
      <c r="AO6" s="2"/>
      <c r="AP6" s="4"/>
      <c r="AQ6" s="2" t="s">
        <v>140</v>
      </c>
      <c r="AR6" s="4" t="s">
        <v>172</v>
      </c>
      <c r="AS6" s="2">
        <v>4.95</v>
      </c>
      <c r="AT6" s="2"/>
      <c r="AU6" s="2"/>
      <c r="AV6" s="2"/>
      <c r="AW6" s="2"/>
      <c r="AX6" s="2" t="s">
        <v>77</v>
      </c>
      <c r="AY6" s="2"/>
      <c r="AZ6" s="2"/>
      <c r="BA6" s="2">
        <v>2800</v>
      </c>
      <c r="BB6" s="2"/>
      <c r="BC6" s="2"/>
      <c r="BD6" s="2"/>
      <c r="BE6" s="2" t="s">
        <v>80</v>
      </c>
      <c r="BF6" s="2" t="s">
        <v>78</v>
      </c>
      <c r="BG6" s="2" t="s">
        <v>171</v>
      </c>
      <c r="BH6" s="2"/>
      <c r="BI6" s="2"/>
      <c r="BJ6" s="2" t="s">
        <v>99</v>
      </c>
      <c r="BK6" s="5">
        <v>46148.823865740742</v>
      </c>
      <c r="BL6" s="2"/>
      <c r="BM6" s="2"/>
      <c r="BN6" s="5">
        <v>46148.588125000002</v>
      </c>
      <c r="BO6" s="2" t="s">
        <v>119</v>
      </c>
      <c r="BP6" s="2" t="s">
        <v>79</v>
      </c>
      <c r="BQ6" s="2"/>
      <c r="BR6" s="2"/>
      <c r="BS6" s="2" t="s">
        <v>92</v>
      </c>
      <c r="BT6" s="2" t="s">
        <v>173</v>
      </c>
      <c r="BU6" s="2" t="s">
        <v>143</v>
      </c>
      <c r="BV6" s="2"/>
      <c r="BW6" s="2" t="s">
        <v>120</v>
      </c>
    </row>
    <row r="7" spans="1:75" ht="30" x14ac:dyDescent="0.25">
      <c r="A7" s="2">
        <v>5530042</v>
      </c>
      <c r="B7" s="3">
        <v>46147</v>
      </c>
      <c r="C7" s="2" t="s">
        <v>133</v>
      </c>
      <c r="D7" s="2" t="s">
        <v>134</v>
      </c>
      <c r="E7" s="2" t="s">
        <v>75</v>
      </c>
      <c r="F7" s="2" t="s">
        <v>118</v>
      </c>
      <c r="G7" s="2">
        <v>46998809859</v>
      </c>
      <c r="H7" s="4" t="s">
        <v>174</v>
      </c>
      <c r="I7" s="2" t="s">
        <v>98</v>
      </c>
      <c r="J7" s="2"/>
      <c r="K7" s="2"/>
      <c r="L7" s="2"/>
      <c r="M7" s="2"/>
      <c r="N7" s="2">
        <v>0.5</v>
      </c>
      <c r="O7" s="2">
        <v>1</v>
      </c>
      <c r="P7" s="2">
        <v>8709.92</v>
      </c>
      <c r="Q7" s="2">
        <v>39463</v>
      </c>
      <c r="R7" s="2"/>
      <c r="S7" s="2" t="s">
        <v>175</v>
      </c>
      <c r="T7" s="2" t="s">
        <v>176</v>
      </c>
      <c r="U7" s="2" t="s">
        <v>177</v>
      </c>
      <c r="V7" s="2" t="s">
        <v>82</v>
      </c>
      <c r="W7" s="2"/>
      <c r="X7" s="2"/>
      <c r="Y7" s="2" t="s">
        <v>178</v>
      </c>
      <c r="Z7" s="2"/>
      <c r="AA7" s="2"/>
      <c r="AB7" s="3">
        <v>46148</v>
      </c>
      <c r="AC7" s="2">
        <v>80005</v>
      </c>
      <c r="AD7" s="2"/>
      <c r="AE7" s="2"/>
      <c r="AF7" s="3">
        <v>46148</v>
      </c>
      <c r="AG7" s="5">
        <v>46148.704861111109</v>
      </c>
      <c r="AH7" s="2"/>
      <c r="AI7" s="2"/>
      <c r="AJ7" s="2"/>
      <c r="AK7" s="2">
        <v>0</v>
      </c>
      <c r="AL7" s="2"/>
      <c r="AM7" s="2" t="s">
        <v>179</v>
      </c>
      <c r="AN7" s="2" t="s">
        <v>179</v>
      </c>
      <c r="AO7" s="2"/>
      <c r="AP7" s="4"/>
      <c r="AQ7" s="2" t="s">
        <v>140</v>
      </c>
      <c r="AR7" s="4" t="s">
        <v>180</v>
      </c>
      <c r="AS7" s="2">
        <v>1.512</v>
      </c>
      <c r="AT7" s="2"/>
      <c r="AU7" s="2"/>
      <c r="AV7" s="2"/>
      <c r="AW7" s="2"/>
      <c r="AX7" s="2" t="s">
        <v>77</v>
      </c>
      <c r="AY7" s="2"/>
      <c r="AZ7" s="2"/>
      <c r="BA7" s="2">
        <v>1608</v>
      </c>
      <c r="BB7" s="2"/>
      <c r="BC7" s="2"/>
      <c r="BD7" s="2"/>
      <c r="BE7" s="2"/>
      <c r="BF7" s="2" t="s">
        <v>78</v>
      </c>
      <c r="BG7" s="2" t="s">
        <v>179</v>
      </c>
      <c r="BH7" s="2"/>
      <c r="BI7" s="2"/>
      <c r="BJ7" s="2" t="s">
        <v>99</v>
      </c>
      <c r="BK7" s="5">
        <v>46148.705104166664</v>
      </c>
      <c r="BL7" s="2"/>
      <c r="BM7" s="2"/>
      <c r="BN7" s="5">
        <v>46148.582291666666</v>
      </c>
      <c r="BO7" s="2" t="s">
        <v>119</v>
      </c>
      <c r="BP7" s="2" t="s">
        <v>79</v>
      </c>
      <c r="BQ7" s="2"/>
      <c r="BR7" s="2"/>
      <c r="BS7" s="2" t="s">
        <v>100</v>
      </c>
      <c r="BT7" s="2" t="s">
        <v>181</v>
      </c>
      <c r="BU7" s="2" t="s">
        <v>143</v>
      </c>
      <c r="BV7" s="2"/>
      <c r="BW7" s="2" t="s">
        <v>120</v>
      </c>
    </row>
    <row r="8" spans="1:75" ht="45" x14ac:dyDescent="0.25">
      <c r="A8" s="2">
        <v>5530167</v>
      </c>
      <c r="B8" s="3">
        <v>46147</v>
      </c>
      <c r="C8" s="2" t="s">
        <v>133</v>
      </c>
      <c r="D8" s="2" t="s">
        <v>134</v>
      </c>
      <c r="E8" s="2" t="s">
        <v>75</v>
      </c>
      <c r="F8" s="2" t="s">
        <v>118</v>
      </c>
      <c r="G8" s="2">
        <v>46999048779</v>
      </c>
      <c r="H8" s="4" t="s">
        <v>182</v>
      </c>
      <c r="I8" s="2" t="s">
        <v>98</v>
      </c>
      <c r="J8" s="2"/>
      <c r="K8" s="2"/>
      <c r="L8" s="2"/>
      <c r="M8" s="2"/>
      <c r="N8" s="2">
        <v>0.46</v>
      </c>
      <c r="O8" s="2">
        <v>1</v>
      </c>
      <c r="P8" s="2">
        <v>9426.31</v>
      </c>
      <c r="Q8" s="2">
        <v>26528</v>
      </c>
      <c r="R8" s="2"/>
      <c r="S8" s="2" t="s">
        <v>183</v>
      </c>
      <c r="T8" s="2" t="s">
        <v>184</v>
      </c>
      <c r="U8" s="2" t="s">
        <v>185</v>
      </c>
      <c r="V8" s="2" t="s">
        <v>82</v>
      </c>
      <c r="W8" s="2"/>
      <c r="X8" s="2"/>
      <c r="Y8" s="2" t="s">
        <v>186</v>
      </c>
      <c r="Z8" s="2"/>
      <c r="AA8" s="2"/>
      <c r="AB8" s="3">
        <v>46148</v>
      </c>
      <c r="AC8" s="2">
        <v>79955</v>
      </c>
      <c r="AD8" s="2"/>
      <c r="AE8" s="2"/>
      <c r="AF8" s="3">
        <v>46148</v>
      </c>
      <c r="AG8" s="5">
        <v>46148.861805555556</v>
      </c>
      <c r="AH8" s="2"/>
      <c r="AI8" s="2"/>
      <c r="AJ8" s="2"/>
      <c r="AK8" s="2">
        <v>0</v>
      </c>
      <c r="AL8" s="2"/>
      <c r="AM8" s="2" t="s">
        <v>187</v>
      </c>
      <c r="AN8" s="2" t="s">
        <v>187</v>
      </c>
      <c r="AO8" s="2"/>
      <c r="AP8" s="4"/>
      <c r="AQ8" s="2" t="s">
        <v>140</v>
      </c>
      <c r="AR8" s="4" t="s">
        <v>188</v>
      </c>
      <c r="AS8" s="2">
        <v>0.48749999999999999</v>
      </c>
      <c r="AT8" s="2"/>
      <c r="AU8" s="2"/>
      <c r="AV8" s="2"/>
      <c r="AW8" s="2"/>
      <c r="AX8" s="2" t="s">
        <v>77</v>
      </c>
      <c r="AY8" s="2"/>
      <c r="AZ8" s="2"/>
      <c r="BA8" s="2">
        <v>1864</v>
      </c>
      <c r="BB8" s="2"/>
      <c r="BC8" s="2"/>
      <c r="BD8" s="2"/>
      <c r="BE8" s="2" t="s">
        <v>80</v>
      </c>
      <c r="BF8" s="2" t="s">
        <v>78</v>
      </c>
      <c r="BG8" s="2" t="s">
        <v>187</v>
      </c>
      <c r="BH8" s="2"/>
      <c r="BI8" s="2"/>
      <c r="BJ8" s="2" t="s">
        <v>99</v>
      </c>
      <c r="BK8" s="5">
        <v>46148.862175925926</v>
      </c>
      <c r="BL8" s="2"/>
      <c r="BM8" s="2"/>
      <c r="BN8" s="5">
        <v>46148.588761574072</v>
      </c>
      <c r="BO8" s="2" t="s">
        <v>119</v>
      </c>
      <c r="BP8" s="2" t="s">
        <v>79</v>
      </c>
      <c r="BQ8" s="2"/>
      <c r="BR8" s="2"/>
      <c r="BS8" s="2" t="s">
        <v>97</v>
      </c>
      <c r="BT8" s="2" t="s">
        <v>185</v>
      </c>
      <c r="BU8" s="2" t="s">
        <v>143</v>
      </c>
      <c r="BV8" s="2"/>
      <c r="BW8" s="2" t="s">
        <v>120</v>
      </c>
    </row>
    <row r="9" spans="1:75" x14ac:dyDescent="0.25">
      <c r="A9" s="2">
        <v>5530417</v>
      </c>
      <c r="B9" s="3">
        <v>46147</v>
      </c>
      <c r="C9" s="2" t="s">
        <v>133</v>
      </c>
      <c r="D9" s="2" t="s">
        <v>134</v>
      </c>
      <c r="E9" s="2" t="s">
        <v>75</v>
      </c>
      <c r="F9" s="2" t="s">
        <v>118</v>
      </c>
      <c r="G9" s="2">
        <v>46999521825</v>
      </c>
      <c r="H9" s="4" t="s">
        <v>189</v>
      </c>
      <c r="I9" s="2" t="s">
        <v>98</v>
      </c>
      <c r="J9" s="2"/>
      <c r="K9" s="2"/>
      <c r="L9" s="2"/>
      <c r="M9" s="2"/>
      <c r="N9" s="2">
        <v>0.72</v>
      </c>
      <c r="O9" s="2">
        <v>2</v>
      </c>
      <c r="P9" s="2">
        <v>9426.31</v>
      </c>
      <c r="Q9" s="2">
        <v>20301</v>
      </c>
      <c r="R9" s="2"/>
      <c r="S9" s="2" t="s">
        <v>190</v>
      </c>
      <c r="T9" s="2" t="s">
        <v>191</v>
      </c>
      <c r="U9" s="2" t="s">
        <v>127</v>
      </c>
      <c r="V9" s="2" t="s">
        <v>82</v>
      </c>
      <c r="W9" s="2"/>
      <c r="X9" s="2"/>
      <c r="Y9" s="2" t="s">
        <v>192</v>
      </c>
      <c r="Z9" s="2"/>
      <c r="AA9" s="2"/>
      <c r="AB9" s="3">
        <v>46148</v>
      </c>
      <c r="AC9" s="2">
        <v>80039</v>
      </c>
      <c r="AD9" s="2"/>
      <c r="AE9" s="2"/>
      <c r="AF9" s="3">
        <v>46148</v>
      </c>
      <c r="AG9" s="5">
        <v>46148.793749999997</v>
      </c>
      <c r="AH9" s="2"/>
      <c r="AI9" s="2"/>
      <c r="AJ9" s="2"/>
      <c r="AK9" s="2">
        <v>0</v>
      </c>
      <c r="AL9" s="2"/>
      <c r="AM9" s="2" t="s">
        <v>193</v>
      </c>
      <c r="AN9" s="2" t="s">
        <v>193</v>
      </c>
      <c r="AO9" s="2"/>
      <c r="AP9" s="4"/>
      <c r="AQ9" s="2" t="s">
        <v>140</v>
      </c>
      <c r="AR9" s="4" t="s">
        <v>194</v>
      </c>
      <c r="AS9" s="2">
        <v>2.48</v>
      </c>
      <c r="AT9" s="2"/>
      <c r="AU9" s="2"/>
      <c r="AV9" s="2"/>
      <c r="AW9" s="2"/>
      <c r="AX9" s="2" t="s">
        <v>77</v>
      </c>
      <c r="AY9" s="2"/>
      <c r="AZ9" s="2"/>
      <c r="BA9" s="2">
        <v>6700</v>
      </c>
      <c r="BB9" s="2"/>
      <c r="BC9" s="2"/>
      <c r="BD9" s="2"/>
      <c r="BE9" s="2" t="s">
        <v>80</v>
      </c>
      <c r="BF9" s="2" t="s">
        <v>78</v>
      </c>
      <c r="BG9" s="2" t="s">
        <v>193</v>
      </c>
      <c r="BH9" s="2"/>
      <c r="BI9" s="2"/>
      <c r="BJ9" s="2" t="s">
        <v>99</v>
      </c>
      <c r="BK9" s="5">
        <v>46148.794259259259</v>
      </c>
      <c r="BL9" s="2"/>
      <c r="BM9" s="2"/>
      <c r="BN9" s="5">
        <v>46148.58326388889</v>
      </c>
      <c r="BO9" s="2" t="s">
        <v>119</v>
      </c>
      <c r="BP9" s="2" t="s">
        <v>79</v>
      </c>
      <c r="BQ9" s="2"/>
      <c r="BR9" s="2"/>
      <c r="BS9" s="2" t="s">
        <v>128</v>
      </c>
      <c r="BT9" s="2" t="s">
        <v>129</v>
      </c>
      <c r="BU9" s="2" t="s">
        <v>143</v>
      </c>
      <c r="BV9" s="2"/>
      <c r="BW9" s="2" t="s">
        <v>120</v>
      </c>
    </row>
    <row r="10" spans="1:75" x14ac:dyDescent="0.25">
      <c r="A10" s="2">
        <v>5530492</v>
      </c>
      <c r="B10" s="3">
        <v>46147</v>
      </c>
      <c r="C10" s="2" t="s">
        <v>133</v>
      </c>
      <c r="D10" s="2" t="s">
        <v>134</v>
      </c>
      <c r="E10" s="2" t="s">
        <v>195</v>
      </c>
      <c r="F10" s="2"/>
      <c r="G10" s="2">
        <v>46999937136</v>
      </c>
      <c r="H10" s="4" t="s">
        <v>196</v>
      </c>
      <c r="I10" s="2" t="s">
        <v>98</v>
      </c>
      <c r="J10" s="2"/>
      <c r="K10" s="2"/>
      <c r="L10" s="2"/>
      <c r="M10" s="2"/>
      <c r="N10" s="2">
        <v>3.6</v>
      </c>
      <c r="O10" s="2">
        <v>2</v>
      </c>
      <c r="P10" s="2">
        <v>3919.34</v>
      </c>
      <c r="Q10" s="2">
        <v>10998</v>
      </c>
      <c r="R10" s="2"/>
      <c r="S10" s="2" t="s">
        <v>197</v>
      </c>
      <c r="T10" s="2" t="s">
        <v>198</v>
      </c>
      <c r="U10" s="2" t="s">
        <v>95</v>
      </c>
      <c r="V10" s="2" t="s">
        <v>76</v>
      </c>
      <c r="W10" s="2"/>
      <c r="X10" s="2"/>
      <c r="Y10" s="2" t="s">
        <v>199</v>
      </c>
      <c r="Z10" s="2"/>
      <c r="AA10" s="2"/>
      <c r="AB10" s="3">
        <v>46149</v>
      </c>
      <c r="AC10" s="2">
        <v>80070</v>
      </c>
      <c r="AD10" s="2"/>
      <c r="AE10" s="2"/>
      <c r="AF10" s="3">
        <v>46148</v>
      </c>
      <c r="AG10" s="5">
        <v>46148.818680555552</v>
      </c>
      <c r="AH10" s="2"/>
      <c r="AI10" s="2"/>
      <c r="AJ10" s="2"/>
      <c r="AK10" s="2">
        <v>0</v>
      </c>
      <c r="AL10" s="2"/>
      <c r="AM10" s="2" t="s">
        <v>200</v>
      </c>
      <c r="AN10" s="2" t="s">
        <v>200</v>
      </c>
      <c r="AO10" s="2"/>
      <c r="AP10" s="4"/>
      <c r="AQ10" s="2" t="s">
        <v>140</v>
      </c>
      <c r="AR10" s="4" t="s">
        <v>201</v>
      </c>
      <c r="AS10" s="2">
        <v>8.16</v>
      </c>
      <c r="AT10" s="2"/>
      <c r="AU10" s="2"/>
      <c r="AV10" s="2"/>
      <c r="AW10" s="2"/>
      <c r="AX10" s="2" t="s">
        <v>77</v>
      </c>
      <c r="AY10" s="2"/>
      <c r="AZ10" s="2"/>
      <c r="BA10" s="2">
        <v>1425</v>
      </c>
      <c r="BB10" s="2"/>
      <c r="BC10" s="2"/>
      <c r="BD10" s="2"/>
      <c r="BE10" s="2" t="s">
        <v>80</v>
      </c>
      <c r="BF10" s="2" t="s">
        <v>85</v>
      </c>
      <c r="BG10" s="2" t="s">
        <v>200</v>
      </c>
      <c r="BH10" s="2"/>
      <c r="BI10" s="2"/>
      <c r="BJ10" s="2" t="s">
        <v>99</v>
      </c>
      <c r="BK10" s="5">
        <v>46149</v>
      </c>
      <c r="BL10" s="2"/>
      <c r="BM10" s="2"/>
      <c r="BN10" s="5">
        <v>46148.581805555557</v>
      </c>
      <c r="BO10" s="2" t="s">
        <v>119</v>
      </c>
      <c r="BP10" s="2" t="s">
        <v>79</v>
      </c>
      <c r="BQ10" s="2"/>
      <c r="BR10" s="2"/>
      <c r="BS10" s="2" t="s">
        <v>86</v>
      </c>
      <c r="BT10" s="2" t="s">
        <v>86</v>
      </c>
      <c r="BU10" s="2" t="s">
        <v>143</v>
      </c>
      <c r="BV10" s="2"/>
      <c r="BW10" s="2" t="s">
        <v>120</v>
      </c>
    </row>
    <row r="11" spans="1:75" ht="45" x14ac:dyDescent="0.25">
      <c r="A11" s="2">
        <v>5530588</v>
      </c>
      <c r="B11" s="3">
        <v>46147</v>
      </c>
      <c r="C11" s="2" t="s">
        <v>133</v>
      </c>
      <c r="D11" s="2" t="s">
        <v>134</v>
      </c>
      <c r="E11" s="2" t="s">
        <v>75</v>
      </c>
      <c r="F11" s="2" t="s">
        <v>118</v>
      </c>
      <c r="G11" s="2">
        <v>46999869579</v>
      </c>
      <c r="H11" s="4" t="s">
        <v>202</v>
      </c>
      <c r="I11" s="2" t="s">
        <v>98</v>
      </c>
      <c r="J11" s="2"/>
      <c r="K11" s="2"/>
      <c r="L11" s="2"/>
      <c r="M11" s="2"/>
      <c r="N11" s="2">
        <v>2</v>
      </c>
      <c r="O11" s="2">
        <v>10</v>
      </c>
      <c r="P11" s="2">
        <v>9426.31</v>
      </c>
      <c r="Q11" s="2">
        <v>45420</v>
      </c>
      <c r="R11" s="2"/>
      <c r="S11" s="2" t="s">
        <v>203</v>
      </c>
      <c r="T11" s="2" t="s">
        <v>204</v>
      </c>
      <c r="U11" s="2" t="s">
        <v>125</v>
      </c>
      <c r="V11" s="2" t="s">
        <v>82</v>
      </c>
      <c r="W11" s="2"/>
      <c r="X11" s="2"/>
      <c r="Y11" s="2" t="s">
        <v>105</v>
      </c>
      <c r="Z11" s="2"/>
      <c r="AA11" s="2"/>
      <c r="AB11" s="3">
        <v>46148</v>
      </c>
      <c r="AC11" s="2">
        <v>80037</v>
      </c>
      <c r="AD11" s="2"/>
      <c r="AE11" s="2"/>
      <c r="AF11" s="3">
        <v>46148</v>
      </c>
      <c r="AG11" s="5">
        <v>46148.796527777777</v>
      </c>
      <c r="AH11" s="2"/>
      <c r="AI11" s="2"/>
      <c r="AJ11" s="2"/>
      <c r="AK11" s="2">
        <v>0</v>
      </c>
      <c r="AL11" s="2"/>
      <c r="AM11" s="2" t="s">
        <v>205</v>
      </c>
      <c r="AN11" s="2" t="s">
        <v>205</v>
      </c>
      <c r="AO11" s="2"/>
      <c r="AP11" s="4"/>
      <c r="AQ11" s="2" t="s">
        <v>140</v>
      </c>
      <c r="AR11" s="4" t="s">
        <v>206</v>
      </c>
      <c r="AS11" s="2">
        <v>9.6</v>
      </c>
      <c r="AT11" s="2"/>
      <c r="AU11" s="2"/>
      <c r="AV11" s="2"/>
      <c r="AW11" s="2"/>
      <c r="AX11" s="2" t="s">
        <v>77</v>
      </c>
      <c r="AY11" s="2"/>
      <c r="AZ11" s="2"/>
      <c r="BA11" s="2">
        <v>1865</v>
      </c>
      <c r="BB11" s="2"/>
      <c r="BC11" s="2"/>
      <c r="BD11" s="2"/>
      <c r="BE11" s="2" t="s">
        <v>80</v>
      </c>
      <c r="BF11" s="2" t="s">
        <v>78</v>
      </c>
      <c r="BG11" s="2" t="s">
        <v>205</v>
      </c>
      <c r="BH11" s="2"/>
      <c r="BI11" s="2"/>
      <c r="BJ11" s="2" t="s">
        <v>99</v>
      </c>
      <c r="BK11" s="5">
        <v>46148.796574074076</v>
      </c>
      <c r="BL11" s="2"/>
      <c r="BM11" s="2"/>
      <c r="BN11" s="5">
        <v>46148.585127314815</v>
      </c>
      <c r="BO11" s="2" t="s">
        <v>119</v>
      </c>
      <c r="BP11" s="2" t="s">
        <v>79</v>
      </c>
      <c r="BQ11" s="2"/>
      <c r="BR11" s="2"/>
      <c r="BS11" s="2" t="s">
        <v>97</v>
      </c>
      <c r="BT11" s="2" t="s">
        <v>125</v>
      </c>
      <c r="BU11" s="2" t="s">
        <v>143</v>
      </c>
      <c r="BV11" s="2"/>
      <c r="BW11" s="2" t="s">
        <v>120</v>
      </c>
    </row>
    <row r="12" spans="1:75" ht="30" x14ac:dyDescent="0.25">
      <c r="A12" s="2">
        <v>5531085</v>
      </c>
      <c r="B12" s="3">
        <v>46148</v>
      </c>
      <c r="C12" s="2" t="s">
        <v>133</v>
      </c>
      <c r="D12" s="2" t="s">
        <v>134</v>
      </c>
      <c r="E12" s="2" t="s">
        <v>75</v>
      </c>
      <c r="F12" s="2" t="s">
        <v>118</v>
      </c>
      <c r="G12" s="2">
        <v>47000952097</v>
      </c>
      <c r="H12" s="4" t="s">
        <v>207</v>
      </c>
      <c r="I12" s="2" t="s">
        <v>98</v>
      </c>
      <c r="J12" s="2"/>
      <c r="K12" s="2"/>
      <c r="L12" s="2"/>
      <c r="M12" s="2"/>
      <c r="N12" s="2">
        <v>5.22</v>
      </c>
      <c r="O12" s="2">
        <v>3</v>
      </c>
      <c r="P12" s="2">
        <v>9426.31</v>
      </c>
      <c r="Q12" s="2">
        <v>52749</v>
      </c>
      <c r="R12" s="2"/>
      <c r="S12" s="2" t="s">
        <v>208</v>
      </c>
      <c r="T12" s="2" t="s">
        <v>209</v>
      </c>
      <c r="U12" s="2" t="s">
        <v>210</v>
      </c>
      <c r="V12" s="2" t="s">
        <v>82</v>
      </c>
      <c r="W12" s="2"/>
      <c r="X12" s="2"/>
      <c r="Y12" s="2" t="s">
        <v>111</v>
      </c>
      <c r="Z12" s="2"/>
      <c r="AA12" s="2"/>
      <c r="AB12" s="3">
        <v>46148</v>
      </c>
      <c r="AC12" s="2">
        <v>79989</v>
      </c>
      <c r="AD12" s="2"/>
      <c r="AE12" s="2"/>
      <c r="AF12" s="3">
        <v>46149</v>
      </c>
      <c r="AG12" s="5">
        <v>46148.756249999999</v>
      </c>
      <c r="AH12" s="2"/>
      <c r="AI12" s="2"/>
      <c r="AJ12" s="2"/>
      <c r="AK12" s="2">
        <v>0</v>
      </c>
      <c r="AL12" s="2"/>
      <c r="AM12" s="2" t="s">
        <v>211</v>
      </c>
      <c r="AN12" s="2" t="s">
        <v>211</v>
      </c>
      <c r="AO12" s="2"/>
      <c r="AP12" s="4"/>
      <c r="AQ12" s="2" t="s">
        <v>140</v>
      </c>
      <c r="AR12" s="4" t="s">
        <v>212</v>
      </c>
      <c r="AS12" s="2">
        <v>10.5105</v>
      </c>
      <c r="AT12" s="2"/>
      <c r="AU12" s="2"/>
      <c r="AV12" s="2"/>
      <c r="AW12" s="2"/>
      <c r="AX12" s="2" t="s">
        <v>77</v>
      </c>
      <c r="AY12" s="2"/>
      <c r="AZ12" s="2"/>
      <c r="BA12" s="2">
        <v>1622</v>
      </c>
      <c r="BB12" s="2"/>
      <c r="BC12" s="2"/>
      <c r="BD12" s="2"/>
      <c r="BE12" s="2"/>
      <c r="BF12" s="2" t="s">
        <v>78</v>
      </c>
      <c r="BG12" s="2" t="s">
        <v>211</v>
      </c>
      <c r="BH12" s="2"/>
      <c r="BI12" s="2"/>
      <c r="BJ12" s="2" t="s">
        <v>99</v>
      </c>
      <c r="BK12" s="5">
        <v>46148.756284722222</v>
      </c>
      <c r="BL12" s="2"/>
      <c r="BM12" s="2"/>
      <c r="BN12" s="5">
        <v>46148.584189814814</v>
      </c>
      <c r="BO12" s="2" t="s">
        <v>119</v>
      </c>
      <c r="BP12" s="2" t="s">
        <v>79</v>
      </c>
      <c r="BQ12" s="2"/>
      <c r="BR12" s="2"/>
      <c r="BS12" s="2" t="s">
        <v>102</v>
      </c>
      <c r="BT12" s="2" t="s">
        <v>213</v>
      </c>
      <c r="BU12" s="2" t="s">
        <v>143</v>
      </c>
      <c r="BV12" s="2"/>
      <c r="BW12" s="2" t="s">
        <v>120</v>
      </c>
    </row>
    <row r="13" spans="1:75" ht="60" x14ac:dyDescent="0.25">
      <c r="A13" s="2">
        <v>5531316</v>
      </c>
      <c r="B13" s="3">
        <v>46148</v>
      </c>
      <c r="C13" s="2" t="s">
        <v>133</v>
      </c>
      <c r="D13" s="2" t="s">
        <v>134</v>
      </c>
      <c r="E13" s="2" t="s">
        <v>75</v>
      </c>
      <c r="F13" s="2" t="s">
        <v>118</v>
      </c>
      <c r="G13" s="2">
        <v>47001190219</v>
      </c>
      <c r="H13" s="4" t="s">
        <v>214</v>
      </c>
      <c r="I13" s="2" t="s">
        <v>98</v>
      </c>
      <c r="J13" s="2"/>
      <c r="K13" s="2"/>
      <c r="L13" s="2"/>
      <c r="M13" s="2"/>
      <c r="N13" s="2">
        <v>0.36</v>
      </c>
      <c r="O13" s="2">
        <v>1</v>
      </c>
      <c r="P13" s="2">
        <v>9426.31</v>
      </c>
      <c r="Q13" s="2">
        <v>20612</v>
      </c>
      <c r="R13" s="2"/>
      <c r="S13" s="2" t="s">
        <v>215</v>
      </c>
      <c r="T13" s="2" t="s">
        <v>216</v>
      </c>
      <c r="U13" s="2" t="s">
        <v>142</v>
      </c>
      <c r="V13" s="2" t="s">
        <v>82</v>
      </c>
      <c r="W13" s="2"/>
      <c r="X13" s="2"/>
      <c r="Y13" s="2" t="s">
        <v>111</v>
      </c>
      <c r="Z13" s="2"/>
      <c r="AA13" s="2"/>
      <c r="AB13" s="3">
        <v>46148</v>
      </c>
      <c r="AC13" s="2">
        <v>79989</v>
      </c>
      <c r="AD13" s="2"/>
      <c r="AE13" s="2"/>
      <c r="AF13" s="3">
        <v>46149</v>
      </c>
      <c r="AG13" s="5">
        <v>46148.845833333333</v>
      </c>
      <c r="AH13" s="2"/>
      <c r="AI13" s="2"/>
      <c r="AJ13" s="2"/>
      <c r="AK13" s="2">
        <v>0</v>
      </c>
      <c r="AL13" s="2"/>
      <c r="AM13" s="2" t="s">
        <v>217</v>
      </c>
      <c r="AN13" s="2" t="s">
        <v>217</v>
      </c>
      <c r="AO13" s="2"/>
      <c r="AP13" s="4"/>
      <c r="AQ13" s="2" t="s">
        <v>140</v>
      </c>
      <c r="AR13" s="4" t="s">
        <v>218</v>
      </c>
      <c r="AS13" s="2">
        <v>0.48599999999999999</v>
      </c>
      <c r="AT13" s="2"/>
      <c r="AU13" s="2"/>
      <c r="AV13" s="2"/>
      <c r="AW13" s="2"/>
      <c r="AX13" s="2" t="s">
        <v>77</v>
      </c>
      <c r="AY13" s="2"/>
      <c r="AZ13" s="2"/>
      <c r="BA13" s="2">
        <v>1669</v>
      </c>
      <c r="BB13" s="2"/>
      <c r="BC13" s="2"/>
      <c r="BD13" s="2"/>
      <c r="BE13" s="2"/>
      <c r="BF13" s="2" t="s">
        <v>78</v>
      </c>
      <c r="BG13" s="2" t="s">
        <v>217</v>
      </c>
      <c r="BH13" s="2"/>
      <c r="BI13" s="2"/>
      <c r="BJ13" s="2" t="s">
        <v>99</v>
      </c>
      <c r="BK13" s="5">
        <v>46148.846458333333</v>
      </c>
      <c r="BL13" s="2"/>
      <c r="BM13" s="2"/>
      <c r="BN13" s="5">
        <v>46148.585092592592</v>
      </c>
      <c r="BO13" s="2" t="s">
        <v>119</v>
      </c>
      <c r="BP13" s="2" t="s">
        <v>79</v>
      </c>
      <c r="BQ13" s="2"/>
      <c r="BR13" s="2"/>
      <c r="BS13" s="2" t="s">
        <v>92</v>
      </c>
      <c r="BT13" s="2" t="s">
        <v>142</v>
      </c>
      <c r="BU13" s="2" t="s">
        <v>143</v>
      </c>
      <c r="BV13" s="2"/>
      <c r="BW13" s="2" t="s">
        <v>120</v>
      </c>
    </row>
    <row r="14" spans="1:75" x14ac:dyDescent="0.25">
      <c r="A14" s="2">
        <v>5531423</v>
      </c>
      <c r="B14" s="3">
        <v>46148</v>
      </c>
      <c r="C14" s="2" t="s">
        <v>133</v>
      </c>
      <c r="D14" s="2" t="s">
        <v>134</v>
      </c>
      <c r="E14" s="2" t="s">
        <v>75</v>
      </c>
      <c r="F14" s="2" t="s">
        <v>118</v>
      </c>
      <c r="G14" s="2">
        <v>47001328931</v>
      </c>
      <c r="H14" s="4" t="s">
        <v>219</v>
      </c>
      <c r="I14" s="2" t="s">
        <v>98</v>
      </c>
      <c r="J14" s="2"/>
      <c r="K14" s="2"/>
      <c r="L14" s="2"/>
      <c r="M14" s="2"/>
      <c r="N14" s="2">
        <v>2</v>
      </c>
      <c r="O14" s="2">
        <v>1</v>
      </c>
      <c r="P14" s="2">
        <v>3919.34</v>
      </c>
      <c r="Q14" s="2">
        <v>28140</v>
      </c>
      <c r="R14" s="2"/>
      <c r="S14" s="2" t="s">
        <v>220</v>
      </c>
      <c r="T14" s="2" t="s">
        <v>221</v>
      </c>
      <c r="U14" s="2" t="s">
        <v>131</v>
      </c>
      <c r="V14" s="2" t="s">
        <v>76</v>
      </c>
      <c r="W14" s="2"/>
      <c r="X14" s="2"/>
      <c r="Y14" s="2" t="s">
        <v>222</v>
      </c>
      <c r="Z14" s="2"/>
      <c r="AA14" s="2"/>
      <c r="AB14" s="3">
        <v>46148</v>
      </c>
      <c r="AC14" s="2">
        <v>80006</v>
      </c>
      <c r="AD14" s="2"/>
      <c r="AE14" s="2"/>
      <c r="AF14" s="3">
        <v>46149</v>
      </c>
      <c r="AG14" s="5">
        <v>46148.651388888888</v>
      </c>
      <c r="AH14" s="2"/>
      <c r="AI14" s="2"/>
      <c r="AJ14" s="2"/>
      <c r="AK14" s="2">
        <v>0</v>
      </c>
      <c r="AL14" s="2"/>
      <c r="AM14" s="2" t="s">
        <v>223</v>
      </c>
      <c r="AN14" s="2" t="s">
        <v>223</v>
      </c>
      <c r="AO14" s="2"/>
      <c r="AP14" s="4"/>
      <c r="AQ14" s="2" t="s">
        <v>140</v>
      </c>
      <c r="AR14" s="4" t="s">
        <v>224</v>
      </c>
      <c r="AS14" s="2">
        <v>8.32</v>
      </c>
      <c r="AT14" s="2"/>
      <c r="AU14" s="2"/>
      <c r="AV14" s="2"/>
      <c r="AW14" s="2"/>
      <c r="AX14" s="2" t="s">
        <v>77</v>
      </c>
      <c r="AY14" s="2"/>
      <c r="AZ14" s="2"/>
      <c r="BA14" s="2">
        <v>1049</v>
      </c>
      <c r="BB14" s="2"/>
      <c r="BC14" s="2"/>
      <c r="BD14" s="2"/>
      <c r="BE14" s="2"/>
      <c r="BF14" s="2" t="s">
        <v>78</v>
      </c>
      <c r="BG14" s="2" t="s">
        <v>223</v>
      </c>
      <c r="BH14" s="2"/>
      <c r="BI14" s="2"/>
      <c r="BJ14" s="2" t="s">
        <v>99</v>
      </c>
      <c r="BK14" s="5">
        <v>46148.651817129627</v>
      </c>
      <c r="BL14" s="2"/>
      <c r="BM14" s="2"/>
      <c r="BN14" s="5">
        <v>46148.588483796295</v>
      </c>
      <c r="BO14" s="2" t="s">
        <v>119</v>
      </c>
      <c r="BP14" s="2" t="s">
        <v>79</v>
      </c>
      <c r="BQ14" s="2"/>
      <c r="BR14" s="2"/>
      <c r="BS14" s="2" t="s">
        <v>84</v>
      </c>
      <c r="BT14" s="2" t="s">
        <v>84</v>
      </c>
      <c r="BU14" s="2" t="s">
        <v>143</v>
      </c>
      <c r="BV14" s="2"/>
      <c r="BW14" s="2" t="s">
        <v>120</v>
      </c>
    </row>
    <row r="15" spans="1:75" x14ac:dyDescent="0.25">
      <c r="A15" s="2">
        <v>5531424</v>
      </c>
      <c r="B15" s="3">
        <v>46148</v>
      </c>
      <c r="C15" s="2" t="s">
        <v>133</v>
      </c>
      <c r="D15" s="2" t="s">
        <v>134</v>
      </c>
      <c r="E15" s="2" t="s">
        <v>75</v>
      </c>
      <c r="F15" s="2" t="s">
        <v>118</v>
      </c>
      <c r="G15" s="2">
        <v>47001603072</v>
      </c>
      <c r="H15" s="4" t="s">
        <v>225</v>
      </c>
      <c r="I15" s="2" t="s">
        <v>98</v>
      </c>
      <c r="J15" s="2"/>
      <c r="K15" s="2"/>
      <c r="L15" s="2"/>
      <c r="M15" s="2"/>
      <c r="N15" s="2">
        <v>2</v>
      </c>
      <c r="O15" s="2">
        <v>1</v>
      </c>
      <c r="P15" s="2">
        <v>3919.34</v>
      </c>
      <c r="Q15" s="2">
        <v>28140</v>
      </c>
      <c r="R15" s="2"/>
      <c r="S15" s="2" t="s">
        <v>220</v>
      </c>
      <c r="T15" s="2" t="s">
        <v>221</v>
      </c>
      <c r="U15" s="2" t="s">
        <v>131</v>
      </c>
      <c r="V15" s="2" t="s">
        <v>76</v>
      </c>
      <c r="W15" s="2"/>
      <c r="X15" s="2"/>
      <c r="Y15" s="2" t="s">
        <v>222</v>
      </c>
      <c r="Z15" s="2"/>
      <c r="AA15" s="2"/>
      <c r="AB15" s="3">
        <v>46148</v>
      </c>
      <c r="AC15" s="2">
        <v>80006</v>
      </c>
      <c r="AD15" s="2"/>
      <c r="AE15" s="2"/>
      <c r="AF15" s="3">
        <v>46149</v>
      </c>
      <c r="AG15" s="5">
        <v>46148.651388888888</v>
      </c>
      <c r="AH15" s="2"/>
      <c r="AI15" s="2"/>
      <c r="AJ15" s="2"/>
      <c r="AK15" s="2">
        <v>0</v>
      </c>
      <c r="AL15" s="2"/>
      <c r="AM15" s="2" t="s">
        <v>223</v>
      </c>
      <c r="AN15" s="2" t="s">
        <v>223</v>
      </c>
      <c r="AO15" s="2"/>
      <c r="AP15" s="4"/>
      <c r="AQ15" s="2" t="s">
        <v>140</v>
      </c>
      <c r="AR15" s="4" t="s">
        <v>224</v>
      </c>
      <c r="AS15" s="2">
        <v>8.32</v>
      </c>
      <c r="AT15" s="2"/>
      <c r="AU15" s="2"/>
      <c r="AV15" s="2"/>
      <c r="AW15" s="2"/>
      <c r="AX15" s="2" t="s">
        <v>77</v>
      </c>
      <c r="AY15" s="2"/>
      <c r="AZ15" s="2"/>
      <c r="BA15" s="2">
        <v>1049</v>
      </c>
      <c r="BB15" s="2"/>
      <c r="BC15" s="2"/>
      <c r="BD15" s="2"/>
      <c r="BE15" s="2"/>
      <c r="BF15" s="2" t="s">
        <v>78</v>
      </c>
      <c r="BG15" s="2" t="s">
        <v>223</v>
      </c>
      <c r="BH15" s="2"/>
      <c r="BI15" s="2"/>
      <c r="BJ15" s="2" t="s">
        <v>99</v>
      </c>
      <c r="BK15" s="5">
        <v>46148.652013888888</v>
      </c>
      <c r="BL15" s="2"/>
      <c r="BM15" s="2"/>
      <c r="BN15" s="5">
        <v>46148.588460648149</v>
      </c>
      <c r="BO15" s="2" t="s">
        <v>119</v>
      </c>
      <c r="BP15" s="2" t="s">
        <v>79</v>
      </c>
      <c r="BQ15" s="2"/>
      <c r="BR15" s="2"/>
      <c r="BS15" s="2" t="s">
        <v>84</v>
      </c>
      <c r="BT15" s="2" t="s">
        <v>84</v>
      </c>
      <c r="BU15" s="2" t="s">
        <v>143</v>
      </c>
      <c r="BV15" s="2"/>
      <c r="BW15" s="2" t="s">
        <v>120</v>
      </c>
    </row>
    <row r="16" spans="1:75" x14ac:dyDescent="0.25">
      <c r="A16" s="2">
        <v>5531425</v>
      </c>
      <c r="B16" s="3">
        <v>46148</v>
      </c>
      <c r="C16" s="2" t="s">
        <v>133</v>
      </c>
      <c r="D16" s="2" t="s">
        <v>134</v>
      </c>
      <c r="E16" s="2" t="s">
        <v>75</v>
      </c>
      <c r="F16" s="2" t="s">
        <v>118</v>
      </c>
      <c r="G16" s="2">
        <v>47001328901</v>
      </c>
      <c r="H16" s="4" t="s">
        <v>226</v>
      </c>
      <c r="I16" s="2" t="s">
        <v>98</v>
      </c>
      <c r="J16" s="2"/>
      <c r="K16" s="2"/>
      <c r="L16" s="2"/>
      <c r="M16" s="2"/>
      <c r="N16" s="2">
        <v>2</v>
      </c>
      <c r="O16" s="2">
        <v>1</v>
      </c>
      <c r="P16" s="2">
        <v>3919.34</v>
      </c>
      <c r="Q16" s="2">
        <v>28140</v>
      </c>
      <c r="R16" s="2"/>
      <c r="S16" s="2" t="s">
        <v>220</v>
      </c>
      <c r="T16" s="2" t="s">
        <v>221</v>
      </c>
      <c r="U16" s="2" t="s">
        <v>131</v>
      </c>
      <c r="V16" s="2" t="s">
        <v>76</v>
      </c>
      <c r="W16" s="2"/>
      <c r="X16" s="2"/>
      <c r="Y16" s="2" t="s">
        <v>222</v>
      </c>
      <c r="Z16" s="2"/>
      <c r="AA16" s="2"/>
      <c r="AB16" s="3">
        <v>46148</v>
      </c>
      <c r="AC16" s="2">
        <v>80006</v>
      </c>
      <c r="AD16" s="2"/>
      <c r="AE16" s="2"/>
      <c r="AF16" s="3">
        <v>46149</v>
      </c>
      <c r="AG16" s="5">
        <v>46148.652083333334</v>
      </c>
      <c r="AH16" s="2"/>
      <c r="AI16" s="2"/>
      <c r="AJ16" s="2"/>
      <c r="AK16" s="2">
        <v>0</v>
      </c>
      <c r="AL16" s="2"/>
      <c r="AM16" s="2" t="s">
        <v>223</v>
      </c>
      <c r="AN16" s="2" t="s">
        <v>223</v>
      </c>
      <c r="AO16" s="2"/>
      <c r="AP16" s="4"/>
      <c r="AQ16" s="2" t="s">
        <v>140</v>
      </c>
      <c r="AR16" s="4" t="s">
        <v>224</v>
      </c>
      <c r="AS16" s="2">
        <v>8.32</v>
      </c>
      <c r="AT16" s="2"/>
      <c r="AU16" s="2"/>
      <c r="AV16" s="2"/>
      <c r="AW16" s="2"/>
      <c r="AX16" s="2" t="s">
        <v>77</v>
      </c>
      <c r="AY16" s="2"/>
      <c r="AZ16" s="2"/>
      <c r="BA16" s="2">
        <v>1049</v>
      </c>
      <c r="BB16" s="2"/>
      <c r="BC16" s="2"/>
      <c r="BD16" s="2"/>
      <c r="BE16" s="2"/>
      <c r="BF16" s="2" t="s">
        <v>78</v>
      </c>
      <c r="BG16" s="2" t="s">
        <v>223</v>
      </c>
      <c r="BH16" s="2"/>
      <c r="BI16" s="2"/>
      <c r="BJ16" s="2" t="s">
        <v>99</v>
      </c>
      <c r="BK16" s="5">
        <v>46148.652187500003</v>
      </c>
      <c r="BL16" s="2"/>
      <c r="BM16" s="2"/>
      <c r="BN16" s="5">
        <v>46148.588437500002</v>
      </c>
      <c r="BO16" s="2" t="s">
        <v>119</v>
      </c>
      <c r="BP16" s="2" t="s">
        <v>79</v>
      </c>
      <c r="BQ16" s="2"/>
      <c r="BR16" s="2"/>
      <c r="BS16" s="2" t="s">
        <v>84</v>
      </c>
      <c r="BT16" s="2" t="s">
        <v>84</v>
      </c>
      <c r="BU16" s="2" t="s">
        <v>143</v>
      </c>
      <c r="BV16" s="2"/>
      <c r="BW16" s="2" t="s">
        <v>120</v>
      </c>
    </row>
    <row r="17" spans="1:75" ht="45" x14ac:dyDescent="0.25">
      <c r="A17" s="2">
        <v>5531770</v>
      </c>
      <c r="B17" s="3">
        <v>46148</v>
      </c>
      <c r="C17" s="2" t="s">
        <v>133</v>
      </c>
      <c r="D17" s="2" t="s">
        <v>134</v>
      </c>
      <c r="E17" s="2" t="s">
        <v>75</v>
      </c>
      <c r="F17" s="2" t="s">
        <v>118</v>
      </c>
      <c r="G17" s="2">
        <v>47001821812</v>
      </c>
      <c r="H17" s="4" t="s">
        <v>227</v>
      </c>
      <c r="I17" s="2" t="s">
        <v>98</v>
      </c>
      <c r="J17" s="2"/>
      <c r="K17" s="2"/>
      <c r="L17" s="2"/>
      <c r="M17" s="2"/>
      <c r="N17" s="2">
        <v>5.19</v>
      </c>
      <c r="O17" s="2">
        <v>3</v>
      </c>
      <c r="P17" s="2">
        <v>3919.34</v>
      </c>
      <c r="Q17" s="2">
        <v>58827</v>
      </c>
      <c r="R17" s="2"/>
      <c r="S17" s="2" t="s">
        <v>228</v>
      </c>
      <c r="T17" s="2" t="s">
        <v>229</v>
      </c>
      <c r="U17" s="2" t="s">
        <v>95</v>
      </c>
      <c r="V17" s="2" t="s">
        <v>76</v>
      </c>
      <c r="W17" s="2"/>
      <c r="X17" s="2"/>
      <c r="Y17" s="2" t="s">
        <v>199</v>
      </c>
      <c r="Z17" s="2"/>
      <c r="AA17" s="2"/>
      <c r="AB17" s="3">
        <v>46148</v>
      </c>
      <c r="AC17" s="2">
        <v>79921</v>
      </c>
      <c r="AD17" s="2"/>
      <c r="AE17" s="2"/>
      <c r="AF17" s="3">
        <v>46149</v>
      </c>
      <c r="AG17" s="5">
        <v>46148.888888888891</v>
      </c>
      <c r="AH17" s="2"/>
      <c r="AI17" s="2"/>
      <c r="AJ17" s="2"/>
      <c r="AK17" s="2">
        <v>0</v>
      </c>
      <c r="AL17" s="2"/>
      <c r="AM17" s="2" t="s">
        <v>230</v>
      </c>
      <c r="AN17" s="2" t="s">
        <v>230</v>
      </c>
      <c r="AO17" s="2"/>
      <c r="AP17" s="4"/>
      <c r="AQ17" s="2" t="s">
        <v>140</v>
      </c>
      <c r="AR17" s="4" t="s">
        <v>231</v>
      </c>
      <c r="AS17" s="2">
        <v>9.7680000000000007</v>
      </c>
      <c r="AT17" s="2"/>
      <c r="AU17" s="2"/>
      <c r="AV17" s="2"/>
      <c r="AW17" s="2"/>
      <c r="AX17" s="2" t="s">
        <v>77</v>
      </c>
      <c r="AY17" s="2"/>
      <c r="AZ17" s="2"/>
      <c r="BA17" s="2">
        <v>1425</v>
      </c>
      <c r="BB17" s="2"/>
      <c r="BC17" s="2"/>
      <c r="BD17" s="2"/>
      <c r="BE17" s="2" t="s">
        <v>80</v>
      </c>
      <c r="BF17" s="2" t="s">
        <v>78</v>
      </c>
      <c r="BG17" s="2" t="s">
        <v>230</v>
      </c>
      <c r="BH17" s="2"/>
      <c r="BI17" s="2"/>
      <c r="BJ17" s="2" t="s">
        <v>99</v>
      </c>
      <c r="BK17" s="5">
        <v>46148.888935185183</v>
      </c>
      <c r="BL17" s="2"/>
      <c r="BM17" s="2"/>
      <c r="BN17" s="5">
        <v>46148.582152777781</v>
      </c>
      <c r="BO17" s="2" t="s">
        <v>119</v>
      </c>
      <c r="BP17" s="2" t="s">
        <v>79</v>
      </c>
      <c r="BQ17" s="2"/>
      <c r="BR17" s="2"/>
      <c r="BS17" s="2" t="s">
        <v>86</v>
      </c>
      <c r="BT17" s="2" t="s">
        <v>86</v>
      </c>
      <c r="BU17" s="2" t="s">
        <v>143</v>
      </c>
      <c r="BV17" s="2"/>
      <c r="BW17" s="2" t="s">
        <v>120</v>
      </c>
    </row>
    <row r="18" spans="1:75" ht="30" x14ac:dyDescent="0.25">
      <c r="A18" s="2">
        <v>5531802</v>
      </c>
      <c r="B18" s="3">
        <v>46148</v>
      </c>
      <c r="C18" s="2" t="s">
        <v>133</v>
      </c>
      <c r="D18" s="2" t="s">
        <v>134</v>
      </c>
      <c r="E18" s="2" t="s">
        <v>75</v>
      </c>
      <c r="F18" s="2" t="s">
        <v>118</v>
      </c>
      <c r="G18" s="2">
        <v>47001589639</v>
      </c>
      <c r="H18" s="4" t="s">
        <v>232</v>
      </c>
      <c r="I18" s="2" t="s">
        <v>98</v>
      </c>
      <c r="J18" s="2"/>
      <c r="K18" s="2"/>
      <c r="L18" s="2"/>
      <c r="M18" s="2"/>
      <c r="N18" s="2">
        <v>2.8</v>
      </c>
      <c r="O18" s="2">
        <v>4</v>
      </c>
      <c r="P18" s="2">
        <v>3919.34</v>
      </c>
      <c r="Q18" s="2">
        <v>25592</v>
      </c>
      <c r="R18" s="2"/>
      <c r="S18" s="2" t="s">
        <v>233</v>
      </c>
      <c r="T18" s="2" t="s">
        <v>234</v>
      </c>
      <c r="U18" s="2" t="s">
        <v>95</v>
      </c>
      <c r="V18" s="2" t="s">
        <v>76</v>
      </c>
      <c r="W18" s="2"/>
      <c r="X18" s="2"/>
      <c r="Y18" s="2" t="s">
        <v>199</v>
      </c>
      <c r="Z18" s="2"/>
      <c r="AA18" s="2"/>
      <c r="AB18" s="3">
        <v>46148</v>
      </c>
      <c r="AC18" s="2">
        <v>79921</v>
      </c>
      <c r="AD18" s="2"/>
      <c r="AE18" s="2"/>
      <c r="AF18" s="3">
        <v>46149</v>
      </c>
      <c r="AG18" s="5">
        <v>46148.856944444444</v>
      </c>
      <c r="AH18" s="2"/>
      <c r="AI18" s="2"/>
      <c r="AJ18" s="2"/>
      <c r="AK18" s="2">
        <v>0</v>
      </c>
      <c r="AL18" s="2"/>
      <c r="AM18" s="2" t="s">
        <v>235</v>
      </c>
      <c r="AN18" s="2" t="s">
        <v>235</v>
      </c>
      <c r="AO18" s="2"/>
      <c r="AP18" s="4"/>
      <c r="AQ18" s="2" t="s">
        <v>140</v>
      </c>
      <c r="AR18" s="4" t="s">
        <v>236</v>
      </c>
      <c r="AS18" s="2">
        <v>10.8</v>
      </c>
      <c r="AT18" s="2"/>
      <c r="AU18" s="2"/>
      <c r="AV18" s="2"/>
      <c r="AW18" s="2"/>
      <c r="AX18" s="2" t="s">
        <v>77</v>
      </c>
      <c r="AY18" s="2"/>
      <c r="AZ18" s="2"/>
      <c r="BA18" s="2">
        <v>1425</v>
      </c>
      <c r="BB18" s="2"/>
      <c r="BC18" s="2"/>
      <c r="BD18" s="2"/>
      <c r="BE18" s="2" t="s">
        <v>80</v>
      </c>
      <c r="BF18" s="2" t="s">
        <v>78</v>
      </c>
      <c r="BG18" s="2" t="s">
        <v>235</v>
      </c>
      <c r="BH18" s="2"/>
      <c r="BI18" s="2"/>
      <c r="BJ18" s="2" t="s">
        <v>99</v>
      </c>
      <c r="BK18" s="5">
        <v>46148.857233796298</v>
      </c>
      <c r="BL18" s="2"/>
      <c r="BM18" s="2"/>
      <c r="BN18" s="5">
        <v>46148.584687499999</v>
      </c>
      <c r="BO18" s="2" t="s">
        <v>119</v>
      </c>
      <c r="BP18" s="2" t="s">
        <v>79</v>
      </c>
      <c r="BQ18" s="2"/>
      <c r="BR18" s="2"/>
      <c r="BS18" s="2" t="s">
        <v>86</v>
      </c>
      <c r="BT18" s="2" t="s">
        <v>86</v>
      </c>
      <c r="BU18" s="2" t="s">
        <v>143</v>
      </c>
      <c r="BV18" s="2"/>
      <c r="BW18" s="2" t="s">
        <v>120</v>
      </c>
    </row>
    <row r="19" spans="1:75" ht="30" x14ac:dyDescent="0.25">
      <c r="A19" s="2">
        <v>5531981</v>
      </c>
      <c r="B19" s="3">
        <v>46148</v>
      </c>
      <c r="C19" s="2" t="s">
        <v>133</v>
      </c>
      <c r="D19" s="2" t="s">
        <v>134</v>
      </c>
      <c r="E19" s="2" t="s">
        <v>195</v>
      </c>
      <c r="F19" s="2"/>
      <c r="G19" s="2" t="s">
        <v>237</v>
      </c>
      <c r="H19" s="4" t="s">
        <v>238</v>
      </c>
      <c r="I19" s="2" t="s">
        <v>145</v>
      </c>
      <c r="J19" s="2"/>
      <c r="K19" s="2"/>
      <c r="L19" s="2"/>
      <c r="M19" s="2"/>
      <c r="N19" s="2">
        <v>1</v>
      </c>
      <c r="O19" s="2">
        <v>1</v>
      </c>
      <c r="P19" s="2">
        <v>9426.31</v>
      </c>
      <c r="Q19" s="2"/>
      <c r="R19" s="2"/>
      <c r="S19" s="2" t="s">
        <v>239</v>
      </c>
      <c r="T19" s="2" t="s">
        <v>240</v>
      </c>
      <c r="U19" s="2" t="s">
        <v>241</v>
      </c>
      <c r="V19" s="2" t="s">
        <v>147</v>
      </c>
      <c r="W19" s="2"/>
      <c r="X19" s="2"/>
      <c r="Y19" s="2" t="s">
        <v>96</v>
      </c>
      <c r="Z19" s="2"/>
      <c r="AA19" s="2"/>
      <c r="AB19" s="3">
        <v>46149</v>
      </c>
      <c r="AC19" s="2">
        <v>80099</v>
      </c>
      <c r="AD19" s="2"/>
      <c r="AE19" s="2"/>
      <c r="AF19" s="3">
        <v>46149</v>
      </c>
      <c r="AG19" s="5">
        <v>46148.746412037035</v>
      </c>
      <c r="AH19" s="2"/>
      <c r="AI19" s="2"/>
      <c r="AJ19" s="2"/>
      <c r="AK19" s="2"/>
      <c r="AL19" s="2"/>
      <c r="AM19" s="2"/>
      <c r="AN19" s="2"/>
      <c r="AO19" s="2"/>
      <c r="AP19" s="4"/>
      <c r="AQ19" s="2" t="s">
        <v>140</v>
      </c>
      <c r="AR19" s="4" t="s">
        <v>242</v>
      </c>
      <c r="AS19" s="2">
        <v>1</v>
      </c>
      <c r="AT19" s="2"/>
      <c r="AU19" s="2"/>
      <c r="AV19" s="2">
        <v>0</v>
      </c>
      <c r="AW19" s="2">
        <v>0</v>
      </c>
      <c r="AX19" s="2" t="s">
        <v>77</v>
      </c>
      <c r="AY19" s="2"/>
      <c r="AZ19" s="2"/>
      <c r="BA19" s="2">
        <v>1897</v>
      </c>
      <c r="BB19" s="2"/>
      <c r="BC19" s="2"/>
      <c r="BD19" s="2"/>
      <c r="BE19" s="2" t="s">
        <v>80</v>
      </c>
      <c r="BF19" s="2" t="s">
        <v>85</v>
      </c>
      <c r="BG19" s="2"/>
      <c r="BH19" s="2"/>
      <c r="BI19" s="2" t="s">
        <v>243</v>
      </c>
      <c r="BJ19" s="2" t="s">
        <v>244</v>
      </c>
      <c r="BK19" s="5">
        <v>46149</v>
      </c>
      <c r="BL19" s="2"/>
      <c r="BM19" s="2"/>
      <c r="BN19" s="5">
        <v>46148.587835648148</v>
      </c>
      <c r="BO19" s="2"/>
      <c r="BP19" s="2" t="s">
        <v>79</v>
      </c>
      <c r="BQ19" s="2"/>
      <c r="BR19" s="2"/>
      <c r="BS19" s="2" t="s">
        <v>97</v>
      </c>
      <c r="BT19" s="2" t="s">
        <v>245</v>
      </c>
      <c r="BU19" s="2" t="s">
        <v>143</v>
      </c>
      <c r="BV19" s="2"/>
      <c r="BW19" s="2" t="s">
        <v>150</v>
      </c>
    </row>
    <row r="20" spans="1:75" ht="30" x14ac:dyDescent="0.25">
      <c r="A20" s="2">
        <v>5532510</v>
      </c>
      <c r="B20" s="3">
        <v>46148</v>
      </c>
      <c r="C20" s="2" t="s">
        <v>133</v>
      </c>
      <c r="D20" s="2" t="s">
        <v>134</v>
      </c>
      <c r="E20" s="2" t="s">
        <v>75</v>
      </c>
      <c r="F20" s="2" t="s">
        <v>118</v>
      </c>
      <c r="G20" s="2">
        <v>47002610904</v>
      </c>
      <c r="H20" s="4" t="s">
        <v>246</v>
      </c>
      <c r="I20" s="2" t="s">
        <v>98</v>
      </c>
      <c r="J20" s="2"/>
      <c r="K20" s="2"/>
      <c r="L20" s="2"/>
      <c r="M20" s="2"/>
      <c r="N20" s="2">
        <v>2.72</v>
      </c>
      <c r="O20" s="2">
        <v>2</v>
      </c>
      <c r="P20" s="2">
        <v>3919.34</v>
      </c>
      <c r="Q20" s="2">
        <v>29194</v>
      </c>
      <c r="R20" s="2"/>
      <c r="S20" s="2" t="s">
        <v>247</v>
      </c>
      <c r="T20" s="2" t="s">
        <v>248</v>
      </c>
      <c r="U20" s="2" t="s">
        <v>103</v>
      </c>
      <c r="V20" s="2" t="s">
        <v>76</v>
      </c>
      <c r="W20" s="2"/>
      <c r="X20" s="2"/>
      <c r="Y20" s="2" t="s">
        <v>249</v>
      </c>
      <c r="Z20" s="2"/>
      <c r="AA20" s="2"/>
      <c r="AB20" s="3">
        <v>46148</v>
      </c>
      <c r="AC20" s="2">
        <v>79986</v>
      </c>
      <c r="AD20" s="2"/>
      <c r="AE20" s="2"/>
      <c r="AF20" s="3">
        <v>46149</v>
      </c>
      <c r="AG20" s="5">
        <v>46148.677777777775</v>
      </c>
      <c r="AH20" s="2"/>
      <c r="AI20" s="2"/>
      <c r="AJ20" s="2"/>
      <c r="AK20" s="2">
        <v>0</v>
      </c>
      <c r="AL20" s="2"/>
      <c r="AM20" s="2" t="s">
        <v>250</v>
      </c>
      <c r="AN20" s="2" t="s">
        <v>250</v>
      </c>
      <c r="AO20" s="2"/>
      <c r="AP20" s="4"/>
      <c r="AQ20" s="2" t="s">
        <v>140</v>
      </c>
      <c r="AR20" s="4" t="s">
        <v>251</v>
      </c>
      <c r="AS20" s="2">
        <v>4.62</v>
      </c>
      <c r="AT20" s="2"/>
      <c r="AU20" s="2"/>
      <c r="AV20" s="2"/>
      <c r="AW20" s="2"/>
      <c r="AX20" s="2" t="s">
        <v>77</v>
      </c>
      <c r="AY20" s="2"/>
      <c r="AZ20" s="2"/>
      <c r="BA20" s="2">
        <v>1425</v>
      </c>
      <c r="BB20" s="2"/>
      <c r="BC20" s="2"/>
      <c r="BD20" s="2"/>
      <c r="BE20" s="2"/>
      <c r="BF20" s="2" t="s">
        <v>78</v>
      </c>
      <c r="BG20" s="2" t="s">
        <v>250</v>
      </c>
      <c r="BH20" s="2"/>
      <c r="BI20" s="2"/>
      <c r="BJ20" s="2" t="s">
        <v>99</v>
      </c>
      <c r="BK20" s="5">
        <v>46148.678379629629</v>
      </c>
      <c r="BL20" s="2"/>
      <c r="BM20" s="2"/>
      <c r="BN20" s="5">
        <v>46148.583368055559</v>
      </c>
      <c r="BO20" s="2" t="s">
        <v>119</v>
      </c>
      <c r="BP20" s="2" t="s">
        <v>79</v>
      </c>
      <c r="BQ20" s="2"/>
      <c r="BR20" s="2"/>
      <c r="BS20" s="2" t="s">
        <v>86</v>
      </c>
      <c r="BT20" s="2" t="s">
        <v>86</v>
      </c>
      <c r="BU20" s="2" t="s">
        <v>143</v>
      </c>
      <c r="BV20" s="2"/>
      <c r="BW20" s="2" t="s">
        <v>120</v>
      </c>
    </row>
    <row r="21" spans="1:75" x14ac:dyDescent="0.25">
      <c r="A21" s="2">
        <v>5532564</v>
      </c>
      <c r="B21" s="3">
        <v>46148</v>
      </c>
      <c r="C21" s="2" t="s">
        <v>133</v>
      </c>
      <c r="D21" s="2" t="s">
        <v>134</v>
      </c>
      <c r="E21" s="2" t="s">
        <v>75</v>
      </c>
      <c r="F21" s="2" t="s">
        <v>118</v>
      </c>
      <c r="G21" s="2">
        <v>47002397055</v>
      </c>
      <c r="H21" s="4" t="s">
        <v>252</v>
      </c>
      <c r="I21" s="2" t="s">
        <v>98</v>
      </c>
      <c r="J21" s="2"/>
      <c r="K21" s="2"/>
      <c r="L21" s="2"/>
      <c r="M21" s="2"/>
      <c r="N21" s="2">
        <v>0.42</v>
      </c>
      <c r="O21" s="2">
        <v>1</v>
      </c>
      <c r="P21" s="2">
        <v>9426.31</v>
      </c>
      <c r="Q21" s="2">
        <v>41259</v>
      </c>
      <c r="R21" s="2"/>
      <c r="S21" s="2" t="s">
        <v>253</v>
      </c>
      <c r="T21" s="2" t="s">
        <v>254</v>
      </c>
      <c r="U21" s="2" t="s">
        <v>127</v>
      </c>
      <c r="V21" s="2" t="s">
        <v>82</v>
      </c>
      <c r="W21" s="2"/>
      <c r="X21" s="2"/>
      <c r="Y21" s="2" t="s">
        <v>192</v>
      </c>
      <c r="Z21" s="2"/>
      <c r="AA21" s="2"/>
      <c r="AB21" s="3">
        <v>46148</v>
      </c>
      <c r="AC21" s="2">
        <v>80039</v>
      </c>
      <c r="AD21" s="2"/>
      <c r="AE21" s="2"/>
      <c r="AF21" s="3">
        <v>46149</v>
      </c>
      <c r="AG21" s="5">
        <v>46148.868750000001</v>
      </c>
      <c r="AH21" s="2"/>
      <c r="AI21" s="2"/>
      <c r="AJ21" s="2"/>
      <c r="AK21" s="2">
        <v>0</v>
      </c>
      <c r="AL21" s="2"/>
      <c r="AM21" s="2" t="s">
        <v>126</v>
      </c>
      <c r="AN21" s="2" t="s">
        <v>126</v>
      </c>
      <c r="AO21" s="2"/>
      <c r="AP21" s="4"/>
      <c r="AQ21" s="2" t="s">
        <v>140</v>
      </c>
      <c r="AR21" s="4" t="s">
        <v>255</v>
      </c>
      <c r="AS21" s="2">
        <v>0.504</v>
      </c>
      <c r="AT21" s="2"/>
      <c r="AU21" s="2"/>
      <c r="AV21" s="2"/>
      <c r="AW21" s="2"/>
      <c r="AX21" s="2" t="s">
        <v>77</v>
      </c>
      <c r="AY21" s="2"/>
      <c r="AZ21" s="2"/>
      <c r="BA21" s="2">
        <v>6702</v>
      </c>
      <c r="BB21" s="2"/>
      <c r="BC21" s="2"/>
      <c r="BD21" s="2"/>
      <c r="BE21" s="2" t="s">
        <v>80</v>
      </c>
      <c r="BF21" s="2" t="s">
        <v>78</v>
      </c>
      <c r="BG21" s="2" t="s">
        <v>126</v>
      </c>
      <c r="BH21" s="2"/>
      <c r="BI21" s="2"/>
      <c r="BJ21" s="2" t="s">
        <v>99</v>
      </c>
      <c r="BK21" s="5">
        <v>46148.869027777779</v>
      </c>
      <c r="BL21" s="2"/>
      <c r="BM21" s="2"/>
      <c r="BN21" s="5">
        <v>46148.583437499998</v>
      </c>
      <c r="BO21" s="2" t="s">
        <v>119</v>
      </c>
      <c r="BP21" s="2" t="s">
        <v>79</v>
      </c>
      <c r="BQ21" s="2"/>
      <c r="BR21" s="2"/>
      <c r="BS21" s="2" t="s">
        <v>128</v>
      </c>
      <c r="BT21" s="2" t="s">
        <v>129</v>
      </c>
      <c r="BU21" s="2" t="s">
        <v>143</v>
      </c>
      <c r="BV21" s="2"/>
      <c r="BW21" s="2" t="s">
        <v>120</v>
      </c>
    </row>
    <row r="22" spans="1:75" ht="60" x14ac:dyDescent="0.25">
      <c r="A22" s="2">
        <v>5532834</v>
      </c>
      <c r="B22" s="3">
        <v>46148</v>
      </c>
      <c r="C22" s="2" t="s">
        <v>133</v>
      </c>
      <c r="D22" s="2" t="s">
        <v>134</v>
      </c>
      <c r="E22" s="2" t="s">
        <v>75</v>
      </c>
      <c r="F22" s="2" t="s">
        <v>118</v>
      </c>
      <c r="G22" s="2">
        <v>47002986994</v>
      </c>
      <c r="H22" s="4" t="s">
        <v>256</v>
      </c>
      <c r="I22" s="2" t="s">
        <v>98</v>
      </c>
      <c r="J22" s="2"/>
      <c r="K22" s="2"/>
      <c r="L22" s="2"/>
      <c r="M22" s="2"/>
      <c r="N22" s="2">
        <v>1.2</v>
      </c>
      <c r="O22" s="2">
        <v>1</v>
      </c>
      <c r="P22" s="2">
        <v>3919.34</v>
      </c>
      <c r="Q22" s="2">
        <v>32017</v>
      </c>
      <c r="R22" s="2"/>
      <c r="S22" s="2" t="s">
        <v>257</v>
      </c>
      <c r="T22" s="2" t="s">
        <v>258</v>
      </c>
      <c r="U22" s="2" t="s">
        <v>95</v>
      </c>
      <c r="V22" s="2" t="s">
        <v>76</v>
      </c>
      <c r="W22" s="2"/>
      <c r="X22" s="2"/>
      <c r="Y22" s="2" t="s">
        <v>122</v>
      </c>
      <c r="Z22" s="2"/>
      <c r="AA22" s="2"/>
      <c r="AB22" s="3">
        <v>46148</v>
      </c>
      <c r="AC22" s="2">
        <v>79968</v>
      </c>
      <c r="AD22" s="2"/>
      <c r="AE22" s="2"/>
      <c r="AF22" s="3">
        <v>46149</v>
      </c>
      <c r="AG22" s="5">
        <v>46148.789583333331</v>
      </c>
      <c r="AH22" s="2"/>
      <c r="AI22" s="2"/>
      <c r="AJ22" s="2"/>
      <c r="AK22" s="2">
        <v>0</v>
      </c>
      <c r="AL22" s="2"/>
      <c r="AM22" s="2" t="s">
        <v>259</v>
      </c>
      <c r="AN22" s="2" t="s">
        <v>259</v>
      </c>
      <c r="AO22" s="2"/>
      <c r="AP22" s="4"/>
      <c r="AQ22" s="2" t="s">
        <v>140</v>
      </c>
      <c r="AR22" s="4" t="s">
        <v>260</v>
      </c>
      <c r="AS22" s="2">
        <v>1.29</v>
      </c>
      <c r="AT22" s="2"/>
      <c r="AU22" s="2"/>
      <c r="AV22" s="2"/>
      <c r="AW22" s="2"/>
      <c r="AX22" s="2" t="s">
        <v>77</v>
      </c>
      <c r="AY22" s="2"/>
      <c r="AZ22" s="2"/>
      <c r="BA22" s="2">
        <v>1425</v>
      </c>
      <c r="BB22" s="2"/>
      <c r="BC22" s="2"/>
      <c r="BD22" s="2"/>
      <c r="BE22" s="2" t="s">
        <v>80</v>
      </c>
      <c r="BF22" s="2" t="s">
        <v>78</v>
      </c>
      <c r="BG22" s="2" t="s">
        <v>259</v>
      </c>
      <c r="BH22" s="2"/>
      <c r="BI22" s="2"/>
      <c r="BJ22" s="2" t="s">
        <v>99</v>
      </c>
      <c r="BK22" s="5">
        <v>46148.789849537039</v>
      </c>
      <c r="BL22" s="2"/>
      <c r="BM22" s="2"/>
      <c r="BN22" s="5">
        <v>46148.585578703707</v>
      </c>
      <c r="BO22" s="2" t="s">
        <v>119</v>
      </c>
      <c r="BP22" s="2" t="s">
        <v>79</v>
      </c>
      <c r="BQ22" s="2"/>
      <c r="BR22" s="2"/>
      <c r="BS22" s="2" t="s">
        <v>86</v>
      </c>
      <c r="BT22" s="2" t="s">
        <v>86</v>
      </c>
      <c r="BU22" s="2" t="s">
        <v>143</v>
      </c>
      <c r="BV22" s="2"/>
      <c r="BW22" s="2" t="s">
        <v>120</v>
      </c>
    </row>
    <row r="23" spans="1:75" ht="30" x14ac:dyDescent="0.25">
      <c r="A23" s="2">
        <v>5533020</v>
      </c>
      <c r="B23" s="3">
        <v>46148</v>
      </c>
      <c r="C23" s="2" t="s">
        <v>133</v>
      </c>
      <c r="D23" s="2" t="s">
        <v>134</v>
      </c>
      <c r="E23" s="2" t="s">
        <v>75</v>
      </c>
      <c r="F23" s="2" t="s">
        <v>118</v>
      </c>
      <c r="G23" s="2">
        <v>47002363688</v>
      </c>
      <c r="H23" s="4" t="s">
        <v>261</v>
      </c>
      <c r="I23" s="2" t="s">
        <v>98</v>
      </c>
      <c r="J23" s="2"/>
      <c r="K23" s="2"/>
      <c r="L23" s="2"/>
      <c r="M23" s="2"/>
      <c r="N23" s="2">
        <v>14.4</v>
      </c>
      <c r="O23" s="2">
        <v>4</v>
      </c>
      <c r="P23" s="2">
        <v>3919.34</v>
      </c>
      <c r="Q23" s="2">
        <v>21996</v>
      </c>
      <c r="R23" s="2"/>
      <c r="S23" s="2" t="s">
        <v>262</v>
      </c>
      <c r="T23" s="2" t="s">
        <v>263</v>
      </c>
      <c r="U23" s="2" t="s">
        <v>109</v>
      </c>
      <c r="V23" s="2" t="s">
        <v>76</v>
      </c>
      <c r="W23" s="2"/>
      <c r="X23" s="2"/>
      <c r="Y23" s="2" t="s">
        <v>101</v>
      </c>
      <c r="Z23" s="2"/>
      <c r="AA23" s="2"/>
      <c r="AB23" s="3">
        <v>46148</v>
      </c>
      <c r="AC23" s="2">
        <v>79969</v>
      </c>
      <c r="AD23" s="2"/>
      <c r="AE23" s="2"/>
      <c r="AF23" s="3">
        <v>46149</v>
      </c>
      <c r="AG23" s="5">
        <v>46148.840277777781</v>
      </c>
      <c r="AH23" s="2"/>
      <c r="AI23" s="2"/>
      <c r="AJ23" s="2"/>
      <c r="AK23" s="2">
        <v>0</v>
      </c>
      <c r="AL23" s="2"/>
      <c r="AM23" s="2" t="s">
        <v>264</v>
      </c>
      <c r="AN23" s="2" t="s">
        <v>264</v>
      </c>
      <c r="AO23" s="2"/>
      <c r="AP23" s="4"/>
      <c r="AQ23" s="2" t="s">
        <v>140</v>
      </c>
      <c r="AR23" s="4" t="s">
        <v>265</v>
      </c>
      <c r="AS23" s="2">
        <v>32.64</v>
      </c>
      <c r="AT23" s="2"/>
      <c r="AU23" s="2"/>
      <c r="AV23" s="2"/>
      <c r="AW23" s="2"/>
      <c r="AX23" s="2" t="s">
        <v>77</v>
      </c>
      <c r="AY23" s="2"/>
      <c r="AZ23" s="2"/>
      <c r="BA23" s="2">
        <v>1440</v>
      </c>
      <c r="BB23" s="2"/>
      <c r="BC23" s="2"/>
      <c r="BD23" s="2"/>
      <c r="BE23" s="2" t="s">
        <v>80</v>
      </c>
      <c r="BF23" s="2" t="s">
        <v>78</v>
      </c>
      <c r="BG23" s="2" t="s">
        <v>264</v>
      </c>
      <c r="BH23" s="2"/>
      <c r="BI23" s="2"/>
      <c r="BJ23" s="2" t="s">
        <v>99</v>
      </c>
      <c r="BK23" s="5">
        <v>46148.840937499997</v>
      </c>
      <c r="BL23" s="2"/>
      <c r="BM23" s="2"/>
      <c r="BN23" s="5">
        <v>46148.582430555558</v>
      </c>
      <c r="BO23" s="2" t="s">
        <v>119</v>
      </c>
      <c r="BP23" s="2" t="s">
        <v>79</v>
      </c>
      <c r="BQ23" s="2"/>
      <c r="BR23" s="2"/>
      <c r="BS23" s="2" t="s">
        <v>110</v>
      </c>
      <c r="BT23" s="2" t="s">
        <v>110</v>
      </c>
      <c r="BU23" s="2" t="s">
        <v>143</v>
      </c>
      <c r="BV23" s="2"/>
      <c r="BW23" s="2" t="s">
        <v>120</v>
      </c>
    </row>
    <row r="24" spans="1:75" ht="60" x14ac:dyDescent="0.25">
      <c r="A24" s="2">
        <v>5533092</v>
      </c>
      <c r="B24" s="3">
        <v>46148</v>
      </c>
      <c r="C24" s="2" t="s">
        <v>133</v>
      </c>
      <c r="D24" s="2" t="s">
        <v>134</v>
      </c>
      <c r="E24" s="2" t="s">
        <v>75</v>
      </c>
      <c r="F24" s="2" t="s">
        <v>118</v>
      </c>
      <c r="G24" s="2">
        <v>47003053030</v>
      </c>
      <c r="H24" s="4" t="s">
        <v>266</v>
      </c>
      <c r="I24" s="2" t="s">
        <v>98</v>
      </c>
      <c r="J24" s="2"/>
      <c r="K24" s="2"/>
      <c r="L24" s="2"/>
      <c r="M24" s="2"/>
      <c r="N24" s="2">
        <v>0.36</v>
      </c>
      <c r="O24" s="2">
        <v>1</v>
      </c>
      <c r="P24" s="2">
        <v>9426.31</v>
      </c>
      <c r="Q24" s="2">
        <v>24684</v>
      </c>
      <c r="R24" s="2"/>
      <c r="S24" s="2" t="s">
        <v>267</v>
      </c>
      <c r="T24" s="2" t="s">
        <v>268</v>
      </c>
      <c r="U24" s="2" t="s">
        <v>125</v>
      </c>
      <c r="V24" s="2" t="s">
        <v>82</v>
      </c>
      <c r="W24" s="2"/>
      <c r="X24" s="2"/>
      <c r="Y24" s="2" t="s">
        <v>105</v>
      </c>
      <c r="Z24" s="2"/>
      <c r="AA24" s="2"/>
      <c r="AB24" s="3">
        <v>46148</v>
      </c>
      <c r="AC24" s="2">
        <v>80037</v>
      </c>
      <c r="AD24" s="2"/>
      <c r="AE24" s="2"/>
      <c r="AF24" s="3">
        <v>46149</v>
      </c>
      <c r="AG24" s="5">
        <v>46148.806250000001</v>
      </c>
      <c r="AH24" s="2"/>
      <c r="AI24" s="2"/>
      <c r="AJ24" s="2"/>
      <c r="AK24" s="2">
        <v>0</v>
      </c>
      <c r="AL24" s="2"/>
      <c r="AM24" s="2" t="s">
        <v>269</v>
      </c>
      <c r="AN24" s="2" t="s">
        <v>269</v>
      </c>
      <c r="AO24" s="2"/>
      <c r="AP24" s="4"/>
      <c r="AQ24" s="2" t="s">
        <v>140</v>
      </c>
      <c r="AR24" s="4" t="s">
        <v>124</v>
      </c>
      <c r="AS24" s="2">
        <v>0.51975000000000005</v>
      </c>
      <c r="AT24" s="2"/>
      <c r="AU24" s="2"/>
      <c r="AV24" s="2"/>
      <c r="AW24" s="2"/>
      <c r="AX24" s="2" t="s">
        <v>77</v>
      </c>
      <c r="AY24" s="2"/>
      <c r="AZ24" s="2"/>
      <c r="BA24" s="2">
        <v>1865</v>
      </c>
      <c r="BB24" s="2"/>
      <c r="BC24" s="2"/>
      <c r="BD24" s="2"/>
      <c r="BE24" s="2" t="s">
        <v>80</v>
      </c>
      <c r="BF24" s="2" t="s">
        <v>78</v>
      </c>
      <c r="BG24" s="2" t="s">
        <v>269</v>
      </c>
      <c r="BH24" s="2"/>
      <c r="BI24" s="2"/>
      <c r="BJ24" s="2" t="s">
        <v>99</v>
      </c>
      <c r="BK24" s="5">
        <v>46148.806932870371</v>
      </c>
      <c r="BL24" s="2"/>
      <c r="BM24" s="2"/>
      <c r="BN24" s="5">
        <v>46148.651238425926</v>
      </c>
      <c r="BO24" s="2" t="s">
        <v>119</v>
      </c>
      <c r="BP24" s="2" t="s">
        <v>79</v>
      </c>
      <c r="BQ24" s="2"/>
      <c r="BR24" s="2"/>
      <c r="BS24" s="2" t="s">
        <v>97</v>
      </c>
      <c r="BT24" s="2" t="s">
        <v>125</v>
      </c>
      <c r="BU24" s="2" t="s">
        <v>143</v>
      </c>
      <c r="BV24" s="2"/>
      <c r="BW24" s="2" t="s">
        <v>120</v>
      </c>
    </row>
    <row r="25" spans="1:75" ht="30" x14ac:dyDescent="0.25">
      <c r="A25" s="2">
        <v>5533132</v>
      </c>
      <c r="B25" s="3">
        <v>46148</v>
      </c>
      <c r="C25" s="2" t="s">
        <v>133</v>
      </c>
      <c r="D25" s="2" t="s">
        <v>134</v>
      </c>
      <c r="E25" s="2" t="s">
        <v>75</v>
      </c>
      <c r="F25" s="2" t="s">
        <v>118</v>
      </c>
      <c r="G25" s="2">
        <v>47002843643</v>
      </c>
      <c r="H25" s="4" t="s">
        <v>270</v>
      </c>
      <c r="I25" s="2" t="s">
        <v>98</v>
      </c>
      <c r="J25" s="2"/>
      <c r="K25" s="2"/>
      <c r="L25" s="2"/>
      <c r="M25" s="2"/>
      <c r="N25" s="2">
        <v>34.92</v>
      </c>
      <c r="O25" s="2">
        <v>6</v>
      </c>
      <c r="P25" s="2">
        <v>8709.92</v>
      </c>
      <c r="Q25" s="2">
        <v>47070</v>
      </c>
      <c r="R25" s="2"/>
      <c r="S25" s="2" t="s">
        <v>271</v>
      </c>
      <c r="T25" s="2" t="s">
        <v>272</v>
      </c>
      <c r="U25" s="2" t="s">
        <v>273</v>
      </c>
      <c r="V25" s="2" t="s">
        <v>82</v>
      </c>
      <c r="W25" s="2"/>
      <c r="X25" s="2"/>
      <c r="Y25" s="2" t="s">
        <v>274</v>
      </c>
      <c r="Z25" s="2"/>
      <c r="AA25" s="2"/>
      <c r="AB25" s="3">
        <v>46148</v>
      </c>
      <c r="AC25" s="2">
        <v>79971</v>
      </c>
      <c r="AD25" s="2"/>
      <c r="AE25" s="2"/>
      <c r="AF25" s="3">
        <v>46149</v>
      </c>
      <c r="AG25" s="5">
        <v>46148.800000000003</v>
      </c>
      <c r="AH25" s="2"/>
      <c r="AI25" s="2"/>
      <c r="AJ25" s="2"/>
      <c r="AK25" s="2">
        <v>0</v>
      </c>
      <c r="AL25" s="2"/>
      <c r="AM25" s="2" t="s">
        <v>275</v>
      </c>
      <c r="AN25" s="2" t="s">
        <v>275</v>
      </c>
      <c r="AO25" s="2"/>
      <c r="AP25" s="4"/>
      <c r="AQ25" s="2" t="s">
        <v>140</v>
      </c>
      <c r="AR25" s="4" t="s">
        <v>276</v>
      </c>
      <c r="AS25" s="2">
        <v>71.819999999999993</v>
      </c>
      <c r="AT25" s="2"/>
      <c r="AU25" s="2"/>
      <c r="AV25" s="2"/>
      <c r="AW25" s="2"/>
      <c r="AX25" s="2" t="s">
        <v>77</v>
      </c>
      <c r="AY25" s="2"/>
      <c r="AZ25" s="2"/>
      <c r="BA25" s="2">
        <v>1878</v>
      </c>
      <c r="BB25" s="2"/>
      <c r="BC25" s="2"/>
      <c r="BD25" s="2"/>
      <c r="BE25" s="2" t="s">
        <v>80</v>
      </c>
      <c r="BF25" s="2" t="s">
        <v>78</v>
      </c>
      <c r="BG25" s="2" t="s">
        <v>275</v>
      </c>
      <c r="BH25" s="2"/>
      <c r="BI25" s="2"/>
      <c r="BJ25" s="2" t="s">
        <v>99</v>
      </c>
      <c r="BK25" s="5">
        <v>46148.800416666665</v>
      </c>
      <c r="BL25" s="2"/>
      <c r="BM25" s="2"/>
      <c r="BN25" s="5">
        <v>46148.651134259257</v>
      </c>
      <c r="BO25" s="2" t="s">
        <v>119</v>
      </c>
      <c r="BP25" s="2" t="s">
        <v>79</v>
      </c>
      <c r="BQ25" s="2"/>
      <c r="BR25" s="2"/>
      <c r="BS25" s="2" t="s">
        <v>277</v>
      </c>
      <c r="BT25" s="2" t="s">
        <v>273</v>
      </c>
      <c r="BU25" s="2" t="s">
        <v>143</v>
      </c>
      <c r="BV25" s="2"/>
      <c r="BW25" s="2" t="s">
        <v>120</v>
      </c>
    </row>
    <row r="26" spans="1:75" ht="45" x14ac:dyDescent="0.25">
      <c r="A26" s="2">
        <v>5533250</v>
      </c>
      <c r="B26" s="3">
        <v>46148</v>
      </c>
      <c r="C26" s="2" t="s">
        <v>133</v>
      </c>
      <c r="D26" s="2" t="s">
        <v>134</v>
      </c>
      <c r="E26" s="2" t="s">
        <v>75</v>
      </c>
      <c r="F26" s="2" t="s">
        <v>118</v>
      </c>
      <c r="G26" s="2">
        <v>47002957697</v>
      </c>
      <c r="H26" s="4" t="s">
        <v>278</v>
      </c>
      <c r="I26" s="2" t="s">
        <v>98</v>
      </c>
      <c r="J26" s="2"/>
      <c r="K26" s="2"/>
      <c r="L26" s="2"/>
      <c r="M26" s="2"/>
      <c r="N26" s="2">
        <v>0.32</v>
      </c>
      <c r="O26" s="2">
        <v>1</v>
      </c>
      <c r="P26" s="2">
        <v>8709.92</v>
      </c>
      <c r="Q26" s="2">
        <v>27618</v>
      </c>
      <c r="R26" s="2"/>
      <c r="S26" s="2" t="s">
        <v>279</v>
      </c>
      <c r="T26" s="2" t="s">
        <v>280</v>
      </c>
      <c r="U26" s="2" t="s">
        <v>273</v>
      </c>
      <c r="V26" s="2" t="s">
        <v>82</v>
      </c>
      <c r="W26" s="2"/>
      <c r="X26" s="2"/>
      <c r="Y26" s="2" t="s">
        <v>274</v>
      </c>
      <c r="Z26" s="2"/>
      <c r="AA26" s="2"/>
      <c r="AB26" s="3">
        <v>46148</v>
      </c>
      <c r="AC26" s="2">
        <v>79971</v>
      </c>
      <c r="AD26" s="2"/>
      <c r="AE26" s="2"/>
      <c r="AF26" s="3">
        <v>46149</v>
      </c>
      <c r="AG26" s="5">
        <v>46148.850694444445</v>
      </c>
      <c r="AH26" s="2"/>
      <c r="AI26" s="2"/>
      <c r="AJ26" s="2"/>
      <c r="AK26" s="2">
        <v>0</v>
      </c>
      <c r="AL26" s="2"/>
      <c r="AM26" s="2" t="s">
        <v>281</v>
      </c>
      <c r="AN26" s="2" t="s">
        <v>281</v>
      </c>
      <c r="AO26" s="2"/>
      <c r="AP26" s="4"/>
      <c r="AQ26" s="2" t="s">
        <v>140</v>
      </c>
      <c r="AR26" s="4" t="s">
        <v>282</v>
      </c>
      <c r="AS26" s="2">
        <v>1.1599999999999999</v>
      </c>
      <c r="AT26" s="2"/>
      <c r="AU26" s="2"/>
      <c r="AV26" s="2"/>
      <c r="AW26" s="2"/>
      <c r="AX26" s="2" t="s">
        <v>77</v>
      </c>
      <c r="AY26" s="2"/>
      <c r="AZ26" s="2"/>
      <c r="BA26" s="2">
        <v>1878</v>
      </c>
      <c r="BB26" s="2"/>
      <c r="BC26" s="2"/>
      <c r="BD26" s="2"/>
      <c r="BE26" s="2" t="s">
        <v>80</v>
      </c>
      <c r="BF26" s="2" t="s">
        <v>78</v>
      </c>
      <c r="BG26" s="2" t="s">
        <v>281</v>
      </c>
      <c r="BH26" s="2"/>
      <c r="BI26" s="2"/>
      <c r="BJ26" s="2" t="s">
        <v>99</v>
      </c>
      <c r="BK26" s="5">
        <v>46148.851111111115</v>
      </c>
      <c r="BL26" s="2"/>
      <c r="BM26" s="2"/>
      <c r="BN26" s="5">
        <v>46148.650555555556</v>
      </c>
      <c r="BO26" s="2" t="s">
        <v>119</v>
      </c>
      <c r="BP26" s="2" t="s">
        <v>79</v>
      </c>
      <c r="BQ26" s="2"/>
      <c r="BR26" s="2"/>
      <c r="BS26" s="2" t="s">
        <v>277</v>
      </c>
      <c r="BT26" s="2" t="s">
        <v>273</v>
      </c>
      <c r="BU26" s="2" t="s">
        <v>143</v>
      </c>
      <c r="BV26" s="2"/>
      <c r="BW26" s="2" t="s">
        <v>120</v>
      </c>
    </row>
    <row r="27" spans="1:75" ht="30" x14ac:dyDescent="0.25">
      <c r="A27" s="2">
        <v>5533267</v>
      </c>
      <c r="B27" s="3">
        <v>46148</v>
      </c>
      <c r="C27" s="2" t="s">
        <v>133</v>
      </c>
      <c r="D27" s="2" t="s">
        <v>134</v>
      </c>
      <c r="E27" s="2" t="s">
        <v>75</v>
      </c>
      <c r="F27" s="2" t="s">
        <v>118</v>
      </c>
      <c r="G27" s="2">
        <v>47002975633</v>
      </c>
      <c r="H27" s="4" t="s">
        <v>283</v>
      </c>
      <c r="I27" s="2" t="s">
        <v>98</v>
      </c>
      <c r="J27" s="2"/>
      <c r="K27" s="2"/>
      <c r="L27" s="2"/>
      <c r="M27" s="2"/>
      <c r="N27" s="2">
        <v>20</v>
      </c>
      <c r="O27" s="2">
        <v>5</v>
      </c>
      <c r="P27" s="2">
        <v>3919.34</v>
      </c>
      <c r="Q27" s="2">
        <v>31450</v>
      </c>
      <c r="R27" s="2"/>
      <c r="S27" s="2" t="s">
        <v>284</v>
      </c>
      <c r="T27" s="2" t="s">
        <v>285</v>
      </c>
      <c r="U27" s="2" t="s">
        <v>123</v>
      </c>
      <c r="V27" s="2" t="s">
        <v>76</v>
      </c>
      <c r="W27" s="2"/>
      <c r="X27" s="2"/>
      <c r="Y27" s="2" t="s">
        <v>132</v>
      </c>
      <c r="Z27" s="2"/>
      <c r="AA27" s="2"/>
      <c r="AB27" s="3">
        <v>46148</v>
      </c>
      <c r="AC27" s="2">
        <v>80043</v>
      </c>
      <c r="AD27" s="2"/>
      <c r="AE27" s="2"/>
      <c r="AF27" s="3">
        <v>46149</v>
      </c>
      <c r="AG27" s="5">
        <v>46148.777083333334</v>
      </c>
      <c r="AH27" s="2"/>
      <c r="AI27" s="2"/>
      <c r="AJ27" s="2"/>
      <c r="AK27" s="2">
        <v>0</v>
      </c>
      <c r="AL27" s="2"/>
      <c r="AM27" s="2" t="s">
        <v>286</v>
      </c>
      <c r="AN27" s="2" t="s">
        <v>286</v>
      </c>
      <c r="AO27" s="2"/>
      <c r="AP27" s="4"/>
      <c r="AQ27" s="2" t="s">
        <v>140</v>
      </c>
      <c r="AR27" s="4" t="s">
        <v>287</v>
      </c>
      <c r="AS27" s="2">
        <v>20</v>
      </c>
      <c r="AT27" s="2"/>
      <c r="AU27" s="2"/>
      <c r="AV27" s="2"/>
      <c r="AW27" s="2"/>
      <c r="AX27" s="2" t="s">
        <v>77</v>
      </c>
      <c r="AY27" s="2"/>
      <c r="AZ27" s="2"/>
      <c r="BA27" s="2">
        <v>1428</v>
      </c>
      <c r="BB27" s="2"/>
      <c r="BC27" s="2"/>
      <c r="BD27" s="2"/>
      <c r="BE27" s="2" t="s">
        <v>80</v>
      </c>
      <c r="BF27" s="2" t="s">
        <v>78</v>
      </c>
      <c r="BG27" s="2" t="s">
        <v>286</v>
      </c>
      <c r="BH27" s="2"/>
      <c r="BI27" s="2"/>
      <c r="BJ27" s="2" t="s">
        <v>99</v>
      </c>
      <c r="BK27" s="5">
        <v>46148.777268518519</v>
      </c>
      <c r="BL27" s="2"/>
      <c r="BM27" s="2"/>
      <c r="BN27" s="5">
        <v>46148.651319444441</v>
      </c>
      <c r="BO27" s="2" t="s">
        <v>119</v>
      </c>
      <c r="BP27" s="2" t="s">
        <v>79</v>
      </c>
      <c r="BQ27" s="2"/>
      <c r="BR27" s="2"/>
      <c r="BS27" s="2" t="s">
        <v>88</v>
      </c>
      <c r="BT27" s="2" t="s">
        <v>88</v>
      </c>
      <c r="BU27" s="2" t="s">
        <v>143</v>
      </c>
      <c r="BV27" s="2"/>
      <c r="BW27" s="2" t="s">
        <v>120</v>
      </c>
    </row>
    <row r="28" spans="1:75" x14ac:dyDescent="0.25">
      <c r="A28" s="2">
        <v>5533282</v>
      </c>
      <c r="B28" s="3">
        <v>46148</v>
      </c>
      <c r="C28" s="2" t="s">
        <v>133</v>
      </c>
      <c r="D28" s="2" t="s">
        <v>134</v>
      </c>
      <c r="E28" s="2" t="s">
        <v>75</v>
      </c>
      <c r="F28" s="2" t="s">
        <v>118</v>
      </c>
      <c r="G28" s="2">
        <v>47003272760</v>
      </c>
      <c r="H28" s="4" t="s">
        <v>288</v>
      </c>
      <c r="I28" s="2" t="s">
        <v>98</v>
      </c>
      <c r="J28" s="2"/>
      <c r="K28" s="2"/>
      <c r="L28" s="2"/>
      <c r="M28" s="2"/>
      <c r="N28" s="2">
        <v>12.75</v>
      </c>
      <c r="O28" s="2">
        <v>5</v>
      </c>
      <c r="P28" s="2">
        <v>3919.34</v>
      </c>
      <c r="Q28" s="2">
        <v>364220</v>
      </c>
      <c r="R28" s="2"/>
      <c r="S28" s="2" t="s">
        <v>289</v>
      </c>
      <c r="T28" s="2" t="s">
        <v>290</v>
      </c>
      <c r="U28" s="2" t="s">
        <v>123</v>
      </c>
      <c r="V28" s="2" t="s">
        <v>76</v>
      </c>
      <c r="W28" s="2"/>
      <c r="X28" s="2"/>
      <c r="Y28" s="2" t="s">
        <v>90</v>
      </c>
      <c r="Z28" s="2"/>
      <c r="AA28" s="2"/>
      <c r="AB28" s="3">
        <v>46148</v>
      </c>
      <c r="AC28" s="2">
        <v>79897</v>
      </c>
      <c r="AD28" s="2"/>
      <c r="AE28" s="2"/>
      <c r="AF28" s="3">
        <v>46149</v>
      </c>
      <c r="AG28" s="5">
        <v>46148.780555555553</v>
      </c>
      <c r="AH28" s="2"/>
      <c r="AI28" s="2"/>
      <c r="AJ28" s="2"/>
      <c r="AK28" s="2">
        <v>0</v>
      </c>
      <c r="AL28" s="2"/>
      <c r="AM28" s="2" t="s">
        <v>291</v>
      </c>
      <c r="AN28" s="2" t="s">
        <v>291</v>
      </c>
      <c r="AO28" s="2"/>
      <c r="AP28" s="4"/>
      <c r="AQ28" s="2" t="s">
        <v>140</v>
      </c>
      <c r="AR28" s="4" t="s">
        <v>292</v>
      </c>
      <c r="AS28" s="2">
        <v>12.75</v>
      </c>
      <c r="AT28" s="2"/>
      <c r="AU28" s="2"/>
      <c r="AV28" s="2"/>
      <c r="AW28" s="2"/>
      <c r="AX28" s="2" t="s">
        <v>77</v>
      </c>
      <c r="AY28" s="2"/>
      <c r="AZ28" s="2"/>
      <c r="BA28" s="2">
        <v>1426</v>
      </c>
      <c r="BB28" s="2"/>
      <c r="BC28" s="2"/>
      <c r="BD28" s="2"/>
      <c r="BE28" s="2"/>
      <c r="BF28" s="2" t="s">
        <v>78</v>
      </c>
      <c r="BG28" s="2" t="s">
        <v>291</v>
      </c>
      <c r="BH28" s="2"/>
      <c r="BI28" s="2"/>
      <c r="BJ28" s="2" t="s">
        <v>99</v>
      </c>
      <c r="BK28" s="5">
        <v>46148.780949074076</v>
      </c>
      <c r="BL28" s="2"/>
      <c r="BM28" s="2"/>
      <c r="BN28" s="5">
        <v>46148.650914351849</v>
      </c>
      <c r="BO28" s="2" t="s">
        <v>119</v>
      </c>
      <c r="BP28" s="2" t="s">
        <v>79</v>
      </c>
      <c r="BQ28" s="2"/>
      <c r="BR28" s="2"/>
      <c r="BS28" s="2" t="s">
        <v>86</v>
      </c>
      <c r="BT28" s="2" t="s">
        <v>86</v>
      </c>
      <c r="BU28" s="2" t="s">
        <v>143</v>
      </c>
      <c r="BV28" s="2"/>
      <c r="BW28" s="2" t="s">
        <v>120</v>
      </c>
    </row>
    <row r="29" spans="1:75" ht="30" x14ac:dyDescent="0.25">
      <c r="A29" s="2">
        <v>5533415</v>
      </c>
      <c r="B29" s="3">
        <v>46148</v>
      </c>
      <c r="C29" s="2" t="s">
        <v>133</v>
      </c>
      <c r="D29" s="2" t="s">
        <v>134</v>
      </c>
      <c r="E29" s="2" t="s">
        <v>75</v>
      </c>
      <c r="F29" s="2" t="s">
        <v>118</v>
      </c>
      <c r="G29" s="2">
        <v>47003386430</v>
      </c>
      <c r="H29" s="4" t="s">
        <v>293</v>
      </c>
      <c r="I29" s="2" t="s">
        <v>98</v>
      </c>
      <c r="J29" s="2"/>
      <c r="K29" s="2"/>
      <c r="L29" s="2"/>
      <c r="M29" s="2"/>
      <c r="N29" s="2">
        <v>0.44</v>
      </c>
      <c r="O29" s="2">
        <v>1</v>
      </c>
      <c r="P29" s="2">
        <v>3919.34</v>
      </c>
      <c r="Q29" s="2">
        <v>5480</v>
      </c>
      <c r="R29" s="2"/>
      <c r="S29" s="2" t="s">
        <v>294</v>
      </c>
      <c r="T29" s="2" t="s">
        <v>295</v>
      </c>
      <c r="U29" s="2" t="s">
        <v>296</v>
      </c>
      <c r="V29" s="2" t="s">
        <v>76</v>
      </c>
      <c r="W29" s="2"/>
      <c r="X29" s="2"/>
      <c r="Y29" s="2" t="s">
        <v>297</v>
      </c>
      <c r="Z29" s="2"/>
      <c r="AA29" s="2"/>
      <c r="AB29" s="3">
        <v>46148</v>
      </c>
      <c r="AC29" s="2">
        <v>79958</v>
      </c>
      <c r="AD29" s="2"/>
      <c r="AE29" s="2"/>
      <c r="AF29" s="3">
        <v>46149</v>
      </c>
      <c r="AG29" s="5">
        <v>46148.799305555556</v>
      </c>
      <c r="AH29" s="2"/>
      <c r="AI29" s="2"/>
      <c r="AJ29" s="2"/>
      <c r="AK29" s="2">
        <v>0</v>
      </c>
      <c r="AL29" s="2"/>
      <c r="AM29" s="2" t="s">
        <v>298</v>
      </c>
      <c r="AN29" s="2" t="s">
        <v>298</v>
      </c>
      <c r="AO29" s="2"/>
      <c r="AP29" s="4"/>
      <c r="AQ29" s="2" t="s">
        <v>140</v>
      </c>
      <c r="AR29" s="4" t="s">
        <v>299</v>
      </c>
      <c r="AS29" s="2">
        <v>0.52900000000000003</v>
      </c>
      <c r="AT29" s="2"/>
      <c r="AU29" s="2"/>
      <c r="AV29" s="2"/>
      <c r="AW29" s="2"/>
      <c r="AX29" s="2" t="s">
        <v>77</v>
      </c>
      <c r="AY29" s="2"/>
      <c r="AZ29" s="2"/>
      <c r="BA29" s="2">
        <v>1407</v>
      </c>
      <c r="BB29" s="2"/>
      <c r="BC29" s="2"/>
      <c r="BD29" s="2"/>
      <c r="BE29" s="2" t="s">
        <v>80</v>
      </c>
      <c r="BF29" s="2" t="s">
        <v>78</v>
      </c>
      <c r="BG29" s="2" t="s">
        <v>298</v>
      </c>
      <c r="BH29" s="2"/>
      <c r="BI29" s="2"/>
      <c r="BJ29" s="2" t="s">
        <v>99</v>
      </c>
      <c r="BK29" s="5">
        <v>46148.799722222226</v>
      </c>
      <c r="BL29" s="2"/>
      <c r="BM29" s="2"/>
      <c r="BN29" s="5">
        <v>46148.650590277779</v>
      </c>
      <c r="BO29" s="2" t="s">
        <v>119</v>
      </c>
      <c r="BP29" s="2" t="s">
        <v>79</v>
      </c>
      <c r="BQ29" s="2"/>
      <c r="BR29" s="2"/>
      <c r="BS29" s="2" t="s">
        <v>89</v>
      </c>
      <c r="BT29" s="2" t="s">
        <v>89</v>
      </c>
      <c r="BU29" s="2" t="s">
        <v>143</v>
      </c>
      <c r="BV29" s="2"/>
      <c r="BW29" s="2" t="s">
        <v>120</v>
      </c>
    </row>
    <row r="30" spans="1:75" ht="30" x14ac:dyDescent="0.25">
      <c r="A30" s="2">
        <v>5533481</v>
      </c>
      <c r="B30" s="3">
        <v>46148</v>
      </c>
      <c r="C30" s="2" t="s">
        <v>133</v>
      </c>
      <c r="D30" s="2" t="s">
        <v>134</v>
      </c>
      <c r="E30" s="2" t="s">
        <v>75</v>
      </c>
      <c r="F30" s="2" t="s">
        <v>118</v>
      </c>
      <c r="G30" s="2">
        <v>47003169265</v>
      </c>
      <c r="H30" s="4" t="s">
        <v>300</v>
      </c>
      <c r="I30" s="2" t="s">
        <v>98</v>
      </c>
      <c r="J30" s="2"/>
      <c r="K30" s="2"/>
      <c r="L30" s="2"/>
      <c r="M30" s="2"/>
      <c r="N30" s="2">
        <v>0.72</v>
      </c>
      <c r="O30" s="2">
        <v>3</v>
      </c>
      <c r="P30" s="2">
        <v>8709.92</v>
      </c>
      <c r="Q30" s="2">
        <v>23547</v>
      </c>
      <c r="R30" s="2"/>
      <c r="S30" s="2" t="s">
        <v>301</v>
      </c>
      <c r="T30" s="2" t="s">
        <v>302</v>
      </c>
      <c r="U30" s="2" t="s">
        <v>303</v>
      </c>
      <c r="V30" s="2" t="s">
        <v>82</v>
      </c>
      <c r="W30" s="2"/>
      <c r="X30" s="2"/>
      <c r="Y30" s="2" t="s">
        <v>304</v>
      </c>
      <c r="Z30" s="2"/>
      <c r="AA30" s="2"/>
      <c r="AB30" s="3">
        <v>46148</v>
      </c>
      <c r="AC30" s="2">
        <v>80020</v>
      </c>
      <c r="AD30" s="2"/>
      <c r="AE30" s="2"/>
      <c r="AF30" s="3">
        <v>46149</v>
      </c>
      <c r="AG30" s="5">
        <v>46148.831250000003</v>
      </c>
      <c r="AH30" s="2"/>
      <c r="AI30" s="2"/>
      <c r="AJ30" s="2"/>
      <c r="AK30" s="2">
        <v>0</v>
      </c>
      <c r="AL30" s="2"/>
      <c r="AM30" s="2" t="s">
        <v>305</v>
      </c>
      <c r="AN30" s="2" t="s">
        <v>305</v>
      </c>
      <c r="AO30" s="2"/>
      <c r="AP30" s="4"/>
      <c r="AQ30" s="2" t="s">
        <v>140</v>
      </c>
      <c r="AR30" s="4" t="s">
        <v>306</v>
      </c>
      <c r="AS30" s="2">
        <v>2.1419999999999999</v>
      </c>
      <c r="AT30" s="2"/>
      <c r="AU30" s="2"/>
      <c r="AV30" s="2"/>
      <c r="AW30" s="2"/>
      <c r="AX30" s="2" t="s">
        <v>77</v>
      </c>
      <c r="AY30" s="2"/>
      <c r="AZ30" s="2"/>
      <c r="BA30" s="2">
        <v>1617</v>
      </c>
      <c r="BB30" s="2"/>
      <c r="BC30" s="2"/>
      <c r="BD30" s="2"/>
      <c r="BE30" s="2"/>
      <c r="BF30" s="2" t="s">
        <v>78</v>
      </c>
      <c r="BG30" s="2" t="s">
        <v>305</v>
      </c>
      <c r="BH30" s="2"/>
      <c r="BI30" s="2"/>
      <c r="BJ30" s="2" t="s">
        <v>99</v>
      </c>
      <c r="BK30" s="5">
        <v>46148.831284722219</v>
      </c>
      <c r="BL30" s="2"/>
      <c r="BM30" s="2"/>
      <c r="BN30" s="5">
        <v>46148.651180555556</v>
      </c>
      <c r="BO30" s="2" t="s">
        <v>119</v>
      </c>
      <c r="BP30" s="2" t="s">
        <v>79</v>
      </c>
      <c r="BQ30" s="2"/>
      <c r="BR30" s="2"/>
      <c r="BS30" s="2" t="s">
        <v>100</v>
      </c>
      <c r="BT30" s="2" t="s">
        <v>303</v>
      </c>
      <c r="BU30" s="2" t="s">
        <v>143</v>
      </c>
      <c r="BV30" s="2"/>
      <c r="BW30" s="2" t="s">
        <v>120</v>
      </c>
    </row>
    <row r="31" spans="1:75" ht="30" x14ac:dyDescent="0.25">
      <c r="A31" s="2">
        <v>5533483</v>
      </c>
      <c r="B31" s="3">
        <v>46148</v>
      </c>
      <c r="C31" s="2" t="s">
        <v>133</v>
      </c>
      <c r="D31" s="2" t="s">
        <v>134</v>
      </c>
      <c r="E31" s="2" t="s">
        <v>75</v>
      </c>
      <c r="F31" s="2" t="s">
        <v>118</v>
      </c>
      <c r="G31" s="2">
        <v>47003446316</v>
      </c>
      <c r="H31" s="4" t="s">
        <v>307</v>
      </c>
      <c r="I31" s="2" t="s">
        <v>98</v>
      </c>
      <c r="J31" s="2"/>
      <c r="K31" s="2"/>
      <c r="L31" s="2"/>
      <c r="M31" s="2"/>
      <c r="N31" s="2">
        <v>11.16</v>
      </c>
      <c r="O31" s="2">
        <v>2</v>
      </c>
      <c r="P31" s="2">
        <v>3919.34</v>
      </c>
      <c r="Q31" s="2">
        <v>138349.62</v>
      </c>
      <c r="R31" s="2"/>
      <c r="S31" s="2" t="s">
        <v>308</v>
      </c>
      <c r="T31" s="2" t="s">
        <v>309</v>
      </c>
      <c r="U31" s="2" t="s">
        <v>95</v>
      </c>
      <c r="V31" s="2" t="s">
        <v>76</v>
      </c>
      <c r="W31" s="2"/>
      <c r="X31" s="2"/>
      <c r="Y31" s="2" t="s">
        <v>310</v>
      </c>
      <c r="Z31" s="2"/>
      <c r="AA31" s="2"/>
      <c r="AB31" s="3">
        <v>46148</v>
      </c>
      <c r="AC31" s="2">
        <v>80049</v>
      </c>
      <c r="AD31" s="2"/>
      <c r="AE31" s="2"/>
      <c r="AF31" s="3">
        <v>46149</v>
      </c>
      <c r="AG31" s="5">
        <v>46148.845138888886</v>
      </c>
      <c r="AH31" s="2"/>
      <c r="AI31" s="2"/>
      <c r="AJ31" s="2"/>
      <c r="AK31" s="2">
        <v>0</v>
      </c>
      <c r="AL31" s="2"/>
      <c r="AM31" s="2" t="s">
        <v>311</v>
      </c>
      <c r="AN31" s="2" t="s">
        <v>311</v>
      </c>
      <c r="AO31" s="2"/>
      <c r="AP31" s="4"/>
      <c r="AQ31" s="2" t="s">
        <v>140</v>
      </c>
      <c r="AR31" s="4" t="s">
        <v>312</v>
      </c>
      <c r="AS31" s="2">
        <v>20.286000000000001</v>
      </c>
      <c r="AT31" s="2"/>
      <c r="AU31" s="2"/>
      <c r="AV31" s="2"/>
      <c r="AW31" s="2"/>
      <c r="AX31" s="2" t="s">
        <v>77</v>
      </c>
      <c r="AY31" s="2"/>
      <c r="AZ31" s="2"/>
      <c r="BA31" s="2">
        <v>1425</v>
      </c>
      <c r="BB31" s="2"/>
      <c r="BC31" s="2"/>
      <c r="BD31" s="2"/>
      <c r="BE31" s="2" t="s">
        <v>80</v>
      </c>
      <c r="BF31" s="2" t="s">
        <v>78</v>
      </c>
      <c r="BG31" s="2" t="s">
        <v>311</v>
      </c>
      <c r="BH31" s="2"/>
      <c r="BI31" s="2"/>
      <c r="BJ31" s="2" t="s">
        <v>99</v>
      </c>
      <c r="BK31" s="5">
        <v>46148.845717592594</v>
      </c>
      <c r="BL31" s="2"/>
      <c r="BM31" s="2"/>
      <c r="BN31" s="5">
        <v>46148.650671296295</v>
      </c>
      <c r="BO31" s="2" t="s">
        <v>119</v>
      </c>
      <c r="BP31" s="2" t="s">
        <v>79</v>
      </c>
      <c r="BQ31" s="2"/>
      <c r="BR31" s="2"/>
      <c r="BS31" s="2" t="s">
        <v>86</v>
      </c>
      <c r="BT31" s="2" t="s">
        <v>86</v>
      </c>
      <c r="BU31" s="2" t="s">
        <v>143</v>
      </c>
      <c r="BV31" s="2"/>
      <c r="BW31" s="2" t="s">
        <v>120</v>
      </c>
    </row>
    <row r="32" spans="1:75" ht="30" x14ac:dyDescent="0.25">
      <c r="A32" s="2">
        <v>5534010</v>
      </c>
      <c r="B32" s="3">
        <v>46148</v>
      </c>
      <c r="C32" s="2" t="s">
        <v>133</v>
      </c>
      <c r="D32" s="2" t="s">
        <v>134</v>
      </c>
      <c r="E32" s="2" t="s">
        <v>75</v>
      </c>
      <c r="F32" s="2" t="s">
        <v>118</v>
      </c>
      <c r="G32" s="2">
        <v>47003796464</v>
      </c>
      <c r="H32" s="4" t="s">
        <v>313</v>
      </c>
      <c r="I32" s="2" t="s">
        <v>98</v>
      </c>
      <c r="J32" s="2"/>
      <c r="K32" s="2"/>
      <c r="L32" s="2"/>
      <c r="M32" s="2"/>
      <c r="N32" s="2">
        <v>1.22</v>
      </c>
      <c r="O32" s="2">
        <v>2</v>
      </c>
      <c r="P32" s="2">
        <v>6265.34</v>
      </c>
      <c r="Q32" s="2">
        <v>25042</v>
      </c>
      <c r="R32" s="2"/>
      <c r="S32" s="2" t="s">
        <v>314</v>
      </c>
      <c r="T32" s="2" t="s">
        <v>315</v>
      </c>
      <c r="U32" s="2" t="s">
        <v>316</v>
      </c>
      <c r="V32" s="2" t="s">
        <v>82</v>
      </c>
      <c r="W32" s="2"/>
      <c r="X32" s="2"/>
      <c r="Y32" s="2" t="s">
        <v>107</v>
      </c>
      <c r="Z32" s="2"/>
      <c r="AA32" s="2"/>
      <c r="AB32" s="3">
        <v>46148</v>
      </c>
      <c r="AC32" s="2">
        <v>79961</v>
      </c>
      <c r="AD32" s="2"/>
      <c r="AE32" s="2"/>
      <c r="AF32" s="3">
        <v>46149</v>
      </c>
      <c r="AG32" s="5">
        <v>46148.74722222222</v>
      </c>
      <c r="AH32" s="2"/>
      <c r="AI32" s="2"/>
      <c r="AJ32" s="2"/>
      <c r="AK32" s="2">
        <v>0</v>
      </c>
      <c r="AL32" s="2"/>
      <c r="AM32" s="2" t="s">
        <v>317</v>
      </c>
      <c r="AN32" s="2" t="s">
        <v>317</v>
      </c>
      <c r="AO32" s="2"/>
      <c r="AP32" s="4"/>
      <c r="AQ32" s="2" t="s">
        <v>140</v>
      </c>
      <c r="AR32" s="4" t="s">
        <v>318</v>
      </c>
      <c r="AS32" s="2">
        <v>4.9874999999999998</v>
      </c>
      <c r="AT32" s="2"/>
      <c r="AU32" s="2"/>
      <c r="AV32" s="2"/>
      <c r="AW32" s="2"/>
      <c r="AX32" s="2" t="s">
        <v>77</v>
      </c>
      <c r="AY32" s="2"/>
      <c r="AZ32" s="2"/>
      <c r="BA32" s="2">
        <v>1824</v>
      </c>
      <c r="BB32" s="2"/>
      <c r="BC32" s="2"/>
      <c r="BD32" s="2"/>
      <c r="BE32" s="2" t="s">
        <v>80</v>
      </c>
      <c r="BF32" s="2" t="s">
        <v>78</v>
      </c>
      <c r="BG32" s="2" t="s">
        <v>317</v>
      </c>
      <c r="BH32" s="2"/>
      <c r="BI32" s="2"/>
      <c r="BJ32" s="2" t="s">
        <v>99</v>
      </c>
      <c r="BK32" s="5">
        <v>46148.747418981482</v>
      </c>
      <c r="BL32" s="2"/>
      <c r="BM32" s="2"/>
      <c r="BN32" s="5">
        <v>46148.650509259256</v>
      </c>
      <c r="BO32" s="2" t="s">
        <v>119</v>
      </c>
      <c r="BP32" s="2" t="s">
        <v>79</v>
      </c>
      <c r="BQ32" s="2"/>
      <c r="BR32" s="2"/>
      <c r="BS32" s="2" t="s">
        <v>83</v>
      </c>
      <c r="BT32" s="2" t="s">
        <v>108</v>
      </c>
      <c r="BU32" s="2" t="s">
        <v>143</v>
      </c>
      <c r="BV32" s="2"/>
      <c r="BW32" s="2" t="s">
        <v>120</v>
      </c>
    </row>
    <row r="33" spans="1:75" ht="45" x14ac:dyDescent="0.25">
      <c r="A33" s="2">
        <v>5534025</v>
      </c>
      <c r="B33" s="3">
        <v>46148</v>
      </c>
      <c r="C33" s="2" t="s">
        <v>133</v>
      </c>
      <c r="D33" s="2" t="s">
        <v>134</v>
      </c>
      <c r="E33" s="2" t="s">
        <v>75</v>
      </c>
      <c r="F33" s="2"/>
      <c r="G33" s="2">
        <v>47003546681</v>
      </c>
      <c r="H33" s="4" t="s">
        <v>319</v>
      </c>
      <c r="I33" s="2" t="s">
        <v>98</v>
      </c>
      <c r="J33" s="2"/>
      <c r="K33" s="2"/>
      <c r="L33" s="2"/>
      <c r="M33" s="2"/>
      <c r="N33" s="2">
        <v>1.85</v>
      </c>
      <c r="O33" s="2">
        <v>1</v>
      </c>
      <c r="P33" s="2">
        <v>3919.34</v>
      </c>
      <c r="Q33" s="2">
        <v>51995</v>
      </c>
      <c r="R33" s="2"/>
      <c r="S33" s="2" t="s">
        <v>320</v>
      </c>
      <c r="T33" s="2" t="s">
        <v>321</v>
      </c>
      <c r="U33" s="2" t="s">
        <v>322</v>
      </c>
      <c r="V33" s="2" t="s">
        <v>76</v>
      </c>
      <c r="W33" s="2"/>
      <c r="X33" s="2"/>
      <c r="Y33" s="2" t="s">
        <v>104</v>
      </c>
      <c r="Z33" s="2"/>
      <c r="AA33" s="2"/>
      <c r="AB33" s="3">
        <v>46148</v>
      </c>
      <c r="AC33" s="2">
        <v>79944</v>
      </c>
      <c r="AD33" s="2"/>
      <c r="AE33" s="2"/>
      <c r="AF33" s="3">
        <v>46149</v>
      </c>
      <c r="AG33" s="5">
        <v>46148.815196759257</v>
      </c>
      <c r="AH33" s="2" t="s">
        <v>320</v>
      </c>
      <c r="AI33" s="2"/>
      <c r="AJ33" s="2"/>
      <c r="AK33" s="2">
        <v>0</v>
      </c>
      <c r="AL33" s="2"/>
      <c r="AM33" s="2" t="s">
        <v>323</v>
      </c>
      <c r="AN33" s="2" t="s">
        <v>323</v>
      </c>
      <c r="AO33" s="2"/>
      <c r="AP33" s="4"/>
      <c r="AQ33" s="2" t="s">
        <v>140</v>
      </c>
      <c r="AR33" s="4" t="s">
        <v>324</v>
      </c>
      <c r="AS33" s="2">
        <v>5.5687499999999996</v>
      </c>
      <c r="AT33" s="2"/>
      <c r="AU33" s="2"/>
      <c r="AV33" s="2"/>
      <c r="AW33" s="2"/>
      <c r="AX33" s="2" t="s">
        <v>77</v>
      </c>
      <c r="AY33" s="2"/>
      <c r="AZ33" s="2"/>
      <c r="BA33" s="2">
        <v>1424</v>
      </c>
      <c r="BB33" s="2"/>
      <c r="BC33" s="2"/>
      <c r="BD33" s="2"/>
      <c r="BE33" s="2" t="s">
        <v>80</v>
      </c>
      <c r="BF33" s="2" t="s">
        <v>78</v>
      </c>
      <c r="BG33" s="2" t="s">
        <v>323</v>
      </c>
      <c r="BH33" s="2"/>
      <c r="BI33" s="2"/>
      <c r="BJ33" s="2" t="s">
        <v>99</v>
      </c>
      <c r="BK33" s="5">
        <v>46148.815196759257</v>
      </c>
      <c r="BL33" s="2"/>
      <c r="BM33" s="2"/>
      <c r="BN33" s="5">
        <v>46148.651377314818</v>
      </c>
      <c r="BO33" s="2" t="s">
        <v>119</v>
      </c>
      <c r="BP33" s="2" t="s">
        <v>79</v>
      </c>
      <c r="BQ33" s="2"/>
      <c r="BR33" s="2"/>
      <c r="BS33" s="2" t="s">
        <v>81</v>
      </c>
      <c r="BT33" s="2" t="s">
        <v>81</v>
      </c>
      <c r="BU33" s="2" t="s">
        <v>143</v>
      </c>
      <c r="BV33" s="2"/>
      <c r="BW33" s="2" t="s">
        <v>120</v>
      </c>
    </row>
    <row r="34" spans="1:75" x14ac:dyDescent="0.25">
      <c r="A34" s="2">
        <v>5534036</v>
      </c>
      <c r="B34" s="3">
        <v>46148</v>
      </c>
      <c r="C34" s="2" t="s">
        <v>133</v>
      </c>
      <c r="D34" s="2" t="s">
        <v>134</v>
      </c>
      <c r="E34" s="2" t="s">
        <v>75</v>
      </c>
      <c r="F34" s="2" t="s">
        <v>118</v>
      </c>
      <c r="G34" s="2">
        <v>47003067298</v>
      </c>
      <c r="H34" s="4" t="s">
        <v>325</v>
      </c>
      <c r="I34" s="2" t="s">
        <v>98</v>
      </c>
      <c r="J34" s="2"/>
      <c r="K34" s="2"/>
      <c r="L34" s="2"/>
      <c r="M34" s="2"/>
      <c r="N34" s="2">
        <v>3.2</v>
      </c>
      <c r="O34" s="2">
        <v>2</v>
      </c>
      <c r="P34" s="2">
        <v>9426.31</v>
      </c>
      <c r="Q34" s="2">
        <v>61634</v>
      </c>
      <c r="R34" s="2"/>
      <c r="S34" s="2" t="s">
        <v>326</v>
      </c>
      <c r="T34" s="2" t="s">
        <v>327</v>
      </c>
      <c r="U34" s="2" t="s">
        <v>328</v>
      </c>
      <c r="V34" s="2" t="s">
        <v>82</v>
      </c>
      <c r="W34" s="2"/>
      <c r="X34" s="2"/>
      <c r="Y34" s="2" t="s">
        <v>91</v>
      </c>
      <c r="Z34" s="2"/>
      <c r="AA34" s="2"/>
      <c r="AB34" s="3">
        <v>46148</v>
      </c>
      <c r="AC34" s="2">
        <v>79900</v>
      </c>
      <c r="AD34" s="2"/>
      <c r="AE34" s="2"/>
      <c r="AF34" s="3">
        <v>46149</v>
      </c>
      <c r="AG34" s="5">
        <v>46148.777777777781</v>
      </c>
      <c r="AH34" s="2"/>
      <c r="AI34" s="2"/>
      <c r="AJ34" s="2"/>
      <c r="AK34" s="2">
        <v>0</v>
      </c>
      <c r="AL34" s="2"/>
      <c r="AM34" s="2" t="s">
        <v>329</v>
      </c>
      <c r="AN34" s="2" t="s">
        <v>329</v>
      </c>
      <c r="AO34" s="2"/>
      <c r="AP34" s="4"/>
      <c r="AQ34" s="2" t="s">
        <v>140</v>
      </c>
      <c r="AR34" s="4" t="s">
        <v>330</v>
      </c>
      <c r="AS34" s="2">
        <v>3.2</v>
      </c>
      <c r="AT34" s="2"/>
      <c r="AU34" s="2"/>
      <c r="AV34" s="2"/>
      <c r="AW34" s="2"/>
      <c r="AX34" s="2" t="s">
        <v>77</v>
      </c>
      <c r="AY34" s="2"/>
      <c r="AZ34" s="2"/>
      <c r="BA34" s="2">
        <v>1622</v>
      </c>
      <c r="BB34" s="2"/>
      <c r="BC34" s="2"/>
      <c r="BD34" s="2"/>
      <c r="BE34" s="2"/>
      <c r="BF34" s="2" t="s">
        <v>78</v>
      </c>
      <c r="BG34" s="2" t="s">
        <v>329</v>
      </c>
      <c r="BH34" s="2"/>
      <c r="BI34" s="2"/>
      <c r="BJ34" s="2" t="s">
        <v>99</v>
      </c>
      <c r="BK34" s="5">
        <v>46148.777951388889</v>
      </c>
      <c r="BL34" s="2"/>
      <c r="BM34" s="2"/>
      <c r="BN34" s="5">
        <v>46148.651076388887</v>
      </c>
      <c r="BO34" s="2" t="s">
        <v>119</v>
      </c>
      <c r="BP34" s="2" t="s">
        <v>79</v>
      </c>
      <c r="BQ34" s="2"/>
      <c r="BR34" s="2"/>
      <c r="BS34" s="2" t="s">
        <v>102</v>
      </c>
      <c r="BT34" s="2" t="s">
        <v>213</v>
      </c>
      <c r="BU34" s="2" t="s">
        <v>143</v>
      </c>
      <c r="BV34" s="2"/>
      <c r="BW34" s="2" t="s">
        <v>120</v>
      </c>
    </row>
    <row r="35" spans="1:75" ht="45" x14ac:dyDescent="0.25">
      <c r="A35" s="2">
        <v>5534280</v>
      </c>
      <c r="B35" s="3">
        <v>46148</v>
      </c>
      <c r="C35" s="2" t="s">
        <v>133</v>
      </c>
      <c r="D35" s="2" t="s">
        <v>134</v>
      </c>
      <c r="E35" s="2" t="s">
        <v>75</v>
      </c>
      <c r="F35" s="2" t="s">
        <v>118</v>
      </c>
      <c r="G35" s="2">
        <v>47003721201</v>
      </c>
      <c r="H35" s="4" t="s">
        <v>331</v>
      </c>
      <c r="I35" s="2" t="s">
        <v>98</v>
      </c>
      <c r="J35" s="2"/>
      <c r="K35" s="2"/>
      <c r="L35" s="2"/>
      <c r="M35" s="2"/>
      <c r="N35" s="2">
        <v>1.4</v>
      </c>
      <c r="O35" s="2">
        <v>2</v>
      </c>
      <c r="P35" s="2">
        <v>6265.34</v>
      </c>
      <c r="Q35" s="2">
        <v>20074</v>
      </c>
      <c r="R35" s="2"/>
      <c r="S35" s="2" t="s">
        <v>332</v>
      </c>
      <c r="T35" s="2" t="s">
        <v>333</v>
      </c>
      <c r="U35" s="2" t="s">
        <v>334</v>
      </c>
      <c r="V35" s="2" t="s">
        <v>82</v>
      </c>
      <c r="W35" s="2"/>
      <c r="X35" s="2"/>
      <c r="Y35" s="2" t="s">
        <v>93</v>
      </c>
      <c r="Z35" s="2"/>
      <c r="AA35" s="2"/>
      <c r="AB35" s="3">
        <v>46148</v>
      </c>
      <c r="AC35" s="2">
        <v>79938</v>
      </c>
      <c r="AD35" s="2"/>
      <c r="AE35" s="2"/>
      <c r="AF35" s="3">
        <v>46149</v>
      </c>
      <c r="AG35" s="5">
        <v>46148.865277777775</v>
      </c>
      <c r="AH35" s="2"/>
      <c r="AI35" s="2"/>
      <c r="AJ35" s="2"/>
      <c r="AK35" s="2">
        <v>0</v>
      </c>
      <c r="AL35" s="2"/>
      <c r="AM35" s="2" t="s">
        <v>335</v>
      </c>
      <c r="AN35" s="2" t="s">
        <v>335</v>
      </c>
      <c r="AO35" s="2"/>
      <c r="AP35" s="4"/>
      <c r="AQ35" s="2" t="s">
        <v>140</v>
      </c>
      <c r="AR35" s="4" t="s">
        <v>336</v>
      </c>
      <c r="AS35" s="2">
        <v>4.992</v>
      </c>
      <c r="AT35" s="2"/>
      <c r="AU35" s="2"/>
      <c r="AV35" s="2"/>
      <c r="AW35" s="2"/>
      <c r="AX35" s="2" t="s">
        <v>77</v>
      </c>
      <c r="AY35" s="2"/>
      <c r="AZ35" s="2"/>
      <c r="BA35" s="2">
        <v>1704</v>
      </c>
      <c r="BB35" s="2"/>
      <c r="BC35" s="2"/>
      <c r="BD35" s="2"/>
      <c r="BE35" s="2" t="s">
        <v>80</v>
      </c>
      <c r="BF35" s="2" t="s">
        <v>78</v>
      </c>
      <c r="BG35" s="2" t="s">
        <v>335</v>
      </c>
      <c r="BH35" s="2"/>
      <c r="BI35" s="2"/>
      <c r="BJ35" s="2" t="s">
        <v>99</v>
      </c>
      <c r="BK35" s="5">
        <v>46148.865405092591</v>
      </c>
      <c r="BL35" s="2"/>
      <c r="BM35" s="2"/>
      <c r="BN35" s="5">
        <v>46148.650613425925</v>
      </c>
      <c r="BO35" s="2" t="s">
        <v>119</v>
      </c>
      <c r="BP35" s="2" t="s">
        <v>79</v>
      </c>
      <c r="BQ35" s="2"/>
      <c r="BR35" s="2"/>
      <c r="BS35" s="2" t="s">
        <v>94</v>
      </c>
      <c r="BT35" s="2" t="s">
        <v>337</v>
      </c>
      <c r="BU35" s="2" t="s">
        <v>143</v>
      </c>
      <c r="BV35" s="2"/>
      <c r="BW35" s="2" t="s">
        <v>120</v>
      </c>
    </row>
    <row r="36" spans="1:75" x14ac:dyDescent="0.25">
      <c r="A36" s="2">
        <v>5534617</v>
      </c>
      <c r="B36" s="3">
        <v>46148</v>
      </c>
      <c r="C36" s="2" t="s">
        <v>133</v>
      </c>
      <c r="D36" s="2" t="s">
        <v>134</v>
      </c>
      <c r="E36" s="2" t="s">
        <v>75</v>
      </c>
      <c r="F36" s="2" t="s">
        <v>118</v>
      </c>
      <c r="G36" s="2">
        <v>47004473504</v>
      </c>
      <c r="H36" s="4" t="s">
        <v>338</v>
      </c>
      <c r="I36" s="2" t="s">
        <v>98</v>
      </c>
      <c r="J36" s="2"/>
      <c r="K36" s="2"/>
      <c r="L36" s="2"/>
      <c r="M36" s="2"/>
      <c r="N36" s="2">
        <v>0.38</v>
      </c>
      <c r="O36" s="2">
        <v>1</v>
      </c>
      <c r="P36" s="2">
        <v>3919.34</v>
      </c>
      <c r="Q36" s="2">
        <v>13801</v>
      </c>
      <c r="R36" s="2"/>
      <c r="S36" s="2" t="s">
        <v>339</v>
      </c>
      <c r="T36" s="2" t="s">
        <v>340</v>
      </c>
      <c r="U36" s="2" t="s">
        <v>87</v>
      </c>
      <c r="V36" s="2" t="s">
        <v>76</v>
      </c>
      <c r="W36" s="2"/>
      <c r="X36" s="2"/>
      <c r="Y36" s="2" t="s">
        <v>130</v>
      </c>
      <c r="Z36" s="2"/>
      <c r="AA36" s="2"/>
      <c r="AB36" s="3">
        <v>46148</v>
      </c>
      <c r="AC36" s="2">
        <v>80036</v>
      </c>
      <c r="AD36" s="2"/>
      <c r="AE36" s="2"/>
      <c r="AF36" s="3">
        <v>46149</v>
      </c>
      <c r="AG36" s="5">
        <v>46148.850694444445</v>
      </c>
      <c r="AH36" s="2"/>
      <c r="AI36" s="2"/>
      <c r="AJ36" s="2"/>
      <c r="AK36" s="2">
        <v>0</v>
      </c>
      <c r="AL36" s="2"/>
      <c r="AM36" s="2" t="s">
        <v>341</v>
      </c>
      <c r="AN36" s="2" t="s">
        <v>341</v>
      </c>
      <c r="AO36" s="2"/>
      <c r="AP36" s="4"/>
      <c r="AQ36" s="2" t="s">
        <v>140</v>
      </c>
      <c r="AR36" s="4" t="s">
        <v>342</v>
      </c>
      <c r="AS36" s="2">
        <v>1.2477499999999999</v>
      </c>
      <c r="AT36" s="2"/>
      <c r="AU36" s="2"/>
      <c r="AV36" s="2"/>
      <c r="AW36" s="2"/>
      <c r="AX36" s="2" t="s">
        <v>77</v>
      </c>
      <c r="AY36" s="2"/>
      <c r="AZ36" s="2"/>
      <c r="BA36" s="2">
        <v>1424</v>
      </c>
      <c r="BB36" s="2"/>
      <c r="BC36" s="2"/>
      <c r="BD36" s="2"/>
      <c r="BE36" s="2" t="s">
        <v>80</v>
      </c>
      <c r="BF36" s="2" t="s">
        <v>78</v>
      </c>
      <c r="BG36" s="2" t="s">
        <v>341</v>
      </c>
      <c r="BH36" s="2"/>
      <c r="BI36" s="2"/>
      <c r="BJ36" s="2" t="s">
        <v>99</v>
      </c>
      <c r="BK36" s="5">
        <v>46148.850995370369</v>
      </c>
      <c r="BL36" s="2"/>
      <c r="BM36" s="2"/>
      <c r="BN36" s="5">
        <v>46148.651203703703</v>
      </c>
      <c r="BO36" s="2" t="s">
        <v>119</v>
      </c>
      <c r="BP36" s="2" t="s">
        <v>79</v>
      </c>
      <c r="BQ36" s="2"/>
      <c r="BR36" s="2"/>
      <c r="BS36" s="2" t="s">
        <v>81</v>
      </c>
      <c r="BT36" s="2" t="s">
        <v>81</v>
      </c>
      <c r="BU36" s="2" t="s">
        <v>143</v>
      </c>
      <c r="BV36" s="2"/>
      <c r="BW36" s="2" t="s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baseColWidth="10" defaultRowHeight="15" x14ac:dyDescent="0.25"/>
  <cols>
    <col min="1" max="1" width="34.5703125" bestFit="1" customWidth="1"/>
  </cols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base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2026-05-07T18:36:40Z</dcterms:created>
  <dcterms:modified xsi:type="dcterms:W3CDTF">2026-05-07T19:02:54Z</dcterms:modified>
</cp:coreProperties>
</file>