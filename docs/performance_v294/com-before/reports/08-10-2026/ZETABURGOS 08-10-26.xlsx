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len\.codex\.chatgpt-projects\g-p-6ac813a5cba48191b103b2e75dfd5392\performance\com-before\reports\08-10-2026\"/>
    </mc:Choice>
  </mc:AlternateContent>
  <xr:revisionPtr revIDLastSave="0" documentId="13_ncr:1_{890CA90A-7B1F-4C00-931A-AAD772CD8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" sheetId="2" r:id="rId1"/>
    <sheet name="base" sheetId="1" r:id="rId2"/>
    <sheet name="aux" sheetId="3" r:id="rId3"/>
  </sheets>
  <definedNames>
    <definedName name="_xlnm._FilterDatabase" localSheetId="1" hidden="1">base!$A$1:$BW$189</definedName>
    <definedName name="_xlnm._FilterDatabase" localSheetId="0" hidden="1">REPORTE!$A$1:$T$1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F2" i="2" s="1"/>
  <c r="E2" i="2"/>
  <c r="G2" i="2"/>
  <c r="H2" i="2"/>
  <c r="I2" i="2"/>
  <c r="J2" i="2"/>
  <c r="K2" i="2"/>
  <c r="L2" i="2"/>
  <c r="M2" i="2"/>
  <c r="N2" i="2"/>
  <c r="O2" i="2"/>
  <c r="P2" i="2"/>
  <c r="Q2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A6" i="2"/>
  <c r="B6" i="2"/>
  <c r="C6" i="2"/>
  <c r="D6" i="2"/>
  <c r="F6" i="2" s="1"/>
  <c r="E6" i="2"/>
  <c r="G6" i="2"/>
  <c r="H6" i="2"/>
  <c r="I6" i="2"/>
  <c r="J6" i="2"/>
  <c r="K6" i="2"/>
  <c r="L6" i="2"/>
  <c r="M6" i="2"/>
  <c r="N6" i="2"/>
  <c r="O6" i="2"/>
  <c r="P6" i="2"/>
  <c r="Q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A9" i="2"/>
  <c r="B9" i="2"/>
  <c r="C9" i="2"/>
  <c r="D9" i="2"/>
  <c r="F9" i="2" s="1"/>
  <c r="E9" i="2"/>
  <c r="G9" i="2"/>
  <c r="H9" i="2"/>
  <c r="I9" i="2"/>
  <c r="J9" i="2"/>
  <c r="K9" i="2"/>
  <c r="L9" i="2"/>
  <c r="M9" i="2"/>
  <c r="N9" i="2"/>
  <c r="O9" i="2"/>
  <c r="P9" i="2"/>
  <c r="Q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A13" i="2"/>
  <c r="B13" i="2"/>
  <c r="C13" i="2"/>
  <c r="D13" i="2"/>
  <c r="F13" i="2" s="1"/>
  <c r="E13" i="2"/>
  <c r="G13" i="2"/>
  <c r="H13" i="2"/>
  <c r="I13" i="2"/>
  <c r="J13" i="2"/>
  <c r="K13" i="2"/>
  <c r="L13" i="2"/>
  <c r="M13" i="2"/>
  <c r="N13" i="2"/>
  <c r="O13" i="2"/>
  <c r="P13" i="2"/>
  <c r="Q13" i="2"/>
  <c r="A14" i="2"/>
  <c r="B14" i="2"/>
  <c r="C14" i="2"/>
  <c r="D14" i="2"/>
  <c r="F14" i="2" s="1"/>
  <c r="E14" i="2"/>
  <c r="G14" i="2"/>
  <c r="H14" i="2"/>
  <c r="I14" i="2"/>
  <c r="J14" i="2"/>
  <c r="K14" i="2"/>
  <c r="L14" i="2"/>
  <c r="M14" i="2"/>
  <c r="N14" i="2"/>
  <c r="O14" i="2"/>
  <c r="P14" i="2"/>
  <c r="Q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A18" i="2"/>
  <c r="B18" i="2"/>
  <c r="C18" i="2"/>
  <c r="D18" i="2"/>
  <c r="F18" i="2" s="1"/>
  <c r="E18" i="2"/>
  <c r="G18" i="2"/>
  <c r="H18" i="2"/>
  <c r="I18" i="2"/>
  <c r="J18" i="2"/>
  <c r="K18" i="2"/>
  <c r="L18" i="2"/>
  <c r="M18" i="2"/>
  <c r="N18" i="2"/>
  <c r="O18" i="2"/>
  <c r="P18" i="2"/>
  <c r="Q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A21" i="2"/>
  <c r="B21" i="2"/>
  <c r="C21" i="2"/>
  <c r="D21" i="2"/>
  <c r="F21" i="2" s="1"/>
  <c r="E21" i="2"/>
  <c r="G21" i="2"/>
  <c r="H21" i="2"/>
  <c r="I21" i="2"/>
  <c r="J21" i="2"/>
  <c r="K21" i="2"/>
  <c r="L21" i="2"/>
  <c r="M21" i="2"/>
  <c r="N21" i="2"/>
  <c r="O21" i="2"/>
  <c r="P21" i="2"/>
  <c r="Q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A25" i="2"/>
  <c r="B25" i="2"/>
  <c r="C25" i="2"/>
  <c r="D25" i="2"/>
  <c r="F25" i="2" s="1"/>
  <c r="E25" i="2"/>
  <c r="G25" i="2"/>
  <c r="H25" i="2"/>
  <c r="I25" i="2"/>
  <c r="J25" i="2"/>
  <c r="K25" i="2"/>
  <c r="L25" i="2"/>
  <c r="M25" i="2"/>
  <c r="N25" i="2"/>
  <c r="O25" i="2"/>
  <c r="P25" i="2"/>
  <c r="Q25" i="2"/>
  <c r="A26" i="2"/>
  <c r="B26" i="2"/>
  <c r="C26" i="2"/>
  <c r="D26" i="2"/>
  <c r="F26" i="2" s="1"/>
  <c r="E26" i="2"/>
  <c r="G26" i="2"/>
  <c r="H26" i="2"/>
  <c r="I26" i="2"/>
  <c r="J26" i="2"/>
  <c r="K26" i="2"/>
  <c r="L26" i="2"/>
  <c r="M26" i="2"/>
  <c r="N26" i="2"/>
  <c r="O26" i="2"/>
  <c r="P26" i="2"/>
  <c r="Q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A30" i="2"/>
  <c r="B30" i="2"/>
  <c r="C30" i="2"/>
  <c r="D30" i="2"/>
  <c r="F30" i="2" s="1"/>
  <c r="E30" i="2"/>
  <c r="G30" i="2"/>
  <c r="H30" i="2"/>
  <c r="I30" i="2"/>
  <c r="J30" i="2"/>
  <c r="K30" i="2"/>
  <c r="L30" i="2"/>
  <c r="M30" i="2"/>
  <c r="N30" i="2"/>
  <c r="O30" i="2"/>
  <c r="P30" i="2"/>
  <c r="Q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A33" i="2"/>
  <c r="B33" i="2"/>
  <c r="C33" i="2"/>
  <c r="D33" i="2"/>
  <c r="F33" i="2" s="1"/>
  <c r="E33" i="2"/>
  <c r="G33" i="2"/>
  <c r="H33" i="2"/>
  <c r="I33" i="2"/>
  <c r="J33" i="2"/>
  <c r="K33" i="2"/>
  <c r="L33" i="2"/>
  <c r="M33" i="2"/>
  <c r="N33" i="2"/>
  <c r="O33" i="2"/>
  <c r="P33" i="2"/>
  <c r="Q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A37" i="2"/>
  <c r="B37" i="2"/>
  <c r="C37" i="2"/>
  <c r="D37" i="2"/>
  <c r="F37" i="2" s="1"/>
  <c r="E37" i="2"/>
  <c r="G37" i="2"/>
  <c r="H37" i="2"/>
  <c r="I37" i="2"/>
  <c r="J37" i="2"/>
  <c r="K37" i="2"/>
  <c r="L37" i="2"/>
  <c r="M37" i="2"/>
  <c r="N37" i="2"/>
  <c r="O37" i="2"/>
  <c r="P37" i="2"/>
  <c r="Q37" i="2"/>
  <c r="A38" i="2"/>
  <c r="B38" i="2"/>
  <c r="C38" i="2"/>
  <c r="D38" i="2"/>
  <c r="F38" i="2" s="1"/>
  <c r="E38" i="2"/>
  <c r="G38" i="2"/>
  <c r="H38" i="2"/>
  <c r="I38" i="2"/>
  <c r="J38" i="2"/>
  <c r="K38" i="2"/>
  <c r="L38" i="2"/>
  <c r="M38" i="2"/>
  <c r="N38" i="2"/>
  <c r="O38" i="2"/>
  <c r="P38" i="2"/>
  <c r="Q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A41" i="2"/>
  <c r="B41" i="2"/>
  <c r="C41" i="2"/>
  <c r="D41" i="2"/>
  <c r="F41" i="2" s="1"/>
  <c r="E41" i="2"/>
  <c r="G41" i="2"/>
  <c r="H41" i="2"/>
  <c r="I41" i="2"/>
  <c r="J41" i="2"/>
  <c r="K41" i="2"/>
  <c r="L41" i="2"/>
  <c r="M41" i="2"/>
  <c r="N41" i="2"/>
  <c r="O41" i="2"/>
  <c r="P41" i="2"/>
  <c r="Q41" i="2"/>
  <c r="A42" i="2"/>
  <c r="B42" i="2"/>
  <c r="C42" i="2"/>
  <c r="D42" i="2"/>
  <c r="F42" i="2" s="1"/>
  <c r="E42" i="2"/>
  <c r="G42" i="2"/>
  <c r="H42" i="2"/>
  <c r="I42" i="2"/>
  <c r="J42" i="2"/>
  <c r="K42" i="2"/>
  <c r="L42" i="2"/>
  <c r="M42" i="2"/>
  <c r="N42" i="2"/>
  <c r="O42" i="2"/>
  <c r="P42" i="2"/>
  <c r="Q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A45" i="2"/>
  <c r="B45" i="2"/>
  <c r="C45" i="2"/>
  <c r="D45" i="2"/>
  <c r="F45" i="2" s="1"/>
  <c r="E45" i="2"/>
  <c r="G45" i="2"/>
  <c r="H45" i="2"/>
  <c r="I45" i="2"/>
  <c r="J45" i="2"/>
  <c r="K45" i="2"/>
  <c r="L45" i="2"/>
  <c r="M45" i="2"/>
  <c r="N45" i="2"/>
  <c r="O45" i="2"/>
  <c r="P45" i="2"/>
  <c r="Q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A49" i="2"/>
  <c r="B49" i="2"/>
  <c r="C49" i="2"/>
  <c r="D49" i="2"/>
  <c r="F49" i="2" s="1"/>
  <c r="E49" i="2"/>
  <c r="G49" i="2"/>
  <c r="H49" i="2"/>
  <c r="I49" i="2"/>
  <c r="J49" i="2"/>
  <c r="K49" i="2"/>
  <c r="L49" i="2"/>
  <c r="M49" i="2"/>
  <c r="N49" i="2"/>
  <c r="O49" i="2"/>
  <c r="P49" i="2"/>
  <c r="Q49" i="2"/>
  <c r="A50" i="2"/>
  <c r="B50" i="2"/>
  <c r="C50" i="2"/>
  <c r="D50" i="2"/>
  <c r="F50" i="2" s="1"/>
  <c r="E50" i="2"/>
  <c r="G50" i="2"/>
  <c r="H50" i="2"/>
  <c r="I50" i="2"/>
  <c r="J50" i="2"/>
  <c r="K50" i="2"/>
  <c r="L50" i="2"/>
  <c r="M50" i="2"/>
  <c r="N50" i="2"/>
  <c r="O50" i="2"/>
  <c r="P50" i="2"/>
  <c r="Q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A53" i="2"/>
  <c r="B53" i="2"/>
  <c r="C53" i="2"/>
  <c r="D53" i="2"/>
  <c r="F53" i="2" s="1"/>
  <c r="E53" i="2"/>
  <c r="G53" i="2"/>
  <c r="H53" i="2"/>
  <c r="I53" i="2"/>
  <c r="J53" i="2"/>
  <c r="K53" i="2"/>
  <c r="L53" i="2"/>
  <c r="M53" i="2"/>
  <c r="N53" i="2"/>
  <c r="O53" i="2"/>
  <c r="P53" i="2"/>
  <c r="Q53" i="2"/>
  <c r="A54" i="2"/>
  <c r="B54" i="2"/>
  <c r="C54" i="2"/>
  <c r="D54" i="2"/>
  <c r="F54" i="2" s="1"/>
  <c r="E54" i="2"/>
  <c r="G54" i="2"/>
  <c r="H54" i="2"/>
  <c r="I54" i="2"/>
  <c r="J54" i="2"/>
  <c r="K54" i="2"/>
  <c r="L54" i="2"/>
  <c r="M54" i="2"/>
  <c r="N54" i="2"/>
  <c r="O54" i="2"/>
  <c r="P54" i="2"/>
  <c r="Q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A57" i="2"/>
  <c r="B57" i="2"/>
  <c r="C57" i="2"/>
  <c r="D57" i="2"/>
  <c r="F57" i="2" s="1"/>
  <c r="E57" i="2"/>
  <c r="G57" i="2"/>
  <c r="H57" i="2"/>
  <c r="I57" i="2"/>
  <c r="J57" i="2"/>
  <c r="K57" i="2"/>
  <c r="L57" i="2"/>
  <c r="M57" i="2"/>
  <c r="N57" i="2"/>
  <c r="O57" i="2"/>
  <c r="P57" i="2"/>
  <c r="Q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A61" i="2"/>
  <c r="B61" i="2"/>
  <c r="C61" i="2"/>
  <c r="D61" i="2"/>
  <c r="F61" i="2" s="1"/>
  <c r="E61" i="2"/>
  <c r="G61" i="2"/>
  <c r="H61" i="2"/>
  <c r="I61" i="2"/>
  <c r="J61" i="2"/>
  <c r="K61" i="2"/>
  <c r="L61" i="2"/>
  <c r="M61" i="2"/>
  <c r="N61" i="2"/>
  <c r="O61" i="2"/>
  <c r="P61" i="2"/>
  <c r="Q61" i="2"/>
  <c r="A62" i="2"/>
  <c r="B62" i="2"/>
  <c r="C62" i="2"/>
  <c r="D62" i="2"/>
  <c r="F62" i="2" s="1"/>
  <c r="E62" i="2"/>
  <c r="G62" i="2"/>
  <c r="H62" i="2"/>
  <c r="I62" i="2"/>
  <c r="J62" i="2"/>
  <c r="K62" i="2"/>
  <c r="L62" i="2"/>
  <c r="M62" i="2"/>
  <c r="N62" i="2"/>
  <c r="O62" i="2"/>
  <c r="P62" i="2"/>
  <c r="Q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A65" i="2"/>
  <c r="B65" i="2"/>
  <c r="C65" i="2"/>
  <c r="D65" i="2"/>
  <c r="F65" i="2" s="1"/>
  <c r="E65" i="2"/>
  <c r="G65" i="2"/>
  <c r="H65" i="2"/>
  <c r="I65" i="2"/>
  <c r="J65" i="2"/>
  <c r="K65" i="2"/>
  <c r="L65" i="2"/>
  <c r="M65" i="2"/>
  <c r="N65" i="2"/>
  <c r="O65" i="2"/>
  <c r="P65" i="2"/>
  <c r="Q65" i="2"/>
  <c r="A66" i="2"/>
  <c r="B66" i="2"/>
  <c r="C66" i="2"/>
  <c r="D66" i="2"/>
  <c r="F66" i="2" s="1"/>
  <c r="E66" i="2"/>
  <c r="G66" i="2"/>
  <c r="H66" i="2"/>
  <c r="I66" i="2"/>
  <c r="J66" i="2"/>
  <c r="K66" i="2"/>
  <c r="L66" i="2"/>
  <c r="M66" i="2"/>
  <c r="N66" i="2"/>
  <c r="O66" i="2"/>
  <c r="P66" i="2"/>
  <c r="Q66" i="2"/>
  <c r="A67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A68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A69" i="2"/>
  <c r="B69" i="2"/>
  <c r="C69" i="2"/>
  <c r="D69" i="2"/>
  <c r="F69" i="2" s="1"/>
  <c r="E69" i="2"/>
  <c r="G69" i="2"/>
  <c r="H69" i="2"/>
  <c r="I69" i="2"/>
  <c r="J69" i="2"/>
  <c r="K69" i="2"/>
  <c r="L69" i="2"/>
  <c r="M69" i="2"/>
  <c r="N69" i="2"/>
  <c r="O69" i="2"/>
  <c r="P69" i="2"/>
  <c r="Q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A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A72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A73" i="2"/>
  <c r="B73" i="2"/>
  <c r="C73" i="2"/>
  <c r="D73" i="2"/>
  <c r="F73" i="2" s="1"/>
  <c r="E73" i="2"/>
  <c r="G73" i="2"/>
  <c r="H73" i="2"/>
  <c r="I73" i="2"/>
  <c r="J73" i="2"/>
  <c r="K73" i="2"/>
  <c r="L73" i="2"/>
  <c r="M73" i="2"/>
  <c r="N73" i="2"/>
  <c r="O73" i="2"/>
  <c r="P73" i="2"/>
  <c r="Q73" i="2"/>
  <c r="A74" i="2"/>
  <c r="B74" i="2"/>
  <c r="C74" i="2"/>
  <c r="D74" i="2"/>
  <c r="F74" i="2" s="1"/>
  <c r="E74" i="2"/>
  <c r="G74" i="2"/>
  <c r="H74" i="2"/>
  <c r="I74" i="2"/>
  <c r="J74" i="2"/>
  <c r="K74" i="2"/>
  <c r="L74" i="2"/>
  <c r="M74" i="2"/>
  <c r="N74" i="2"/>
  <c r="O74" i="2"/>
  <c r="P74" i="2"/>
  <c r="Q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A76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A77" i="2"/>
  <c r="B77" i="2"/>
  <c r="C77" i="2"/>
  <c r="D77" i="2"/>
  <c r="F77" i="2" s="1"/>
  <c r="E77" i="2"/>
  <c r="G77" i="2"/>
  <c r="H77" i="2"/>
  <c r="I77" i="2"/>
  <c r="J77" i="2"/>
  <c r="K77" i="2"/>
  <c r="L77" i="2"/>
  <c r="M77" i="2"/>
  <c r="N77" i="2"/>
  <c r="O77" i="2"/>
  <c r="P77" i="2"/>
  <c r="Q77" i="2"/>
  <c r="A78" i="2"/>
  <c r="B78" i="2"/>
  <c r="C78" i="2"/>
  <c r="D78" i="2"/>
  <c r="F78" i="2" s="1"/>
  <c r="E78" i="2"/>
  <c r="G78" i="2"/>
  <c r="H78" i="2"/>
  <c r="I78" i="2"/>
  <c r="J78" i="2"/>
  <c r="K78" i="2"/>
  <c r="L78" i="2"/>
  <c r="M78" i="2"/>
  <c r="N78" i="2"/>
  <c r="O78" i="2"/>
  <c r="P78" i="2"/>
  <c r="Q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A80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A81" i="2"/>
  <c r="B81" i="2"/>
  <c r="C81" i="2"/>
  <c r="D81" i="2"/>
  <c r="F81" i="2" s="1"/>
  <c r="E81" i="2"/>
  <c r="G81" i="2"/>
  <c r="H81" i="2"/>
  <c r="I81" i="2"/>
  <c r="J81" i="2"/>
  <c r="K81" i="2"/>
  <c r="L81" i="2"/>
  <c r="M81" i="2"/>
  <c r="N81" i="2"/>
  <c r="O81" i="2"/>
  <c r="P81" i="2"/>
  <c r="Q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A84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A85" i="2"/>
  <c r="B85" i="2"/>
  <c r="C85" i="2"/>
  <c r="D85" i="2"/>
  <c r="F85" i="2" s="1"/>
  <c r="E85" i="2"/>
  <c r="G85" i="2"/>
  <c r="H85" i="2"/>
  <c r="I85" i="2"/>
  <c r="J85" i="2"/>
  <c r="K85" i="2"/>
  <c r="L85" i="2"/>
  <c r="M85" i="2"/>
  <c r="N85" i="2"/>
  <c r="O85" i="2"/>
  <c r="P85" i="2"/>
  <c r="Q85" i="2"/>
  <c r="A86" i="2"/>
  <c r="B86" i="2"/>
  <c r="C86" i="2"/>
  <c r="D86" i="2"/>
  <c r="F86" i="2" s="1"/>
  <c r="E86" i="2"/>
  <c r="G86" i="2"/>
  <c r="H86" i="2"/>
  <c r="I86" i="2"/>
  <c r="J86" i="2"/>
  <c r="K86" i="2"/>
  <c r="L86" i="2"/>
  <c r="M86" i="2"/>
  <c r="N86" i="2"/>
  <c r="O86" i="2"/>
  <c r="P86" i="2"/>
  <c r="Q86" i="2"/>
  <c r="A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A88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A89" i="2"/>
  <c r="B89" i="2"/>
  <c r="C89" i="2"/>
  <c r="D89" i="2"/>
  <c r="F89" i="2" s="1"/>
  <c r="E89" i="2"/>
  <c r="G89" i="2"/>
  <c r="H89" i="2"/>
  <c r="I89" i="2"/>
  <c r="J89" i="2"/>
  <c r="K89" i="2"/>
  <c r="L89" i="2"/>
  <c r="M89" i="2"/>
  <c r="N89" i="2"/>
  <c r="O89" i="2"/>
  <c r="P89" i="2"/>
  <c r="Q89" i="2"/>
  <c r="A90" i="2"/>
  <c r="B90" i="2"/>
  <c r="C90" i="2"/>
  <c r="D90" i="2"/>
  <c r="F90" i="2" s="1"/>
  <c r="E90" i="2"/>
  <c r="G90" i="2"/>
  <c r="H90" i="2"/>
  <c r="I90" i="2"/>
  <c r="J90" i="2"/>
  <c r="K90" i="2"/>
  <c r="L90" i="2"/>
  <c r="M90" i="2"/>
  <c r="N90" i="2"/>
  <c r="O90" i="2"/>
  <c r="P90" i="2"/>
  <c r="Q90" i="2"/>
  <c r="A91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A92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A93" i="2"/>
  <c r="B93" i="2"/>
  <c r="C93" i="2"/>
  <c r="D93" i="2"/>
  <c r="F93" i="2" s="1"/>
  <c r="E93" i="2"/>
  <c r="G93" i="2"/>
  <c r="H93" i="2"/>
  <c r="I93" i="2"/>
  <c r="J93" i="2"/>
  <c r="K93" i="2"/>
  <c r="L93" i="2"/>
  <c r="M93" i="2"/>
  <c r="N93" i="2"/>
  <c r="O93" i="2"/>
  <c r="P93" i="2"/>
  <c r="Q93" i="2"/>
  <c r="A94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A95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A96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A97" i="2"/>
  <c r="B97" i="2"/>
  <c r="C97" i="2"/>
  <c r="D97" i="2"/>
  <c r="F97" i="2" s="1"/>
  <c r="E97" i="2"/>
  <c r="G97" i="2"/>
  <c r="H97" i="2"/>
  <c r="I97" i="2"/>
  <c r="J97" i="2"/>
  <c r="K97" i="2"/>
  <c r="L97" i="2"/>
  <c r="M97" i="2"/>
  <c r="N97" i="2"/>
  <c r="O97" i="2"/>
  <c r="P97" i="2"/>
  <c r="Q97" i="2"/>
  <c r="A98" i="2"/>
  <c r="B98" i="2"/>
  <c r="C98" i="2"/>
  <c r="D98" i="2"/>
  <c r="F98" i="2" s="1"/>
  <c r="E98" i="2"/>
  <c r="G98" i="2"/>
  <c r="H98" i="2"/>
  <c r="I98" i="2"/>
  <c r="J98" i="2"/>
  <c r="K98" i="2"/>
  <c r="L98" i="2"/>
  <c r="M98" i="2"/>
  <c r="N98" i="2"/>
  <c r="O98" i="2"/>
  <c r="P98" i="2"/>
  <c r="Q98" i="2"/>
  <c r="A99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A100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A101" i="2"/>
  <c r="B101" i="2"/>
  <c r="C101" i="2"/>
  <c r="D101" i="2"/>
  <c r="F101" i="2" s="1"/>
  <c r="E101" i="2"/>
  <c r="G101" i="2"/>
  <c r="H101" i="2"/>
  <c r="I101" i="2"/>
  <c r="J101" i="2"/>
  <c r="K101" i="2"/>
  <c r="L101" i="2"/>
  <c r="M101" i="2"/>
  <c r="N101" i="2"/>
  <c r="O101" i="2"/>
  <c r="P101" i="2"/>
  <c r="Q101" i="2"/>
  <c r="A102" i="2"/>
  <c r="B102" i="2"/>
  <c r="C102" i="2"/>
  <c r="D102" i="2"/>
  <c r="F102" i="2" s="1"/>
  <c r="E102" i="2"/>
  <c r="G102" i="2"/>
  <c r="H102" i="2"/>
  <c r="I102" i="2"/>
  <c r="J102" i="2"/>
  <c r="K102" i="2"/>
  <c r="L102" i="2"/>
  <c r="M102" i="2"/>
  <c r="N102" i="2"/>
  <c r="O102" i="2"/>
  <c r="P102" i="2"/>
  <c r="Q102" i="2"/>
  <c r="A103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A104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A105" i="2"/>
  <c r="B105" i="2"/>
  <c r="C105" i="2"/>
  <c r="D105" i="2"/>
  <c r="F105" i="2" s="1"/>
  <c r="E105" i="2"/>
  <c r="G105" i="2"/>
  <c r="H105" i="2"/>
  <c r="I105" i="2"/>
  <c r="J105" i="2"/>
  <c r="K105" i="2"/>
  <c r="L105" i="2"/>
  <c r="M105" i="2"/>
  <c r="N105" i="2"/>
  <c r="O105" i="2"/>
  <c r="P105" i="2"/>
  <c r="Q105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A108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A109" i="2"/>
  <c r="B109" i="2"/>
  <c r="C109" i="2"/>
  <c r="D109" i="2"/>
  <c r="F109" i="2" s="1"/>
  <c r="E109" i="2"/>
  <c r="G109" i="2"/>
  <c r="H109" i="2"/>
  <c r="I109" i="2"/>
  <c r="J109" i="2"/>
  <c r="K109" i="2"/>
  <c r="L109" i="2"/>
  <c r="M109" i="2"/>
  <c r="N109" i="2"/>
  <c r="O109" i="2"/>
  <c r="P109" i="2"/>
  <c r="Q109" i="2"/>
  <c r="A110" i="2"/>
  <c r="B110" i="2"/>
  <c r="C110" i="2"/>
  <c r="D110" i="2"/>
  <c r="F110" i="2" s="1"/>
  <c r="E110" i="2"/>
  <c r="G110" i="2"/>
  <c r="H110" i="2"/>
  <c r="I110" i="2"/>
  <c r="J110" i="2"/>
  <c r="K110" i="2"/>
  <c r="L110" i="2"/>
  <c r="M110" i="2"/>
  <c r="N110" i="2"/>
  <c r="O110" i="2"/>
  <c r="P110" i="2"/>
  <c r="Q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A112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A113" i="2"/>
  <c r="B113" i="2"/>
  <c r="C113" i="2"/>
  <c r="D113" i="2"/>
  <c r="F113" i="2" s="1"/>
  <c r="E113" i="2"/>
  <c r="G113" i="2"/>
  <c r="H113" i="2"/>
  <c r="I113" i="2"/>
  <c r="J113" i="2"/>
  <c r="K113" i="2"/>
  <c r="L113" i="2"/>
  <c r="M113" i="2"/>
  <c r="N113" i="2"/>
  <c r="O113" i="2"/>
  <c r="P113" i="2"/>
  <c r="Q113" i="2"/>
  <c r="A114" i="2"/>
  <c r="B114" i="2"/>
  <c r="C114" i="2"/>
  <c r="D114" i="2"/>
  <c r="F114" i="2" s="1"/>
  <c r="E114" i="2"/>
  <c r="G114" i="2"/>
  <c r="H114" i="2"/>
  <c r="I114" i="2"/>
  <c r="J114" i="2"/>
  <c r="K114" i="2"/>
  <c r="L114" i="2"/>
  <c r="M114" i="2"/>
  <c r="N114" i="2"/>
  <c r="O114" i="2"/>
  <c r="P114" i="2"/>
  <c r="Q114" i="2"/>
  <c r="A115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A116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A117" i="2"/>
  <c r="B117" i="2"/>
  <c r="C117" i="2"/>
  <c r="D117" i="2"/>
  <c r="F117" i="2" s="1"/>
  <c r="E117" i="2"/>
  <c r="G117" i="2"/>
  <c r="H117" i="2"/>
  <c r="I117" i="2"/>
  <c r="J117" i="2"/>
  <c r="K117" i="2"/>
  <c r="L117" i="2"/>
  <c r="M117" i="2"/>
  <c r="N117" i="2"/>
  <c r="O117" i="2"/>
  <c r="P117" i="2"/>
  <c r="Q117" i="2"/>
  <c r="A118" i="2"/>
  <c r="B118" i="2"/>
  <c r="C118" i="2"/>
  <c r="D118" i="2"/>
  <c r="F118" i="2" s="1"/>
  <c r="E118" i="2"/>
  <c r="G118" i="2"/>
  <c r="H118" i="2"/>
  <c r="I118" i="2"/>
  <c r="J118" i="2"/>
  <c r="K118" i="2"/>
  <c r="L118" i="2"/>
  <c r="M118" i="2"/>
  <c r="N118" i="2"/>
  <c r="O118" i="2"/>
  <c r="P118" i="2"/>
  <c r="Q118" i="2"/>
  <c r="A119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A120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A121" i="2"/>
  <c r="B121" i="2"/>
  <c r="C121" i="2"/>
  <c r="D121" i="2"/>
  <c r="F121" i="2" s="1"/>
  <c r="E121" i="2"/>
  <c r="G121" i="2"/>
  <c r="H121" i="2"/>
  <c r="I121" i="2"/>
  <c r="J121" i="2"/>
  <c r="K121" i="2"/>
  <c r="L121" i="2"/>
  <c r="M121" i="2"/>
  <c r="N121" i="2"/>
  <c r="O121" i="2"/>
  <c r="P121" i="2"/>
  <c r="Q121" i="2"/>
  <c r="A122" i="2"/>
  <c r="B122" i="2"/>
  <c r="C122" i="2"/>
  <c r="D122" i="2"/>
  <c r="F122" i="2" s="1"/>
  <c r="E122" i="2"/>
  <c r="G122" i="2"/>
  <c r="H122" i="2"/>
  <c r="I122" i="2"/>
  <c r="J122" i="2"/>
  <c r="K122" i="2"/>
  <c r="L122" i="2"/>
  <c r="M122" i="2"/>
  <c r="N122" i="2"/>
  <c r="O122" i="2"/>
  <c r="P122" i="2"/>
  <c r="Q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A124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A125" i="2"/>
  <c r="B125" i="2"/>
  <c r="C125" i="2"/>
  <c r="D125" i="2"/>
  <c r="F125" i="2" s="1"/>
  <c r="E125" i="2"/>
  <c r="G125" i="2"/>
  <c r="H125" i="2"/>
  <c r="I125" i="2"/>
  <c r="J125" i="2"/>
  <c r="K125" i="2"/>
  <c r="L125" i="2"/>
  <c r="M125" i="2"/>
  <c r="N125" i="2"/>
  <c r="O125" i="2"/>
  <c r="P125" i="2"/>
  <c r="Q125" i="2"/>
  <c r="A126" i="2"/>
  <c r="B126" i="2"/>
  <c r="C126" i="2"/>
  <c r="D126" i="2"/>
  <c r="F126" i="2" s="1"/>
  <c r="E126" i="2"/>
  <c r="G126" i="2"/>
  <c r="H126" i="2"/>
  <c r="I126" i="2"/>
  <c r="J126" i="2"/>
  <c r="K126" i="2"/>
  <c r="L126" i="2"/>
  <c r="M126" i="2"/>
  <c r="N126" i="2"/>
  <c r="O126" i="2"/>
  <c r="P126" i="2"/>
  <c r="Q126" i="2"/>
  <c r="A127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A128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A129" i="2"/>
  <c r="B129" i="2"/>
  <c r="C129" i="2"/>
  <c r="D129" i="2"/>
  <c r="F129" i="2" s="1"/>
  <c r="E129" i="2"/>
  <c r="G129" i="2"/>
  <c r="H129" i="2"/>
  <c r="I129" i="2"/>
  <c r="J129" i="2"/>
  <c r="K129" i="2"/>
  <c r="L129" i="2"/>
  <c r="M129" i="2"/>
  <c r="N129" i="2"/>
  <c r="O129" i="2"/>
  <c r="P129" i="2"/>
  <c r="Q129" i="2"/>
  <c r="A130" i="2"/>
  <c r="B130" i="2"/>
  <c r="C130" i="2"/>
  <c r="D130" i="2"/>
  <c r="F130" i="2" s="1"/>
  <c r="E130" i="2"/>
  <c r="G130" i="2"/>
  <c r="H130" i="2"/>
  <c r="I130" i="2"/>
  <c r="J130" i="2"/>
  <c r="K130" i="2"/>
  <c r="L130" i="2"/>
  <c r="M130" i="2"/>
  <c r="N130" i="2"/>
  <c r="O130" i="2"/>
  <c r="P130" i="2"/>
  <c r="Q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A132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A133" i="2"/>
  <c r="B133" i="2"/>
  <c r="C133" i="2"/>
  <c r="D133" i="2"/>
  <c r="F133" i="2" s="1"/>
  <c r="E133" i="2"/>
  <c r="G133" i="2"/>
  <c r="H133" i="2"/>
  <c r="I133" i="2"/>
  <c r="J133" i="2"/>
  <c r="K133" i="2"/>
  <c r="L133" i="2"/>
  <c r="M133" i="2"/>
  <c r="N133" i="2"/>
  <c r="O133" i="2"/>
  <c r="P133" i="2"/>
  <c r="Q133" i="2"/>
  <c r="A134" i="2"/>
  <c r="B134" i="2"/>
  <c r="C134" i="2"/>
  <c r="D134" i="2"/>
  <c r="F134" i="2" s="1"/>
  <c r="E134" i="2"/>
  <c r="G134" i="2"/>
  <c r="H134" i="2"/>
  <c r="I134" i="2"/>
  <c r="J134" i="2"/>
  <c r="K134" i="2"/>
  <c r="L134" i="2"/>
  <c r="M134" i="2"/>
  <c r="N134" i="2"/>
  <c r="O134" i="2"/>
  <c r="P134" i="2"/>
  <c r="Q134" i="2"/>
  <c r="A135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A136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A137" i="2"/>
  <c r="B137" i="2"/>
  <c r="C137" i="2"/>
  <c r="D137" i="2"/>
  <c r="F137" i="2" s="1"/>
  <c r="E137" i="2"/>
  <c r="G137" i="2"/>
  <c r="H137" i="2"/>
  <c r="I137" i="2"/>
  <c r="J137" i="2"/>
  <c r="K137" i="2"/>
  <c r="L137" i="2"/>
  <c r="M137" i="2"/>
  <c r="N137" i="2"/>
  <c r="O137" i="2"/>
  <c r="P137" i="2"/>
  <c r="Q137" i="2"/>
  <c r="A138" i="2"/>
  <c r="B138" i="2"/>
  <c r="C138" i="2"/>
  <c r="D138" i="2"/>
  <c r="F138" i="2" s="1"/>
  <c r="E138" i="2"/>
  <c r="G138" i="2"/>
  <c r="H138" i="2"/>
  <c r="I138" i="2"/>
  <c r="J138" i="2"/>
  <c r="K138" i="2"/>
  <c r="L138" i="2"/>
  <c r="M138" i="2"/>
  <c r="N138" i="2"/>
  <c r="O138" i="2"/>
  <c r="P138" i="2"/>
  <c r="Q138" i="2"/>
  <c r="A139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A140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A141" i="2"/>
  <c r="B141" i="2"/>
  <c r="C141" i="2"/>
  <c r="D141" i="2"/>
  <c r="F141" i="2" s="1"/>
  <c r="E141" i="2"/>
  <c r="G141" i="2"/>
  <c r="H141" i="2"/>
  <c r="I141" i="2"/>
  <c r="J141" i="2"/>
  <c r="K141" i="2"/>
  <c r="L141" i="2"/>
  <c r="M141" i="2"/>
  <c r="N141" i="2"/>
  <c r="O141" i="2"/>
  <c r="P141" i="2"/>
  <c r="Q141" i="2"/>
  <c r="A142" i="2"/>
  <c r="B142" i="2"/>
  <c r="C142" i="2"/>
  <c r="D142" i="2"/>
  <c r="F142" i="2" s="1"/>
  <c r="E142" i="2"/>
  <c r="G142" i="2"/>
  <c r="H142" i="2"/>
  <c r="I142" i="2"/>
  <c r="J142" i="2"/>
  <c r="K142" i="2"/>
  <c r="L142" i="2"/>
  <c r="M142" i="2"/>
  <c r="N142" i="2"/>
  <c r="O142" i="2"/>
  <c r="P142" i="2"/>
  <c r="Q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A144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A145" i="2"/>
  <c r="B145" i="2"/>
  <c r="C145" i="2"/>
  <c r="D145" i="2"/>
  <c r="F145" i="2" s="1"/>
  <c r="E145" i="2"/>
  <c r="G145" i="2"/>
  <c r="H145" i="2"/>
  <c r="I145" i="2"/>
  <c r="J145" i="2"/>
  <c r="K145" i="2"/>
  <c r="L145" i="2"/>
  <c r="M145" i="2"/>
  <c r="N145" i="2"/>
  <c r="O145" i="2"/>
  <c r="P145" i="2"/>
  <c r="Q145" i="2"/>
  <c r="A146" i="2"/>
  <c r="B146" i="2"/>
  <c r="C146" i="2"/>
  <c r="D146" i="2"/>
  <c r="F146" i="2" s="1"/>
  <c r="E146" i="2"/>
  <c r="G146" i="2"/>
  <c r="H146" i="2"/>
  <c r="I146" i="2"/>
  <c r="J146" i="2"/>
  <c r="K146" i="2"/>
  <c r="L146" i="2"/>
  <c r="M146" i="2"/>
  <c r="N146" i="2"/>
  <c r="O146" i="2"/>
  <c r="P146" i="2"/>
  <c r="Q146" i="2"/>
  <c r="A147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A148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A149" i="2"/>
  <c r="B149" i="2"/>
  <c r="C149" i="2"/>
  <c r="D149" i="2"/>
  <c r="F149" i="2" s="1"/>
  <c r="E149" i="2"/>
  <c r="G149" i="2"/>
  <c r="H149" i="2"/>
  <c r="I149" i="2"/>
  <c r="J149" i="2"/>
  <c r="K149" i="2"/>
  <c r="L149" i="2"/>
  <c r="M149" i="2"/>
  <c r="N149" i="2"/>
  <c r="O149" i="2"/>
  <c r="P149" i="2"/>
  <c r="Q149" i="2"/>
  <c r="A150" i="2"/>
  <c r="B150" i="2"/>
  <c r="C150" i="2"/>
  <c r="D150" i="2"/>
  <c r="F150" i="2" s="1"/>
  <c r="E150" i="2"/>
  <c r="G150" i="2"/>
  <c r="H150" i="2"/>
  <c r="I150" i="2"/>
  <c r="J150" i="2"/>
  <c r="K150" i="2"/>
  <c r="L150" i="2"/>
  <c r="M150" i="2"/>
  <c r="N150" i="2"/>
  <c r="O150" i="2"/>
  <c r="P150" i="2"/>
  <c r="Q150" i="2"/>
  <c r="A151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A152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A153" i="2"/>
  <c r="B153" i="2"/>
  <c r="C153" i="2"/>
  <c r="D153" i="2"/>
  <c r="F153" i="2" s="1"/>
  <c r="E153" i="2"/>
  <c r="G153" i="2"/>
  <c r="H153" i="2"/>
  <c r="I153" i="2"/>
  <c r="J153" i="2"/>
  <c r="K153" i="2"/>
  <c r="L153" i="2"/>
  <c r="M153" i="2"/>
  <c r="N153" i="2"/>
  <c r="O153" i="2"/>
  <c r="P153" i="2"/>
  <c r="Q153" i="2"/>
  <c r="A154" i="2"/>
  <c r="B154" i="2"/>
  <c r="C154" i="2"/>
  <c r="D154" i="2"/>
  <c r="F154" i="2" s="1"/>
  <c r="E154" i="2"/>
  <c r="G154" i="2"/>
  <c r="H154" i="2"/>
  <c r="I154" i="2"/>
  <c r="J154" i="2"/>
  <c r="K154" i="2"/>
  <c r="L154" i="2"/>
  <c r="M154" i="2"/>
  <c r="N154" i="2"/>
  <c r="O154" i="2"/>
  <c r="P154" i="2"/>
  <c r="Q154" i="2"/>
  <c r="A155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A156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A157" i="2"/>
  <c r="B157" i="2"/>
  <c r="C157" i="2"/>
  <c r="D157" i="2"/>
  <c r="F157" i="2" s="1"/>
  <c r="E157" i="2"/>
  <c r="G157" i="2"/>
  <c r="H157" i="2"/>
  <c r="I157" i="2"/>
  <c r="J157" i="2"/>
  <c r="K157" i="2"/>
  <c r="L157" i="2"/>
  <c r="M157" i="2"/>
  <c r="N157" i="2"/>
  <c r="O157" i="2"/>
  <c r="P157" i="2"/>
  <c r="Q157" i="2"/>
  <c r="A158" i="2"/>
  <c r="B158" i="2"/>
  <c r="C158" i="2"/>
  <c r="D158" i="2"/>
  <c r="F158" i="2" s="1"/>
  <c r="E158" i="2"/>
  <c r="G158" i="2"/>
  <c r="H158" i="2"/>
  <c r="I158" i="2"/>
  <c r="J158" i="2"/>
  <c r="K158" i="2"/>
  <c r="L158" i="2"/>
  <c r="M158" i="2"/>
  <c r="N158" i="2"/>
  <c r="O158" i="2"/>
  <c r="P158" i="2"/>
  <c r="Q158" i="2"/>
  <c r="A159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A160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A161" i="2"/>
  <c r="B161" i="2"/>
  <c r="C161" i="2"/>
  <c r="D161" i="2"/>
  <c r="F161" i="2" s="1"/>
  <c r="E161" i="2"/>
  <c r="G161" i="2"/>
  <c r="H161" i="2"/>
  <c r="I161" i="2"/>
  <c r="J161" i="2"/>
  <c r="K161" i="2"/>
  <c r="L161" i="2"/>
  <c r="M161" i="2"/>
  <c r="N161" i="2"/>
  <c r="O161" i="2"/>
  <c r="P161" i="2"/>
  <c r="Q161" i="2"/>
  <c r="A162" i="2"/>
  <c r="B162" i="2"/>
  <c r="C162" i="2"/>
  <c r="D162" i="2"/>
  <c r="F162" i="2" s="1"/>
  <c r="E162" i="2"/>
  <c r="G162" i="2"/>
  <c r="H162" i="2"/>
  <c r="I162" i="2"/>
  <c r="J162" i="2"/>
  <c r="K162" i="2"/>
  <c r="L162" i="2"/>
  <c r="M162" i="2"/>
  <c r="N162" i="2"/>
  <c r="O162" i="2"/>
  <c r="P162" i="2"/>
  <c r="Q162" i="2"/>
  <c r="A163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A164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A165" i="2"/>
  <c r="B165" i="2"/>
  <c r="C165" i="2"/>
  <c r="D165" i="2"/>
  <c r="F165" i="2" s="1"/>
  <c r="E165" i="2"/>
  <c r="G165" i="2"/>
  <c r="H165" i="2"/>
  <c r="I165" i="2"/>
  <c r="J165" i="2"/>
  <c r="K165" i="2"/>
  <c r="L165" i="2"/>
  <c r="M165" i="2"/>
  <c r="N165" i="2"/>
  <c r="O165" i="2"/>
  <c r="P165" i="2"/>
  <c r="Q165" i="2"/>
  <c r="A166" i="2"/>
  <c r="B166" i="2"/>
  <c r="C166" i="2"/>
  <c r="D166" i="2"/>
  <c r="F166" i="2" s="1"/>
  <c r="E166" i="2"/>
  <c r="G166" i="2"/>
  <c r="H166" i="2"/>
  <c r="I166" i="2"/>
  <c r="J166" i="2"/>
  <c r="K166" i="2"/>
  <c r="L166" i="2"/>
  <c r="M166" i="2"/>
  <c r="N166" i="2"/>
  <c r="O166" i="2"/>
  <c r="P166" i="2"/>
  <c r="Q166" i="2"/>
  <c r="A167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A168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A169" i="2"/>
  <c r="B169" i="2"/>
  <c r="C169" i="2"/>
  <c r="D169" i="2"/>
  <c r="F169" i="2" s="1"/>
  <c r="E169" i="2"/>
  <c r="G169" i="2"/>
  <c r="H169" i="2"/>
  <c r="I169" i="2"/>
  <c r="J169" i="2"/>
  <c r="K169" i="2"/>
  <c r="L169" i="2"/>
  <c r="M169" i="2"/>
  <c r="N169" i="2"/>
  <c r="O169" i="2"/>
  <c r="P169" i="2"/>
  <c r="Q169" i="2"/>
  <c r="A170" i="2"/>
  <c r="B170" i="2"/>
  <c r="C170" i="2"/>
  <c r="D170" i="2"/>
  <c r="F170" i="2" s="1"/>
  <c r="E170" i="2"/>
  <c r="G170" i="2"/>
  <c r="H170" i="2"/>
  <c r="I170" i="2"/>
  <c r="J170" i="2"/>
  <c r="K170" i="2"/>
  <c r="L170" i="2"/>
  <c r="M170" i="2"/>
  <c r="N170" i="2"/>
  <c r="O170" i="2"/>
  <c r="P170" i="2"/>
  <c r="Q170" i="2"/>
  <c r="A171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A172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A173" i="2"/>
  <c r="B173" i="2"/>
  <c r="C173" i="2"/>
  <c r="D173" i="2"/>
  <c r="F173" i="2" s="1"/>
  <c r="E173" i="2"/>
  <c r="G173" i="2"/>
  <c r="H173" i="2"/>
  <c r="I173" i="2"/>
  <c r="J173" i="2"/>
  <c r="K173" i="2"/>
  <c r="L173" i="2"/>
  <c r="M173" i="2"/>
  <c r="N173" i="2"/>
  <c r="O173" i="2"/>
  <c r="P173" i="2"/>
  <c r="Q173" i="2"/>
  <c r="A174" i="2"/>
  <c r="B174" i="2"/>
  <c r="C174" i="2"/>
  <c r="D174" i="2"/>
  <c r="F174" i="2" s="1"/>
  <c r="E174" i="2"/>
  <c r="G174" i="2"/>
  <c r="H174" i="2"/>
  <c r="I174" i="2"/>
  <c r="J174" i="2"/>
  <c r="K174" i="2"/>
  <c r="L174" i="2"/>
  <c r="M174" i="2"/>
  <c r="N174" i="2"/>
  <c r="O174" i="2"/>
  <c r="P174" i="2"/>
  <c r="Q174" i="2"/>
  <c r="A175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A176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A177" i="2"/>
  <c r="B177" i="2"/>
  <c r="C177" i="2"/>
  <c r="D177" i="2"/>
  <c r="F177" i="2" s="1"/>
  <c r="E177" i="2"/>
  <c r="G177" i="2"/>
  <c r="H177" i="2"/>
  <c r="I177" i="2"/>
  <c r="J177" i="2"/>
  <c r="K177" i="2"/>
  <c r="L177" i="2"/>
  <c r="M177" i="2"/>
  <c r="N177" i="2"/>
  <c r="O177" i="2"/>
  <c r="P177" i="2"/>
  <c r="Q177" i="2"/>
  <c r="A178" i="2"/>
  <c r="B178" i="2"/>
  <c r="C178" i="2"/>
  <c r="D178" i="2"/>
  <c r="F178" i="2" s="1"/>
  <c r="E178" i="2"/>
  <c r="G178" i="2"/>
  <c r="H178" i="2"/>
  <c r="I178" i="2"/>
  <c r="J178" i="2"/>
  <c r="K178" i="2"/>
  <c r="L178" i="2"/>
  <c r="M178" i="2"/>
  <c r="N178" i="2"/>
  <c r="O178" i="2"/>
  <c r="P178" i="2"/>
  <c r="Q178" i="2"/>
  <c r="A179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A180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A181" i="2"/>
  <c r="B181" i="2"/>
  <c r="C181" i="2"/>
  <c r="D181" i="2"/>
  <c r="F181" i="2" s="1"/>
  <c r="E181" i="2"/>
  <c r="G181" i="2"/>
  <c r="H181" i="2"/>
  <c r="I181" i="2"/>
  <c r="J181" i="2"/>
  <c r="K181" i="2"/>
  <c r="L181" i="2"/>
  <c r="M181" i="2"/>
  <c r="N181" i="2"/>
  <c r="O181" i="2"/>
  <c r="P181" i="2"/>
  <c r="Q181" i="2"/>
  <c r="A182" i="2"/>
  <c r="B182" i="2"/>
  <c r="C182" i="2"/>
  <c r="D182" i="2"/>
  <c r="F182" i="2" s="1"/>
  <c r="E182" i="2"/>
  <c r="G182" i="2"/>
  <c r="H182" i="2"/>
  <c r="I182" i="2"/>
  <c r="J182" i="2"/>
  <c r="K182" i="2"/>
  <c r="L182" i="2"/>
  <c r="M182" i="2"/>
  <c r="N182" i="2"/>
  <c r="O182" i="2"/>
  <c r="P182" i="2"/>
  <c r="Q182" i="2"/>
  <c r="A183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A184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A185" i="2"/>
  <c r="B185" i="2"/>
  <c r="C185" i="2"/>
  <c r="D185" i="2"/>
  <c r="F185" i="2" s="1"/>
  <c r="E185" i="2"/>
  <c r="G185" i="2"/>
  <c r="H185" i="2"/>
  <c r="I185" i="2"/>
  <c r="J185" i="2"/>
  <c r="K185" i="2"/>
  <c r="L185" i="2"/>
  <c r="M185" i="2"/>
  <c r="N185" i="2"/>
  <c r="O185" i="2"/>
  <c r="P185" i="2"/>
  <c r="Q185" i="2"/>
  <c r="A186" i="2"/>
  <c r="B186" i="2"/>
  <c r="C186" i="2"/>
  <c r="D186" i="2"/>
  <c r="F186" i="2" s="1"/>
  <c r="E186" i="2"/>
  <c r="G186" i="2"/>
  <c r="H186" i="2"/>
  <c r="I186" i="2"/>
  <c r="J186" i="2"/>
  <c r="K186" i="2"/>
  <c r="L186" i="2"/>
  <c r="M186" i="2"/>
  <c r="N186" i="2"/>
  <c r="O186" i="2"/>
  <c r="P186" i="2"/>
  <c r="Q186" i="2"/>
  <c r="A187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A188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A189" i="2"/>
  <c r="B189" i="2"/>
  <c r="C189" i="2"/>
  <c r="D189" i="2"/>
  <c r="F189" i="2" s="1"/>
  <c r="E189" i="2"/>
  <c r="G189" i="2"/>
  <c r="H189" i="2"/>
  <c r="I189" i="2"/>
  <c r="J189" i="2"/>
  <c r="K189" i="2"/>
  <c r="L189" i="2"/>
  <c r="M189" i="2"/>
  <c r="N189" i="2"/>
  <c r="O189" i="2"/>
  <c r="P189" i="2"/>
  <c r="Q189" i="2"/>
  <c r="A190" i="2"/>
  <c r="B190" i="2"/>
  <c r="C190" i="2"/>
  <c r="D190" i="2"/>
  <c r="F190" i="2" s="1"/>
  <c r="E190" i="2"/>
  <c r="G190" i="2"/>
  <c r="H190" i="2"/>
  <c r="I190" i="2"/>
  <c r="J190" i="2"/>
  <c r="K190" i="2"/>
  <c r="L190" i="2"/>
  <c r="M190" i="2"/>
  <c r="N190" i="2"/>
  <c r="O190" i="2"/>
  <c r="P190" i="2"/>
  <c r="Q190" i="2"/>
  <c r="A191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A192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A193" i="2"/>
  <c r="B193" i="2"/>
  <c r="C193" i="2"/>
  <c r="D193" i="2"/>
  <c r="F193" i="2" s="1"/>
  <c r="E193" i="2"/>
  <c r="G193" i="2"/>
  <c r="H193" i="2"/>
  <c r="I193" i="2"/>
  <c r="J193" i="2"/>
  <c r="K193" i="2"/>
  <c r="L193" i="2"/>
  <c r="M193" i="2"/>
  <c r="N193" i="2"/>
  <c r="O193" i="2"/>
  <c r="P193" i="2"/>
  <c r="Q193" i="2"/>
  <c r="A194" i="2"/>
  <c r="B194" i="2"/>
  <c r="C194" i="2"/>
  <c r="D194" i="2"/>
  <c r="F194" i="2" s="1"/>
  <c r="E194" i="2"/>
  <c r="G194" i="2"/>
  <c r="H194" i="2"/>
  <c r="I194" i="2"/>
  <c r="J194" i="2"/>
  <c r="K194" i="2"/>
  <c r="L194" i="2"/>
  <c r="M194" i="2"/>
  <c r="N194" i="2"/>
  <c r="O194" i="2"/>
  <c r="P194" i="2"/>
  <c r="Q194" i="2"/>
  <c r="A195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A196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A197" i="2"/>
  <c r="B197" i="2"/>
  <c r="C197" i="2"/>
  <c r="D197" i="2"/>
  <c r="F197" i="2" s="1"/>
  <c r="E197" i="2"/>
  <c r="G197" i="2"/>
  <c r="H197" i="2"/>
  <c r="I197" i="2"/>
  <c r="J197" i="2"/>
  <c r="K197" i="2"/>
  <c r="L197" i="2"/>
  <c r="M197" i="2"/>
  <c r="N197" i="2"/>
  <c r="O197" i="2"/>
  <c r="P197" i="2"/>
  <c r="Q197" i="2"/>
  <c r="A198" i="2"/>
  <c r="B198" i="2"/>
  <c r="C198" i="2"/>
  <c r="D198" i="2"/>
  <c r="F198" i="2" s="1"/>
  <c r="E198" i="2"/>
  <c r="G198" i="2"/>
  <c r="H198" i="2"/>
  <c r="I198" i="2"/>
  <c r="J198" i="2"/>
  <c r="K198" i="2"/>
  <c r="L198" i="2"/>
  <c r="M198" i="2"/>
  <c r="N198" i="2"/>
  <c r="O198" i="2"/>
  <c r="P198" i="2"/>
  <c r="Q198" i="2"/>
  <c r="A199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A200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A201" i="2"/>
  <c r="B201" i="2"/>
  <c r="C201" i="2"/>
  <c r="D201" i="2"/>
  <c r="F201" i="2" s="1"/>
  <c r="E201" i="2"/>
  <c r="G201" i="2"/>
  <c r="H201" i="2"/>
  <c r="I201" i="2"/>
  <c r="J201" i="2"/>
  <c r="K201" i="2"/>
  <c r="L201" i="2"/>
  <c r="M201" i="2"/>
  <c r="N201" i="2"/>
  <c r="O201" i="2"/>
  <c r="P201" i="2"/>
  <c r="Q201" i="2"/>
  <c r="A202" i="2"/>
  <c r="B202" i="2"/>
  <c r="C202" i="2"/>
  <c r="D202" i="2"/>
  <c r="F202" i="2" s="1"/>
  <c r="E202" i="2"/>
  <c r="G202" i="2"/>
  <c r="H202" i="2"/>
  <c r="I202" i="2"/>
  <c r="J202" i="2"/>
  <c r="K202" i="2"/>
  <c r="L202" i="2"/>
  <c r="M202" i="2"/>
  <c r="N202" i="2"/>
  <c r="O202" i="2"/>
  <c r="P202" i="2"/>
  <c r="Q202" i="2"/>
  <c r="A203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A204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A205" i="2"/>
  <c r="B205" i="2"/>
  <c r="C205" i="2"/>
  <c r="D205" i="2"/>
  <c r="F205" i="2" s="1"/>
  <c r="E205" i="2"/>
  <c r="G205" i="2"/>
  <c r="H205" i="2"/>
  <c r="I205" i="2"/>
  <c r="J205" i="2"/>
  <c r="K205" i="2"/>
  <c r="L205" i="2"/>
  <c r="M205" i="2"/>
  <c r="N205" i="2"/>
  <c r="O205" i="2"/>
  <c r="P205" i="2"/>
  <c r="Q205" i="2"/>
  <c r="A206" i="2"/>
  <c r="B206" i="2"/>
  <c r="C206" i="2"/>
  <c r="D206" i="2"/>
  <c r="F206" i="2" s="1"/>
  <c r="E206" i="2"/>
  <c r="G206" i="2"/>
  <c r="H206" i="2"/>
  <c r="I206" i="2"/>
  <c r="J206" i="2"/>
  <c r="K206" i="2"/>
  <c r="L206" i="2"/>
  <c r="M206" i="2"/>
  <c r="N206" i="2"/>
  <c r="O206" i="2"/>
  <c r="P206" i="2"/>
  <c r="Q206" i="2"/>
  <c r="A207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A208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A209" i="2"/>
  <c r="B209" i="2"/>
  <c r="C209" i="2"/>
  <c r="D209" i="2"/>
  <c r="F209" i="2" s="1"/>
  <c r="E209" i="2"/>
  <c r="G209" i="2"/>
  <c r="H209" i="2"/>
  <c r="I209" i="2"/>
  <c r="J209" i="2"/>
  <c r="K209" i="2"/>
  <c r="L209" i="2"/>
  <c r="M209" i="2"/>
  <c r="N209" i="2"/>
  <c r="O209" i="2"/>
  <c r="P209" i="2"/>
  <c r="Q209" i="2"/>
  <c r="A210" i="2"/>
  <c r="B210" i="2"/>
  <c r="C210" i="2"/>
  <c r="D210" i="2"/>
  <c r="F210" i="2" s="1"/>
  <c r="E210" i="2"/>
  <c r="G210" i="2"/>
  <c r="H210" i="2"/>
  <c r="I210" i="2"/>
  <c r="J210" i="2"/>
  <c r="K210" i="2"/>
  <c r="L210" i="2"/>
  <c r="M210" i="2"/>
  <c r="N210" i="2"/>
  <c r="O210" i="2"/>
  <c r="P210" i="2"/>
  <c r="Q210" i="2"/>
  <c r="A211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A212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A213" i="2"/>
  <c r="B213" i="2"/>
  <c r="C213" i="2"/>
  <c r="D213" i="2"/>
  <c r="F213" i="2" s="1"/>
  <c r="E213" i="2"/>
  <c r="G213" i="2"/>
  <c r="H213" i="2"/>
  <c r="I213" i="2"/>
  <c r="J213" i="2"/>
  <c r="K213" i="2"/>
  <c r="L213" i="2"/>
  <c r="M213" i="2"/>
  <c r="N213" i="2"/>
  <c r="O213" i="2"/>
  <c r="P213" i="2"/>
  <c r="Q213" i="2"/>
  <c r="A214" i="2"/>
  <c r="B214" i="2"/>
  <c r="C214" i="2"/>
  <c r="D214" i="2"/>
  <c r="F214" i="2" s="1"/>
  <c r="E214" i="2"/>
  <c r="G214" i="2"/>
  <c r="H214" i="2"/>
  <c r="I214" i="2"/>
  <c r="J214" i="2"/>
  <c r="K214" i="2"/>
  <c r="L214" i="2"/>
  <c r="M214" i="2"/>
  <c r="N214" i="2"/>
  <c r="O214" i="2"/>
  <c r="P214" i="2"/>
  <c r="Q214" i="2"/>
  <c r="A215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A216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A217" i="2"/>
  <c r="B217" i="2"/>
  <c r="C217" i="2"/>
  <c r="D217" i="2"/>
  <c r="F217" i="2" s="1"/>
  <c r="E217" i="2"/>
  <c r="G217" i="2"/>
  <c r="H217" i="2"/>
  <c r="I217" i="2"/>
  <c r="J217" i="2"/>
  <c r="K217" i="2"/>
  <c r="L217" i="2"/>
  <c r="M217" i="2"/>
  <c r="N217" i="2"/>
  <c r="O217" i="2"/>
  <c r="P217" i="2"/>
  <c r="Q217" i="2"/>
  <c r="A218" i="2"/>
  <c r="B218" i="2"/>
  <c r="C218" i="2"/>
  <c r="D218" i="2"/>
  <c r="F218" i="2" s="1"/>
  <c r="E218" i="2"/>
  <c r="G218" i="2"/>
  <c r="H218" i="2"/>
  <c r="I218" i="2"/>
  <c r="J218" i="2"/>
  <c r="K218" i="2"/>
  <c r="L218" i="2"/>
  <c r="M218" i="2"/>
  <c r="N218" i="2"/>
  <c r="O218" i="2"/>
  <c r="P218" i="2"/>
  <c r="Q218" i="2"/>
  <c r="A219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A220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A221" i="2"/>
  <c r="B221" i="2"/>
  <c r="C221" i="2"/>
  <c r="D221" i="2"/>
  <c r="F221" i="2" s="1"/>
  <c r="E221" i="2"/>
  <c r="G221" i="2"/>
  <c r="H221" i="2"/>
  <c r="I221" i="2"/>
  <c r="J221" i="2"/>
  <c r="K221" i="2"/>
  <c r="L221" i="2"/>
  <c r="M221" i="2"/>
  <c r="N221" i="2"/>
  <c r="O221" i="2"/>
  <c r="P221" i="2"/>
  <c r="Q221" i="2"/>
  <c r="A222" i="2"/>
  <c r="B222" i="2"/>
  <c r="C222" i="2"/>
  <c r="D222" i="2"/>
  <c r="F222" i="2" s="1"/>
  <c r="E222" i="2"/>
  <c r="G222" i="2"/>
  <c r="H222" i="2"/>
  <c r="I222" i="2"/>
  <c r="J222" i="2"/>
  <c r="K222" i="2"/>
  <c r="L222" i="2"/>
  <c r="M222" i="2"/>
  <c r="N222" i="2"/>
  <c r="O222" i="2"/>
  <c r="P222" i="2"/>
  <c r="Q222" i="2"/>
  <c r="A223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A224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A225" i="2"/>
  <c r="B225" i="2"/>
  <c r="C225" i="2"/>
  <c r="D225" i="2"/>
  <c r="F225" i="2" s="1"/>
  <c r="E225" i="2"/>
  <c r="G225" i="2"/>
  <c r="H225" i="2"/>
  <c r="I225" i="2"/>
  <c r="J225" i="2"/>
  <c r="K225" i="2"/>
  <c r="L225" i="2"/>
  <c r="M225" i="2"/>
  <c r="N225" i="2"/>
  <c r="O225" i="2"/>
  <c r="P225" i="2"/>
  <c r="Q225" i="2"/>
  <c r="A226" i="2"/>
  <c r="B226" i="2"/>
  <c r="C226" i="2"/>
  <c r="D226" i="2"/>
  <c r="F226" i="2" s="1"/>
  <c r="E226" i="2"/>
  <c r="G226" i="2"/>
  <c r="H226" i="2"/>
  <c r="I226" i="2"/>
  <c r="J226" i="2"/>
  <c r="K226" i="2"/>
  <c r="L226" i="2"/>
  <c r="M226" i="2"/>
  <c r="N226" i="2"/>
  <c r="O226" i="2"/>
  <c r="P226" i="2"/>
  <c r="Q226" i="2"/>
  <c r="A227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A228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A229" i="2"/>
  <c r="B229" i="2"/>
  <c r="C229" i="2"/>
  <c r="D229" i="2"/>
  <c r="F229" i="2" s="1"/>
  <c r="E229" i="2"/>
  <c r="G229" i="2"/>
  <c r="H229" i="2"/>
  <c r="I229" i="2"/>
  <c r="J229" i="2"/>
  <c r="K229" i="2"/>
  <c r="L229" i="2"/>
  <c r="M229" i="2"/>
  <c r="N229" i="2"/>
  <c r="O229" i="2"/>
  <c r="P229" i="2"/>
  <c r="Q229" i="2"/>
  <c r="A230" i="2"/>
  <c r="B230" i="2"/>
  <c r="C230" i="2"/>
  <c r="D230" i="2"/>
  <c r="F230" i="2" s="1"/>
  <c r="E230" i="2"/>
  <c r="G230" i="2"/>
  <c r="H230" i="2"/>
  <c r="I230" i="2"/>
  <c r="J230" i="2"/>
  <c r="K230" i="2"/>
  <c r="L230" i="2"/>
  <c r="M230" i="2"/>
  <c r="N230" i="2"/>
  <c r="O230" i="2"/>
  <c r="P230" i="2"/>
  <c r="Q230" i="2"/>
  <c r="A231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A232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A233" i="2"/>
  <c r="B233" i="2"/>
  <c r="C233" i="2"/>
  <c r="D233" i="2"/>
  <c r="F233" i="2" s="1"/>
  <c r="E233" i="2"/>
  <c r="G233" i="2"/>
  <c r="H233" i="2"/>
  <c r="I233" i="2"/>
  <c r="J233" i="2"/>
  <c r="K233" i="2"/>
  <c r="L233" i="2"/>
  <c r="M233" i="2"/>
  <c r="N233" i="2"/>
  <c r="O233" i="2"/>
  <c r="P233" i="2"/>
  <c r="Q233" i="2"/>
  <c r="A234" i="2"/>
  <c r="B234" i="2"/>
  <c r="C234" i="2"/>
  <c r="D234" i="2"/>
  <c r="F234" i="2" s="1"/>
  <c r="E234" i="2"/>
  <c r="G234" i="2"/>
  <c r="H234" i="2"/>
  <c r="I234" i="2"/>
  <c r="J234" i="2"/>
  <c r="K234" i="2"/>
  <c r="L234" i="2"/>
  <c r="M234" i="2"/>
  <c r="N234" i="2"/>
  <c r="O234" i="2"/>
  <c r="P234" i="2"/>
  <c r="Q234" i="2"/>
  <c r="A235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A236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A237" i="2"/>
  <c r="B237" i="2"/>
  <c r="C237" i="2"/>
  <c r="D237" i="2"/>
  <c r="F237" i="2" s="1"/>
  <c r="E237" i="2"/>
  <c r="G237" i="2"/>
  <c r="H237" i="2"/>
  <c r="I237" i="2"/>
  <c r="J237" i="2"/>
  <c r="K237" i="2"/>
  <c r="L237" i="2"/>
  <c r="M237" i="2"/>
  <c r="N237" i="2"/>
  <c r="O237" i="2"/>
  <c r="P237" i="2"/>
  <c r="Q237" i="2"/>
  <c r="A238" i="2"/>
  <c r="B238" i="2"/>
  <c r="C238" i="2"/>
  <c r="D238" i="2"/>
  <c r="F238" i="2" s="1"/>
  <c r="E238" i="2"/>
  <c r="G238" i="2"/>
  <c r="H238" i="2"/>
  <c r="I238" i="2"/>
  <c r="J238" i="2"/>
  <c r="K238" i="2"/>
  <c r="L238" i="2"/>
  <c r="M238" i="2"/>
  <c r="N238" i="2"/>
  <c r="O238" i="2"/>
  <c r="P238" i="2"/>
  <c r="Q238" i="2"/>
  <c r="A239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A240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A241" i="2"/>
  <c r="B241" i="2"/>
  <c r="C241" i="2"/>
  <c r="D241" i="2"/>
  <c r="F241" i="2" s="1"/>
  <c r="E241" i="2"/>
  <c r="G241" i="2"/>
  <c r="H241" i="2"/>
  <c r="I241" i="2"/>
  <c r="J241" i="2"/>
  <c r="K241" i="2"/>
  <c r="L241" i="2"/>
  <c r="M241" i="2"/>
  <c r="N241" i="2"/>
  <c r="O241" i="2"/>
  <c r="P241" i="2"/>
  <c r="Q241" i="2"/>
  <c r="A242" i="2"/>
  <c r="B242" i="2"/>
  <c r="C242" i="2"/>
  <c r="D242" i="2"/>
  <c r="F242" i="2" s="1"/>
  <c r="E242" i="2"/>
  <c r="G242" i="2"/>
  <c r="H242" i="2"/>
  <c r="I242" i="2"/>
  <c r="J242" i="2"/>
  <c r="K242" i="2"/>
  <c r="L242" i="2"/>
  <c r="M242" i="2"/>
  <c r="N242" i="2"/>
  <c r="O242" i="2"/>
  <c r="P242" i="2"/>
  <c r="Q242" i="2"/>
  <c r="A243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A244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A245" i="2"/>
  <c r="B245" i="2"/>
  <c r="C245" i="2"/>
  <c r="D245" i="2"/>
  <c r="F245" i="2" s="1"/>
  <c r="E245" i="2"/>
  <c r="G245" i="2"/>
  <c r="H245" i="2"/>
  <c r="I245" i="2"/>
  <c r="J245" i="2"/>
  <c r="K245" i="2"/>
  <c r="L245" i="2"/>
  <c r="M245" i="2"/>
  <c r="N245" i="2"/>
  <c r="O245" i="2"/>
  <c r="P245" i="2"/>
  <c r="Q245" i="2"/>
  <c r="A246" i="2"/>
  <c r="B246" i="2"/>
  <c r="C246" i="2"/>
  <c r="D246" i="2"/>
  <c r="F246" i="2" s="1"/>
  <c r="E246" i="2"/>
  <c r="G246" i="2"/>
  <c r="H246" i="2"/>
  <c r="I246" i="2"/>
  <c r="J246" i="2"/>
  <c r="K246" i="2"/>
  <c r="L246" i="2"/>
  <c r="M246" i="2"/>
  <c r="N246" i="2"/>
  <c r="O246" i="2"/>
  <c r="P246" i="2"/>
  <c r="Q246" i="2"/>
  <c r="A247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A248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A249" i="2"/>
  <c r="B249" i="2"/>
  <c r="C249" i="2"/>
  <c r="D249" i="2"/>
  <c r="F249" i="2" s="1"/>
  <c r="E249" i="2"/>
  <c r="G249" i="2"/>
  <c r="H249" i="2"/>
  <c r="I249" i="2"/>
  <c r="J249" i="2"/>
  <c r="K249" i="2"/>
  <c r="L249" i="2"/>
  <c r="M249" i="2"/>
  <c r="N249" i="2"/>
  <c r="O249" i="2"/>
  <c r="P249" i="2"/>
  <c r="Q249" i="2"/>
  <c r="A250" i="2"/>
  <c r="B250" i="2"/>
  <c r="C250" i="2"/>
  <c r="D250" i="2"/>
  <c r="F250" i="2" s="1"/>
  <c r="E250" i="2"/>
  <c r="G250" i="2"/>
  <c r="H250" i="2"/>
  <c r="I250" i="2"/>
  <c r="J250" i="2"/>
  <c r="K250" i="2"/>
  <c r="L250" i="2"/>
  <c r="M250" i="2"/>
  <c r="N250" i="2"/>
  <c r="O250" i="2"/>
  <c r="P250" i="2"/>
  <c r="Q250" i="2"/>
  <c r="A251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A252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A253" i="2"/>
  <c r="B253" i="2"/>
  <c r="C253" i="2"/>
  <c r="D253" i="2"/>
  <c r="F253" i="2" s="1"/>
  <c r="E253" i="2"/>
  <c r="G253" i="2"/>
  <c r="H253" i="2"/>
  <c r="I253" i="2"/>
  <c r="J253" i="2"/>
  <c r="K253" i="2"/>
  <c r="L253" i="2"/>
  <c r="M253" i="2"/>
  <c r="N253" i="2"/>
  <c r="O253" i="2"/>
  <c r="P253" i="2"/>
  <c r="Q253" i="2"/>
  <c r="A254" i="2"/>
  <c r="B254" i="2"/>
  <c r="C254" i="2"/>
  <c r="D254" i="2"/>
  <c r="F254" i="2" s="1"/>
  <c r="E254" i="2"/>
  <c r="G254" i="2"/>
  <c r="H254" i="2"/>
  <c r="I254" i="2"/>
  <c r="J254" i="2"/>
  <c r="K254" i="2"/>
  <c r="L254" i="2"/>
  <c r="M254" i="2"/>
  <c r="N254" i="2"/>
  <c r="O254" i="2"/>
  <c r="P254" i="2"/>
  <c r="Q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A257" i="2"/>
  <c r="B257" i="2"/>
  <c r="C257" i="2"/>
  <c r="D257" i="2"/>
  <c r="F257" i="2" s="1"/>
  <c r="E257" i="2"/>
  <c r="G257" i="2"/>
  <c r="H257" i="2"/>
  <c r="I257" i="2"/>
  <c r="J257" i="2"/>
  <c r="K257" i="2"/>
  <c r="L257" i="2"/>
  <c r="M257" i="2"/>
  <c r="N257" i="2"/>
  <c r="O257" i="2"/>
  <c r="P257" i="2"/>
  <c r="Q257" i="2"/>
  <c r="A258" i="2"/>
  <c r="B258" i="2"/>
  <c r="C258" i="2"/>
  <c r="D258" i="2"/>
  <c r="F258" i="2" s="1"/>
  <c r="E258" i="2"/>
  <c r="G258" i="2"/>
  <c r="H258" i="2"/>
  <c r="I258" i="2"/>
  <c r="J258" i="2"/>
  <c r="K258" i="2"/>
  <c r="L258" i="2"/>
  <c r="M258" i="2"/>
  <c r="N258" i="2"/>
  <c r="O258" i="2"/>
  <c r="P258" i="2"/>
  <c r="Q258" i="2"/>
  <c r="A259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A260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A261" i="2"/>
  <c r="B261" i="2"/>
  <c r="C261" i="2"/>
  <c r="D261" i="2"/>
  <c r="F261" i="2" s="1"/>
  <c r="E261" i="2"/>
  <c r="G261" i="2"/>
  <c r="H261" i="2"/>
  <c r="I261" i="2"/>
  <c r="J261" i="2"/>
  <c r="K261" i="2"/>
  <c r="L261" i="2"/>
  <c r="M261" i="2"/>
  <c r="N261" i="2"/>
  <c r="O261" i="2"/>
  <c r="P261" i="2"/>
  <c r="Q261" i="2"/>
  <c r="A262" i="2"/>
  <c r="B262" i="2"/>
  <c r="C262" i="2"/>
  <c r="D262" i="2"/>
  <c r="F262" i="2" s="1"/>
  <c r="E262" i="2"/>
  <c r="G262" i="2"/>
  <c r="H262" i="2"/>
  <c r="I262" i="2"/>
  <c r="J262" i="2"/>
  <c r="K262" i="2"/>
  <c r="L262" i="2"/>
  <c r="M262" i="2"/>
  <c r="N262" i="2"/>
  <c r="O262" i="2"/>
  <c r="P262" i="2"/>
  <c r="Q262" i="2"/>
  <c r="A263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A264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A265" i="2"/>
  <c r="B265" i="2"/>
  <c r="C265" i="2"/>
  <c r="D265" i="2"/>
  <c r="F265" i="2" s="1"/>
  <c r="E265" i="2"/>
  <c r="G265" i="2"/>
  <c r="H265" i="2"/>
  <c r="I265" i="2"/>
  <c r="J265" i="2"/>
  <c r="K265" i="2"/>
  <c r="L265" i="2"/>
  <c r="M265" i="2"/>
  <c r="N265" i="2"/>
  <c r="O265" i="2"/>
  <c r="P265" i="2"/>
  <c r="Q265" i="2"/>
  <c r="A266" i="2"/>
  <c r="B266" i="2"/>
  <c r="C266" i="2"/>
  <c r="D266" i="2"/>
  <c r="F266" i="2" s="1"/>
  <c r="E266" i="2"/>
  <c r="G266" i="2"/>
  <c r="H266" i="2"/>
  <c r="I266" i="2"/>
  <c r="J266" i="2"/>
  <c r="K266" i="2"/>
  <c r="L266" i="2"/>
  <c r="M266" i="2"/>
  <c r="N266" i="2"/>
  <c r="O266" i="2"/>
  <c r="P266" i="2"/>
  <c r="Q266" i="2"/>
  <c r="A267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A268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A269" i="2"/>
  <c r="B269" i="2"/>
  <c r="C269" i="2"/>
  <c r="D269" i="2"/>
  <c r="F269" i="2" s="1"/>
  <c r="E269" i="2"/>
  <c r="G269" i="2"/>
  <c r="H269" i="2"/>
  <c r="I269" i="2"/>
  <c r="J269" i="2"/>
  <c r="K269" i="2"/>
  <c r="L269" i="2"/>
  <c r="M269" i="2"/>
  <c r="N269" i="2"/>
  <c r="O269" i="2"/>
  <c r="P269" i="2"/>
  <c r="Q269" i="2"/>
  <c r="A270" i="2"/>
  <c r="B270" i="2"/>
  <c r="C270" i="2"/>
  <c r="D270" i="2"/>
  <c r="F270" i="2" s="1"/>
  <c r="E270" i="2"/>
  <c r="G270" i="2"/>
  <c r="H270" i="2"/>
  <c r="I270" i="2"/>
  <c r="J270" i="2"/>
  <c r="K270" i="2"/>
  <c r="L270" i="2"/>
  <c r="M270" i="2"/>
  <c r="N270" i="2"/>
  <c r="O270" i="2"/>
  <c r="P270" i="2"/>
  <c r="Q270" i="2"/>
  <c r="A271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A272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A273" i="2"/>
  <c r="B273" i="2"/>
  <c r="C273" i="2"/>
  <c r="D273" i="2"/>
  <c r="F273" i="2" s="1"/>
  <c r="E273" i="2"/>
  <c r="G273" i="2"/>
  <c r="H273" i="2"/>
  <c r="I273" i="2"/>
  <c r="J273" i="2"/>
  <c r="K273" i="2"/>
  <c r="L273" i="2"/>
  <c r="M273" i="2"/>
  <c r="N273" i="2"/>
  <c r="O273" i="2"/>
  <c r="P273" i="2"/>
  <c r="Q273" i="2"/>
  <c r="A274" i="2"/>
  <c r="B274" i="2"/>
  <c r="C274" i="2"/>
  <c r="D274" i="2"/>
  <c r="F274" i="2" s="1"/>
  <c r="E274" i="2"/>
  <c r="G274" i="2"/>
  <c r="H274" i="2"/>
  <c r="I274" i="2"/>
  <c r="J274" i="2"/>
  <c r="K274" i="2"/>
  <c r="L274" i="2"/>
  <c r="M274" i="2"/>
  <c r="N274" i="2"/>
  <c r="O274" i="2"/>
  <c r="P274" i="2"/>
  <c r="Q274" i="2"/>
  <c r="A275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A276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A277" i="2"/>
  <c r="B277" i="2"/>
  <c r="C277" i="2"/>
  <c r="D277" i="2"/>
  <c r="F277" i="2" s="1"/>
  <c r="E277" i="2"/>
  <c r="G277" i="2"/>
  <c r="H277" i="2"/>
  <c r="I277" i="2"/>
  <c r="J277" i="2"/>
  <c r="K277" i="2"/>
  <c r="L277" i="2"/>
  <c r="M277" i="2"/>
  <c r="N277" i="2"/>
  <c r="O277" i="2"/>
  <c r="P277" i="2"/>
  <c r="Q277" i="2"/>
  <c r="A278" i="2"/>
  <c r="B278" i="2"/>
  <c r="C278" i="2"/>
  <c r="D278" i="2"/>
  <c r="F278" i="2" s="1"/>
  <c r="E278" i="2"/>
  <c r="G278" i="2"/>
  <c r="H278" i="2"/>
  <c r="I278" i="2"/>
  <c r="J278" i="2"/>
  <c r="K278" i="2"/>
  <c r="L278" i="2"/>
  <c r="M278" i="2"/>
  <c r="N278" i="2"/>
  <c r="O278" i="2"/>
  <c r="P278" i="2"/>
  <c r="Q278" i="2"/>
  <c r="A279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A280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A281" i="2"/>
  <c r="B281" i="2"/>
  <c r="C281" i="2"/>
  <c r="D281" i="2"/>
  <c r="F281" i="2" s="1"/>
  <c r="E281" i="2"/>
  <c r="G281" i="2"/>
  <c r="H281" i="2"/>
  <c r="I281" i="2"/>
  <c r="J281" i="2"/>
  <c r="K281" i="2"/>
  <c r="L281" i="2"/>
  <c r="M281" i="2"/>
  <c r="N281" i="2"/>
  <c r="O281" i="2"/>
  <c r="P281" i="2"/>
  <c r="Q281" i="2"/>
  <c r="A282" i="2"/>
  <c r="B282" i="2"/>
  <c r="C282" i="2"/>
  <c r="D282" i="2"/>
  <c r="F282" i="2" s="1"/>
  <c r="E282" i="2"/>
  <c r="G282" i="2"/>
  <c r="H282" i="2"/>
  <c r="I282" i="2"/>
  <c r="J282" i="2"/>
  <c r="K282" i="2"/>
  <c r="L282" i="2"/>
  <c r="M282" i="2"/>
  <c r="N282" i="2"/>
  <c r="O282" i="2"/>
  <c r="P282" i="2"/>
  <c r="Q282" i="2"/>
  <c r="A283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A284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A285" i="2"/>
  <c r="B285" i="2"/>
  <c r="C285" i="2"/>
  <c r="D285" i="2"/>
  <c r="F285" i="2" s="1"/>
  <c r="E285" i="2"/>
  <c r="G285" i="2"/>
  <c r="H285" i="2"/>
  <c r="I285" i="2"/>
  <c r="J285" i="2"/>
  <c r="K285" i="2"/>
  <c r="L285" i="2"/>
  <c r="M285" i="2"/>
  <c r="N285" i="2"/>
  <c r="O285" i="2"/>
  <c r="P285" i="2"/>
  <c r="Q285" i="2"/>
  <c r="A286" i="2"/>
  <c r="B286" i="2"/>
  <c r="C286" i="2"/>
  <c r="D286" i="2"/>
  <c r="F286" i="2" s="1"/>
  <c r="E286" i="2"/>
  <c r="G286" i="2"/>
  <c r="H286" i="2"/>
  <c r="I286" i="2"/>
  <c r="J286" i="2"/>
  <c r="K286" i="2"/>
  <c r="L286" i="2"/>
  <c r="M286" i="2"/>
  <c r="N286" i="2"/>
  <c r="O286" i="2"/>
  <c r="P286" i="2"/>
  <c r="Q286" i="2"/>
  <c r="A287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A288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A289" i="2"/>
  <c r="B289" i="2"/>
  <c r="C289" i="2"/>
  <c r="D289" i="2"/>
  <c r="F289" i="2" s="1"/>
  <c r="E289" i="2"/>
  <c r="G289" i="2"/>
  <c r="H289" i="2"/>
  <c r="I289" i="2"/>
  <c r="J289" i="2"/>
  <c r="K289" i="2"/>
  <c r="L289" i="2"/>
  <c r="M289" i="2"/>
  <c r="N289" i="2"/>
  <c r="O289" i="2"/>
  <c r="P289" i="2"/>
  <c r="Q289" i="2"/>
  <c r="A290" i="2"/>
  <c r="B290" i="2"/>
  <c r="C290" i="2"/>
  <c r="D290" i="2"/>
  <c r="F290" i="2" s="1"/>
  <c r="E290" i="2"/>
  <c r="G290" i="2"/>
  <c r="H290" i="2"/>
  <c r="I290" i="2"/>
  <c r="J290" i="2"/>
  <c r="K290" i="2"/>
  <c r="L290" i="2"/>
  <c r="M290" i="2"/>
  <c r="N290" i="2"/>
  <c r="O290" i="2"/>
  <c r="P290" i="2"/>
  <c r="Q290" i="2"/>
  <c r="A291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A292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A293" i="2"/>
  <c r="B293" i="2"/>
  <c r="C293" i="2"/>
  <c r="D293" i="2"/>
  <c r="F293" i="2" s="1"/>
  <c r="E293" i="2"/>
  <c r="G293" i="2"/>
  <c r="H293" i="2"/>
  <c r="I293" i="2"/>
  <c r="J293" i="2"/>
  <c r="K293" i="2"/>
  <c r="L293" i="2"/>
  <c r="M293" i="2"/>
  <c r="N293" i="2"/>
  <c r="O293" i="2"/>
  <c r="P293" i="2"/>
  <c r="Q293" i="2"/>
  <c r="A294" i="2"/>
  <c r="B294" i="2"/>
  <c r="C294" i="2"/>
  <c r="D294" i="2"/>
  <c r="F294" i="2" s="1"/>
  <c r="E294" i="2"/>
  <c r="G294" i="2"/>
  <c r="H294" i="2"/>
  <c r="I294" i="2"/>
  <c r="J294" i="2"/>
  <c r="K294" i="2"/>
  <c r="L294" i="2"/>
  <c r="M294" i="2"/>
  <c r="N294" i="2"/>
  <c r="O294" i="2"/>
  <c r="P294" i="2"/>
  <c r="Q294" i="2"/>
  <c r="A295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A296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A297" i="2"/>
  <c r="B297" i="2"/>
  <c r="C297" i="2"/>
  <c r="D297" i="2"/>
  <c r="F297" i="2" s="1"/>
  <c r="E297" i="2"/>
  <c r="G297" i="2"/>
  <c r="H297" i="2"/>
  <c r="I297" i="2"/>
  <c r="J297" i="2"/>
  <c r="K297" i="2"/>
  <c r="L297" i="2"/>
  <c r="M297" i="2"/>
  <c r="N297" i="2"/>
  <c r="O297" i="2"/>
  <c r="P297" i="2"/>
  <c r="Q297" i="2"/>
  <c r="A298" i="2"/>
  <c r="B298" i="2"/>
  <c r="C298" i="2"/>
  <c r="D298" i="2"/>
  <c r="F298" i="2" s="1"/>
  <c r="E298" i="2"/>
  <c r="G298" i="2"/>
  <c r="H298" i="2"/>
  <c r="I298" i="2"/>
  <c r="J298" i="2"/>
  <c r="K298" i="2"/>
  <c r="L298" i="2"/>
  <c r="M298" i="2"/>
  <c r="N298" i="2"/>
  <c r="O298" i="2"/>
  <c r="P298" i="2"/>
  <c r="Q298" i="2"/>
  <c r="A299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A300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A301" i="2"/>
  <c r="B301" i="2"/>
  <c r="C301" i="2"/>
  <c r="D301" i="2"/>
  <c r="F301" i="2" s="1"/>
  <c r="E301" i="2"/>
  <c r="G301" i="2"/>
  <c r="H301" i="2"/>
  <c r="I301" i="2"/>
  <c r="J301" i="2"/>
  <c r="K301" i="2"/>
  <c r="L301" i="2"/>
  <c r="M301" i="2"/>
  <c r="N301" i="2"/>
  <c r="O301" i="2"/>
  <c r="P301" i="2"/>
  <c r="Q301" i="2"/>
  <c r="A302" i="2"/>
  <c r="B302" i="2"/>
  <c r="C302" i="2"/>
  <c r="D302" i="2"/>
  <c r="F302" i="2" s="1"/>
  <c r="E302" i="2"/>
  <c r="G302" i="2"/>
  <c r="H302" i="2"/>
  <c r="I302" i="2"/>
  <c r="J302" i="2"/>
  <c r="K302" i="2"/>
  <c r="L302" i="2"/>
  <c r="M302" i="2"/>
  <c r="N302" i="2"/>
  <c r="O302" i="2"/>
  <c r="P302" i="2"/>
  <c r="Q302" i="2"/>
  <c r="A303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A304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A305" i="2"/>
  <c r="B305" i="2"/>
  <c r="C305" i="2"/>
  <c r="D305" i="2"/>
  <c r="F305" i="2" s="1"/>
  <c r="E305" i="2"/>
  <c r="G305" i="2"/>
  <c r="H305" i="2"/>
  <c r="I305" i="2"/>
  <c r="J305" i="2"/>
  <c r="K305" i="2"/>
  <c r="L305" i="2"/>
  <c r="M305" i="2"/>
  <c r="N305" i="2"/>
  <c r="O305" i="2"/>
  <c r="P305" i="2"/>
  <c r="Q305" i="2"/>
  <c r="A306" i="2"/>
  <c r="B306" i="2"/>
  <c r="C306" i="2"/>
  <c r="D306" i="2"/>
  <c r="F306" i="2" s="1"/>
  <c r="E306" i="2"/>
  <c r="G306" i="2"/>
  <c r="H306" i="2"/>
  <c r="I306" i="2"/>
  <c r="J306" i="2"/>
  <c r="K306" i="2"/>
  <c r="L306" i="2"/>
  <c r="M306" i="2"/>
  <c r="N306" i="2"/>
  <c r="O306" i="2"/>
  <c r="P306" i="2"/>
  <c r="Q306" i="2"/>
  <c r="A307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A308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A309" i="2"/>
  <c r="B309" i="2"/>
  <c r="C309" i="2"/>
  <c r="D309" i="2"/>
  <c r="F309" i="2" s="1"/>
  <c r="E309" i="2"/>
  <c r="G309" i="2"/>
  <c r="H309" i="2"/>
  <c r="I309" i="2"/>
  <c r="J309" i="2"/>
  <c r="K309" i="2"/>
  <c r="L309" i="2"/>
  <c r="M309" i="2"/>
  <c r="N309" i="2"/>
  <c r="O309" i="2"/>
  <c r="P309" i="2"/>
  <c r="Q309" i="2"/>
  <c r="A310" i="2"/>
  <c r="B310" i="2"/>
  <c r="C310" i="2"/>
  <c r="D310" i="2"/>
  <c r="F310" i="2" s="1"/>
  <c r="E310" i="2"/>
  <c r="G310" i="2"/>
  <c r="H310" i="2"/>
  <c r="I310" i="2"/>
  <c r="J310" i="2"/>
  <c r="K310" i="2"/>
  <c r="L310" i="2"/>
  <c r="M310" i="2"/>
  <c r="N310" i="2"/>
  <c r="O310" i="2"/>
  <c r="P310" i="2"/>
  <c r="Q310" i="2"/>
  <c r="A311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A312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A313" i="2"/>
  <c r="B313" i="2"/>
  <c r="C313" i="2"/>
  <c r="D313" i="2"/>
  <c r="F313" i="2" s="1"/>
  <c r="E313" i="2"/>
  <c r="G313" i="2"/>
  <c r="H313" i="2"/>
  <c r="I313" i="2"/>
  <c r="J313" i="2"/>
  <c r="K313" i="2"/>
  <c r="L313" i="2"/>
  <c r="M313" i="2"/>
  <c r="N313" i="2"/>
  <c r="O313" i="2"/>
  <c r="P313" i="2"/>
  <c r="Q313" i="2"/>
  <c r="A314" i="2"/>
  <c r="B314" i="2"/>
  <c r="C314" i="2"/>
  <c r="D314" i="2"/>
  <c r="F314" i="2" s="1"/>
  <c r="E314" i="2"/>
  <c r="G314" i="2"/>
  <c r="H314" i="2"/>
  <c r="I314" i="2"/>
  <c r="J314" i="2"/>
  <c r="K314" i="2"/>
  <c r="L314" i="2"/>
  <c r="M314" i="2"/>
  <c r="N314" i="2"/>
  <c r="O314" i="2"/>
  <c r="P314" i="2"/>
  <c r="Q314" i="2"/>
  <c r="A315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A316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A317" i="2"/>
  <c r="B317" i="2"/>
  <c r="C317" i="2"/>
  <c r="D317" i="2"/>
  <c r="F317" i="2" s="1"/>
  <c r="E317" i="2"/>
  <c r="G317" i="2"/>
  <c r="H317" i="2"/>
  <c r="I317" i="2"/>
  <c r="J317" i="2"/>
  <c r="K317" i="2"/>
  <c r="L317" i="2"/>
  <c r="M317" i="2"/>
  <c r="N317" i="2"/>
  <c r="O317" i="2"/>
  <c r="P317" i="2"/>
  <c r="Q317" i="2"/>
  <c r="A318" i="2"/>
  <c r="B318" i="2"/>
  <c r="C318" i="2"/>
  <c r="D318" i="2"/>
  <c r="F318" i="2" s="1"/>
  <c r="E318" i="2"/>
  <c r="G318" i="2"/>
  <c r="H318" i="2"/>
  <c r="I318" i="2"/>
  <c r="J318" i="2"/>
  <c r="K318" i="2"/>
  <c r="L318" i="2"/>
  <c r="M318" i="2"/>
  <c r="N318" i="2"/>
  <c r="O318" i="2"/>
  <c r="P318" i="2"/>
  <c r="Q318" i="2"/>
  <c r="A319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A320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A321" i="2"/>
  <c r="B321" i="2"/>
  <c r="C321" i="2"/>
  <c r="D321" i="2"/>
  <c r="F321" i="2" s="1"/>
  <c r="E321" i="2"/>
  <c r="G321" i="2"/>
  <c r="H321" i="2"/>
  <c r="I321" i="2"/>
  <c r="J321" i="2"/>
  <c r="K321" i="2"/>
  <c r="L321" i="2"/>
  <c r="M321" i="2"/>
  <c r="N321" i="2"/>
  <c r="O321" i="2"/>
  <c r="P321" i="2"/>
  <c r="Q321" i="2"/>
  <c r="A322" i="2"/>
  <c r="B322" i="2"/>
  <c r="C322" i="2"/>
  <c r="D322" i="2"/>
  <c r="F322" i="2" s="1"/>
  <c r="E322" i="2"/>
  <c r="G322" i="2"/>
  <c r="H322" i="2"/>
  <c r="I322" i="2"/>
  <c r="J322" i="2"/>
  <c r="K322" i="2"/>
  <c r="L322" i="2"/>
  <c r="M322" i="2"/>
  <c r="N322" i="2"/>
  <c r="O322" i="2"/>
  <c r="P322" i="2"/>
  <c r="Q322" i="2"/>
  <c r="A323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A324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A325" i="2"/>
  <c r="B325" i="2"/>
  <c r="C325" i="2"/>
  <c r="D325" i="2"/>
  <c r="F325" i="2" s="1"/>
  <c r="E325" i="2"/>
  <c r="G325" i="2"/>
  <c r="H325" i="2"/>
  <c r="I325" i="2"/>
  <c r="J325" i="2"/>
  <c r="K325" i="2"/>
  <c r="L325" i="2"/>
  <c r="M325" i="2"/>
  <c r="N325" i="2"/>
  <c r="O325" i="2"/>
  <c r="P325" i="2"/>
  <c r="Q325" i="2"/>
  <c r="A326" i="2"/>
  <c r="B326" i="2"/>
  <c r="C326" i="2"/>
  <c r="D326" i="2"/>
  <c r="F326" i="2" s="1"/>
  <c r="E326" i="2"/>
  <c r="G326" i="2"/>
  <c r="H326" i="2"/>
  <c r="I326" i="2"/>
  <c r="J326" i="2"/>
  <c r="K326" i="2"/>
  <c r="L326" i="2"/>
  <c r="M326" i="2"/>
  <c r="N326" i="2"/>
  <c r="O326" i="2"/>
  <c r="P326" i="2"/>
  <c r="Q326" i="2"/>
  <c r="A327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A328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A329" i="2"/>
  <c r="B329" i="2"/>
  <c r="C329" i="2"/>
  <c r="D329" i="2"/>
  <c r="F329" i="2" s="1"/>
  <c r="E329" i="2"/>
  <c r="G329" i="2"/>
  <c r="H329" i="2"/>
  <c r="I329" i="2"/>
  <c r="J329" i="2"/>
  <c r="K329" i="2"/>
  <c r="L329" i="2"/>
  <c r="M329" i="2"/>
  <c r="N329" i="2"/>
  <c r="O329" i="2"/>
  <c r="P329" i="2"/>
  <c r="Q329" i="2"/>
  <c r="A330" i="2"/>
  <c r="B330" i="2"/>
  <c r="C330" i="2"/>
  <c r="D330" i="2"/>
  <c r="F330" i="2" s="1"/>
  <c r="E330" i="2"/>
  <c r="G330" i="2"/>
  <c r="H330" i="2"/>
  <c r="I330" i="2"/>
  <c r="J330" i="2"/>
  <c r="K330" i="2"/>
  <c r="L330" i="2"/>
  <c r="M330" i="2"/>
  <c r="N330" i="2"/>
  <c r="O330" i="2"/>
  <c r="P330" i="2"/>
  <c r="Q330" i="2"/>
  <c r="A331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A332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A333" i="2"/>
  <c r="B333" i="2"/>
  <c r="C333" i="2"/>
  <c r="D333" i="2"/>
  <c r="F333" i="2" s="1"/>
  <c r="E333" i="2"/>
  <c r="G333" i="2"/>
  <c r="H333" i="2"/>
  <c r="I333" i="2"/>
  <c r="J333" i="2"/>
  <c r="K333" i="2"/>
  <c r="L333" i="2"/>
  <c r="M333" i="2"/>
  <c r="N333" i="2"/>
  <c r="O333" i="2"/>
  <c r="P333" i="2"/>
  <c r="Q333" i="2"/>
  <c r="A334" i="2"/>
  <c r="B334" i="2"/>
  <c r="C334" i="2"/>
  <c r="D334" i="2"/>
  <c r="F334" i="2" s="1"/>
  <c r="E334" i="2"/>
  <c r="G334" i="2"/>
  <c r="H334" i="2"/>
  <c r="I334" i="2"/>
  <c r="J334" i="2"/>
  <c r="K334" i="2"/>
  <c r="L334" i="2"/>
  <c r="M334" i="2"/>
  <c r="N334" i="2"/>
  <c r="O334" i="2"/>
  <c r="P334" i="2"/>
  <c r="Q334" i="2"/>
  <c r="A335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A336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A337" i="2"/>
  <c r="B337" i="2"/>
  <c r="C337" i="2"/>
  <c r="D337" i="2"/>
  <c r="F337" i="2" s="1"/>
  <c r="E337" i="2"/>
  <c r="G337" i="2"/>
  <c r="H337" i="2"/>
  <c r="I337" i="2"/>
  <c r="J337" i="2"/>
  <c r="K337" i="2"/>
  <c r="L337" i="2"/>
  <c r="M337" i="2"/>
  <c r="N337" i="2"/>
  <c r="O337" i="2"/>
  <c r="P337" i="2"/>
  <c r="Q337" i="2"/>
  <c r="A338" i="2"/>
  <c r="B338" i="2"/>
  <c r="C338" i="2"/>
  <c r="D338" i="2"/>
  <c r="F338" i="2" s="1"/>
  <c r="E338" i="2"/>
  <c r="G338" i="2"/>
  <c r="H338" i="2"/>
  <c r="I338" i="2"/>
  <c r="J338" i="2"/>
  <c r="K338" i="2"/>
  <c r="L338" i="2"/>
  <c r="M338" i="2"/>
  <c r="N338" i="2"/>
  <c r="O338" i="2"/>
  <c r="P338" i="2"/>
  <c r="Q338" i="2"/>
  <c r="A339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A340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A341" i="2"/>
  <c r="B341" i="2"/>
  <c r="C341" i="2"/>
  <c r="D341" i="2"/>
  <c r="F341" i="2" s="1"/>
  <c r="E341" i="2"/>
  <c r="G341" i="2"/>
  <c r="H341" i="2"/>
  <c r="I341" i="2"/>
  <c r="J341" i="2"/>
  <c r="K341" i="2"/>
  <c r="L341" i="2"/>
  <c r="M341" i="2"/>
  <c r="N341" i="2"/>
  <c r="O341" i="2"/>
  <c r="P341" i="2"/>
  <c r="Q341" i="2"/>
  <c r="A342" i="2"/>
  <c r="B342" i="2"/>
  <c r="C342" i="2"/>
  <c r="D342" i="2"/>
  <c r="F342" i="2" s="1"/>
  <c r="E342" i="2"/>
  <c r="G342" i="2"/>
  <c r="H342" i="2"/>
  <c r="I342" i="2"/>
  <c r="J342" i="2"/>
  <c r="K342" i="2"/>
  <c r="L342" i="2"/>
  <c r="M342" i="2"/>
  <c r="N342" i="2"/>
  <c r="O342" i="2"/>
  <c r="P342" i="2"/>
  <c r="Q342" i="2"/>
  <c r="A343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A344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A345" i="2"/>
  <c r="B345" i="2"/>
  <c r="C345" i="2"/>
  <c r="D345" i="2"/>
  <c r="F345" i="2" s="1"/>
  <c r="E345" i="2"/>
  <c r="G345" i="2"/>
  <c r="H345" i="2"/>
  <c r="I345" i="2"/>
  <c r="J345" i="2"/>
  <c r="K345" i="2"/>
  <c r="L345" i="2"/>
  <c r="M345" i="2"/>
  <c r="N345" i="2"/>
  <c r="O345" i="2"/>
  <c r="P345" i="2"/>
  <c r="Q345" i="2"/>
  <c r="A346" i="2"/>
  <c r="B346" i="2"/>
  <c r="C346" i="2"/>
  <c r="D346" i="2"/>
  <c r="F346" i="2" s="1"/>
  <c r="E346" i="2"/>
  <c r="G346" i="2"/>
  <c r="H346" i="2"/>
  <c r="I346" i="2"/>
  <c r="J346" i="2"/>
  <c r="K346" i="2"/>
  <c r="L346" i="2"/>
  <c r="M346" i="2"/>
  <c r="N346" i="2"/>
  <c r="O346" i="2"/>
  <c r="P346" i="2"/>
  <c r="Q346" i="2"/>
  <c r="A347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A348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A349" i="2"/>
  <c r="B349" i="2"/>
  <c r="C349" i="2"/>
  <c r="D349" i="2"/>
  <c r="F349" i="2" s="1"/>
  <c r="E349" i="2"/>
  <c r="G349" i="2"/>
  <c r="H349" i="2"/>
  <c r="I349" i="2"/>
  <c r="J349" i="2"/>
  <c r="K349" i="2"/>
  <c r="L349" i="2"/>
  <c r="M349" i="2"/>
  <c r="N349" i="2"/>
  <c r="O349" i="2"/>
  <c r="P349" i="2"/>
  <c r="Q349" i="2"/>
  <c r="A350" i="2"/>
  <c r="B350" i="2"/>
  <c r="C350" i="2"/>
  <c r="D350" i="2"/>
  <c r="F350" i="2" s="1"/>
  <c r="E350" i="2"/>
  <c r="G350" i="2"/>
  <c r="H350" i="2"/>
  <c r="I350" i="2"/>
  <c r="J350" i="2"/>
  <c r="K350" i="2"/>
  <c r="L350" i="2"/>
  <c r="M350" i="2"/>
  <c r="N350" i="2"/>
  <c r="O350" i="2"/>
  <c r="P350" i="2"/>
  <c r="Q350" i="2"/>
  <c r="A351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A352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A353" i="2"/>
  <c r="B353" i="2"/>
  <c r="C353" i="2"/>
  <c r="D353" i="2"/>
  <c r="F353" i="2" s="1"/>
  <c r="E353" i="2"/>
  <c r="G353" i="2"/>
  <c r="H353" i="2"/>
  <c r="I353" i="2"/>
  <c r="J353" i="2"/>
  <c r="K353" i="2"/>
  <c r="L353" i="2"/>
  <c r="M353" i="2"/>
  <c r="N353" i="2"/>
  <c r="O353" i="2"/>
  <c r="P353" i="2"/>
  <c r="Q353" i="2"/>
  <c r="A354" i="2"/>
  <c r="B354" i="2"/>
  <c r="C354" i="2"/>
  <c r="D354" i="2"/>
  <c r="F354" i="2" s="1"/>
  <c r="E354" i="2"/>
  <c r="G354" i="2"/>
  <c r="H354" i="2"/>
  <c r="I354" i="2"/>
  <c r="J354" i="2"/>
  <c r="K354" i="2"/>
  <c r="L354" i="2"/>
  <c r="M354" i="2"/>
  <c r="N354" i="2"/>
  <c r="O354" i="2"/>
  <c r="P354" i="2"/>
  <c r="Q354" i="2"/>
  <c r="A355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A356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A357" i="2"/>
  <c r="B357" i="2"/>
  <c r="C357" i="2"/>
  <c r="D357" i="2"/>
  <c r="F357" i="2" s="1"/>
  <c r="E357" i="2"/>
  <c r="G357" i="2"/>
  <c r="H357" i="2"/>
  <c r="I357" i="2"/>
  <c r="J357" i="2"/>
  <c r="K357" i="2"/>
  <c r="L357" i="2"/>
  <c r="M357" i="2"/>
  <c r="N357" i="2"/>
  <c r="O357" i="2"/>
  <c r="P357" i="2"/>
  <c r="Q357" i="2"/>
  <c r="A358" i="2"/>
  <c r="B358" i="2"/>
  <c r="C358" i="2"/>
  <c r="D358" i="2"/>
  <c r="F358" i="2" s="1"/>
  <c r="E358" i="2"/>
  <c r="G358" i="2"/>
  <c r="H358" i="2"/>
  <c r="I358" i="2"/>
  <c r="J358" i="2"/>
  <c r="K358" i="2"/>
  <c r="L358" i="2"/>
  <c r="M358" i="2"/>
  <c r="N358" i="2"/>
  <c r="O358" i="2"/>
  <c r="P358" i="2"/>
  <c r="Q358" i="2"/>
  <c r="A359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A360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A361" i="2"/>
  <c r="B361" i="2"/>
  <c r="C361" i="2"/>
  <c r="D361" i="2"/>
  <c r="F361" i="2" s="1"/>
  <c r="E361" i="2"/>
  <c r="G361" i="2"/>
  <c r="H361" i="2"/>
  <c r="I361" i="2"/>
  <c r="J361" i="2"/>
  <c r="K361" i="2"/>
  <c r="L361" i="2"/>
  <c r="M361" i="2"/>
  <c r="N361" i="2"/>
  <c r="O361" i="2"/>
  <c r="P361" i="2"/>
  <c r="Q361" i="2"/>
  <c r="A362" i="2"/>
  <c r="B362" i="2"/>
  <c r="C362" i="2"/>
  <c r="D362" i="2"/>
  <c r="F362" i="2" s="1"/>
  <c r="E362" i="2"/>
  <c r="G362" i="2"/>
  <c r="H362" i="2"/>
  <c r="I362" i="2"/>
  <c r="J362" i="2"/>
  <c r="K362" i="2"/>
  <c r="L362" i="2"/>
  <c r="M362" i="2"/>
  <c r="N362" i="2"/>
  <c r="O362" i="2"/>
  <c r="P362" i="2"/>
  <c r="Q362" i="2"/>
  <c r="A363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A364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A365" i="2"/>
  <c r="B365" i="2"/>
  <c r="C365" i="2"/>
  <c r="D365" i="2"/>
  <c r="F365" i="2" s="1"/>
  <c r="E365" i="2"/>
  <c r="G365" i="2"/>
  <c r="H365" i="2"/>
  <c r="I365" i="2"/>
  <c r="J365" i="2"/>
  <c r="K365" i="2"/>
  <c r="L365" i="2"/>
  <c r="M365" i="2"/>
  <c r="N365" i="2"/>
  <c r="O365" i="2"/>
  <c r="P365" i="2"/>
  <c r="Q365" i="2"/>
  <c r="A366" i="2"/>
  <c r="B366" i="2"/>
  <c r="C366" i="2"/>
  <c r="D366" i="2"/>
  <c r="F366" i="2" s="1"/>
  <c r="E366" i="2"/>
  <c r="G366" i="2"/>
  <c r="H366" i="2"/>
  <c r="I366" i="2"/>
  <c r="J366" i="2"/>
  <c r="K366" i="2"/>
  <c r="L366" i="2"/>
  <c r="M366" i="2"/>
  <c r="N366" i="2"/>
  <c r="O366" i="2"/>
  <c r="P366" i="2"/>
  <c r="Q366" i="2"/>
  <c r="A367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A368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A369" i="2"/>
  <c r="B369" i="2"/>
  <c r="C369" i="2"/>
  <c r="D369" i="2"/>
  <c r="F369" i="2" s="1"/>
  <c r="E369" i="2"/>
  <c r="G369" i="2"/>
  <c r="H369" i="2"/>
  <c r="I369" i="2"/>
  <c r="J369" i="2"/>
  <c r="K369" i="2"/>
  <c r="L369" i="2"/>
  <c r="M369" i="2"/>
  <c r="N369" i="2"/>
  <c r="O369" i="2"/>
  <c r="P369" i="2"/>
  <c r="Q369" i="2"/>
  <c r="A370" i="2"/>
  <c r="B370" i="2"/>
  <c r="C370" i="2"/>
  <c r="D370" i="2"/>
  <c r="F370" i="2" s="1"/>
  <c r="E370" i="2"/>
  <c r="G370" i="2"/>
  <c r="H370" i="2"/>
  <c r="I370" i="2"/>
  <c r="J370" i="2"/>
  <c r="K370" i="2"/>
  <c r="L370" i="2"/>
  <c r="M370" i="2"/>
  <c r="N370" i="2"/>
  <c r="O370" i="2"/>
  <c r="P370" i="2"/>
  <c r="Q370" i="2"/>
  <c r="A371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A372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A373" i="2"/>
  <c r="B373" i="2"/>
  <c r="C373" i="2"/>
  <c r="D373" i="2"/>
  <c r="F373" i="2" s="1"/>
  <c r="E373" i="2"/>
  <c r="G373" i="2"/>
  <c r="H373" i="2"/>
  <c r="I373" i="2"/>
  <c r="J373" i="2"/>
  <c r="K373" i="2"/>
  <c r="L373" i="2"/>
  <c r="M373" i="2"/>
  <c r="N373" i="2"/>
  <c r="O373" i="2"/>
  <c r="P373" i="2"/>
  <c r="Q373" i="2"/>
  <c r="A374" i="2"/>
  <c r="B374" i="2"/>
  <c r="C374" i="2"/>
  <c r="D374" i="2"/>
  <c r="F374" i="2" s="1"/>
  <c r="E374" i="2"/>
  <c r="G374" i="2"/>
  <c r="H374" i="2"/>
  <c r="I374" i="2"/>
  <c r="J374" i="2"/>
  <c r="K374" i="2"/>
  <c r="L374" i="2"/>
  <c r="M374" i="2"/>
  <c r="N374" i="2"/>
  <c r="O374" i="2"/>
  <c r="P374" i="2"/>
  <c r="Q374" i="2"/>
  <c r="A375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A376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A377" i="2"/>
  <c r="B377" i="2"/>
  <c r="C377" i="2"/>
  <c r="D377" i="2"/>
  <c r="F377" i="2" s="1"/>
  <c r="E377" i="2"/>
  <c r="G377" i="2"/>
  <c r="H377" i="2"/>
  <c r="I377" i="2"/>
  <c r="J377" i="2"/>
  <c r="K377" i="2"/>
  <c r="L377" i="2"/>
  <c r="M377" i="2"/>
  <c r="N377" i="2"/>
  <c r="O377" i="2"/>
  <c r="P377" i="2"/>
  <c r="Q377" i="2"/>
  <c r="A378" i="2"/>
  <c r="B378" i="2"/>
  <c r="C378" i="2"/>
  <c r="D378" i="2"/>
  <c r="F378" i="2" s="1"/>
  <c r="E378" i="2"/>
  <c r="G378" i="2"/>
  <c r="H378" i="2"/>
  <c r="I378" i="2"/>
  <c r="J378" i="2"/>
  <c r="K378" i="2"/>
  <c r="L378" i="2"/>
  <c r="M378" i="2"/>
  <c r="N378" i="2"/>
  <c r="O378" i="2"/>
  <c r="P378" i="2"/>
  <c r="Q378" i="2"/>
  <c r="A379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A380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A381" i="2"/>
  <c r="B381" i="2"/>
  <c r="C381" i="2"/>
  <c r="D381" i="2"/>
  <c r="F381" i="2" s="1"/>
  <c r="E381" i="2"/>
  <c r="G381" i="2"/>
  <c r="H381" i="2"/>
  <c r="I381" i="2"/>
  <c r="J381" i="2"/>
  <c r="K381" i="2"/>
  <c r="L381" i="2"/>
  <c r="M381" i="2"/>
  <c r="N381" i="2"/>
  <c r="O381" i="2"/>
  <c r="P381" i="2"/>
  <c r="Q381" i="2"/>
  <c r="A382" i="2"/>
  <c r="B382" i="2"/>
  <c r="C382" i="2"/>
  <c r="D382" i="2"/>
  <c r="F382" i="2" s="1"/>
  <c r="E382" i="2"/>
  <c r="G382" i="2"/>
  <c r="H382" i="2"/>
  <c r="I382" i="2"/>
  <c r="J382" i="2"/>
  <c r="K382" i="2"/>
  <c r="L382" i="2"/>
  <c r="M382" i="2"/>
  <c r="N382" i="2"/>
  <c r="O382" i="2"/>
  <c r="P382" i="2"/>
  <c r="Q382" i="2"/>
  <c r="A383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A384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A385" i="2"/>
  <c r="B385" i="2"/>
  <c r="C385" i="2"/>
  <c r="D385" i="2"/>
  <c r="F385" i="2" s="1"/>
  <c r="E385" i="2"/>
  <c r="G385" i="2"/>
  <c r="H385" i="2"/>
  <c r="I385" i="2"/>
  <c r="J385" i="2"/>
  <c r="K385" i="2"/>
  <c r="L385" i="2"/>
  <c r="M385" i="2"/>
  <c r="N385" i="2"/>
  <c r="O385" i="2"/>
  <c r="P385" i="2"/>
  <c r="Q385" i="2"/>
  <c r="A386" i="2"/>
  <c r="B386" i="2"/>
  <c r="C386" i="2"/>
  <c r="D386" i="2"/>
  <c r="F386" i="2" s="1"/>
  <c r="E386" i="2"/>
  <c r="G386" i="2"/>
  <c r="H386" i="2"/>
  <c r="I386" i="2"/>
  <c r="J386" i="2"/>
  <c r="K386" i="2"/>
  <c r="L386" i="2"/>
  <c r="M386" i="2"/>
  <c r="N386" i="2"/>
  <c r="O386" i="2"/>
  <c r="P386" i="2"/>
  <c r="Q386" i="2"/>
  <c r="A387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A388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A389" i="2"/>
  <c r="B389" i="2"/>
  <c r="C389" i="2"/>
  <c r="D389" i="2"/>
  <c r="F389" i="2" s="1"/>
  <c r="E389" i="2"/>
  <c r="G389" i="2"/>
  <c r="H389" i="2"/>
  <c r="I389" i="2"/>
  <c r="J389" i="2"/>
  <c r="K389" i="2"/>
  <c r="L389" i="2"/>
  <c r="M389" i="2"/>
  <c r="N389" i="2"/>
  <c r="O389" i="2"/>
  <c r="P389" i="2"/>
  <c r="Q389" i="2"/>
  <c r="A390" i="2"/>
  <c r="B390" i="2"/>
  <c r="C390" i="2"/>
  <c r="D390" i="2"/>
  <c r="F390" i="2" s="1"/>
  <c r="E390" i="2"/>
  <c r="G390" i="2"/>
  <c r="H390" i="2"/>
  <c r="I390" i="2"/>
  <c r="J390" i="2"/>
  <c r="K390" i="2"/>
  <c r="L390" i="2"/>
  <c r="M390" i="2"/>
  <c r="N390" i="2"/>
  <c r="O390" i="2"/>
  <c r="P390" i="2"/>
  <c r="Q390" i="2"/>
  <c r="A391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A392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A393" i="2"/>
  <c r="B393" i="2"/>
  <c r="C393" i="2"/>
  <c r="D393" i="2"/>
  <c r="F393" i="2" s="1"/>
  <c r="E393" i="2"/>
  <c r="G393" i="2"/>
  <c r="H393" i="2"/>
  <c r="I393" i="2"/>
  <c r="J393" i="2"/>
  <c r="K393" i="2"/>
  <c r="L393" i="2"/>
  <c r="M393" i="2"/>
  <c r="N393" i="2"/>
  <c r="O393" i="2"/>
  <c r="P393" i="2"/>
  <c r="Q393" i="2"/>
  <c r="A394" i="2"/>
  <c r="B394" i="2"/>
  <c r="C394" i="2"/>
  <c r="D394" i="2"/>
  <c r="F394" i="2" s="1"/>
  <c r="E394" i="2"/>
  <c r="G394" i="2"/>
  <c r="H394" i="2"/>
  <c r="I394" i="2"/>
  <c r="J394" i="2"/>
  <c r="K394" i="2"/>
  <c r="L394" i="2"/>
  <c r="M394" i="2"/>
  <c r="N394" i="2"/>
  <c r="O394" i="2"/>
  <c r="P394" i="2"/>
  <c r="Q394" i="2"/>
  <c r="A395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A396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A397" i="2"/>
  <c r="B397" i="2"/>
  <c r="C397" i="2"/>
  <c r="D397" i="2"/>
  <c r="F397" i="2" s="1"/>
  <c r="E397" i="2"/>
  <c r="G397" i="2"/>
  <c r="H397" i="2"/>
  <c r="I397" i="2"/>
  <c r="J397" i="2"/>
  <c r="K397" i="2"/>
  <c r="L397" i="2"/>
  <c r="M397" i="2"/>
  <c r="N397" i="2"/>
  <c r="O397" i="2"/>
  <c r="P397" i="2"/>
  <c r="Q397" i="2"/>
  <c r="A398" i="2"/>
  <c r="B398" i="2"/>
  <c r="C398" i="2"/>
  <c r="D398" i="2"/>
  <c r="F398" i="2" s="1"/>
  <c r="E398" i="2"/>
  <c r="G398" i="2"/>
  <c r="H398" i="2"/>
  <c r="I398" i="2"/>
  <c r="J398" i="2"/>
  <c r="K398" i="2"/>
  <c r="L398" i="2"/>
  <c r="M398" i="2"/>
  <c r="N398" i="2"/>
  <c r="O398" i="2"/>
  <c r="P398" i="2"/>
  <c r="Q398" i="2"/>
  <c r="A399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A400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A401" i="2"/>
  <c r="B401" i="2"/>
  <c r="C401" i="2"/>
  <c r="D401" i="2"/>
  <c r="F401" i="2" s="1"/>
  <c r="E401" i="2"/>
  <c r="G401" i="2"/>
  <c r="H401" i="2"/>
  <c r="I401" i="2"/>
  <c r="J401" i="2"/>
  <c r="K401" i="2"/>
  <c r="L401" i="2"/>
  <c r="M401" i="2"/>
  <c r="N401" i="2"/>
  <c r="O401" i="2"/>
  <c r="P401" i="2"/>
  <c r="Q401" i="2"/>
  <c r="A402" i="2"/>
  <c r="B402" i="2"/>
  <c r="C402" i="2"/>
  <c r="D402" i="2"/>
  <c r="F402" i="2" s="1"/>
  <c r="E402" i="2"/>
  <c r="G402" i="2"/>
  <c r="H402" i="2"/>
  <c r="I402" i="2"/>
  <c r="J402" i="2"/>
  <c r="K402" i="2"/>
  <c r="L402" i="2"/>
  <c r="M402" i="2"/>
  <c r="N402" i="2"/>
  <c r="O402" i="2"/>
  <c r="P402" i="2"/>
  <c r="Q402" i="2"/>
  <c r="A403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A404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A405" i="2"/>
  <c r="B405" i="2"/>
  <c r="C405" i="2"/>
  <c r="D405" i="2"/>
  <c r="F405" i="2" s="1"/>
  <c r="E405" i="2"/>
  <c r="G405" i="2"/>
  <c r="H405" i="2"/>
  <c r="I405" i="2"/>
  <c r="J405" i="2"/>
  <c r="K405" i="2"/>
  <c r="L405" i="2"/>
  <c r="M405" i="2"/>
  <c r="N405" i="2"/>
  <c r="O405" i="2"/>
  <c r="P405" i="2"/>
  <c r="Q405" i="2"/>
  <c r="A406" i="2"/>
  <c r="B406" i="2"/>
  <c r="C406" i="2"/>
  <c r="D406" i="2"/>
  <c r="F406" i="2" s="1"/>
  <c r="E406" i="2"/>
  <c r="G406" i="2"/>
  <c r="H406" i="2"/>
  <c r="I406" i="2"/>
  <c r="J406" i="2"/>
  <c r="K406" i="2"/>
  <c r="L406" i="2"/>
  <c r="M406" i="2"/>
  <c r="N406" i="2"/>
  <c r="O406" i="2"/>
  <c r="P406" i="2"/>
  <c r="Q406" i="2"/>
  <c r="A407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A408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A409" i="2"/>
  <c r="B409" i="2"/>
  <c r="C409" i="2"/>
  <c r="D409" i="2"/>
  <c r="F409" i="2" s="1"/>
  <c r="E409" i="2"/>
  <c r="G409" i="2"/>
  <c r="H409" i="2"/>
  <c r="I409" i="2"/>
  <c r="J409" i="2"/>
  <c r="K409" i="2"/>
  <c r="L409" i="2"/>
  <c r="M409" i="2"/>
  <c r="N409" i="2"/>
  <c r="O409" i="2"/>
  <c r="P409" i="2"/>
  <c r="Q409" i="2"/>
  <c r="A410" i="2"/>
  <c r="B410" i="2"/>
  <c r="C410" i="2"/>
  <c r="D410" i="2"/>
  <c r="F410" i="2" s="1"/>
  <c r="E410" i="2"/>
  <c r="G410" i="2"/>
  <c r="H410" i="2"/>
  <c r="I410" i="2"/>
  <c r="J410" i="2"/>
  <c r="K410" i="2"/>
  <c r="L410" i="2"/>
  <c r="M410" i="2"/>
  <c r="N410" i="2"/>
  <c r="O410" i="2"/>
  <c r="P410" i="2"/>
  <c r="Q410" i="2"/>
  <c r="A411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A412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A413" i="2"/>
  <c r="B413" i="2"/>
  <c r="C413" i="2"/>
  <c r="D413" i="2"/>
  <c r="F413" i="2" s="1"/>
  <c r="E413" i="2"/>
  <c r="G413" i="2"/>
  <c r="H413" i="2"/>
  <c r="I413" i="2"/>
  <c r="J413" i="2"/>
  <c r="K413" i="2"/>
  <c r="L413" i="2"/>
  <c r="M413" i="2"/>
  <c r="N413" i="2"/>
  <c r="O413" i="2"/>
  <c r="P413" i="2"/>
  <c r="Q413" i="2"/>
  <c r="A414" i="2"/>
  <c r="B414" i="2"/>
  <c r="C414" i="2"/>
  <c r="D414" i="2"/>
  <c r="F414" i="2" s="1"/>
  <c r="E414" i="2"/>
  <c r="G414" i="2"/>
  <c r="H414" i="2"/>
  <c r="I414" i="2"/>
  <c r="J414" i="2"/>
  <c r="K414" i="2"/>
  <c r="L414" i="2"/>
  <c r="M414" i="2"/>
  <c r="N414" i="2"/>
  <c r="O414" i="2"/>
  <c r="P414" i="2"/>
  <c r="Q414" i="2"/>
  <c r="A415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A416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A417" i="2"/>
  <c r="B417" i="2"/>
  <c r="C417" i="2"/>
  <c r="D417" i="2"/>
  <c r="F417" i="2" s="1"/>
  <c r="E417" i="2"/>
  <c r="G417" i="2"/>
  <c r="H417" i="2"/>
  <c r="I417" i="2"/>
  <c r="J417" i="2"/>
  <c r="K417" i="2"/>
  <c r="L417" i="2"/>
  <c r="M417" i="2"/>
  <c r="N417" i="2"/>
  <c r="O417" i="2"/>
  <c r="P417" i="2"/>
  <c r="Q417" i="2"/>
  <c r="A418" i="2"/>
  <c r="B418" i="2"/>
  <c r="C418" i="2"/>
  <c r="D418" i="2"/>
  <c r="F418" i="2" s="1"/>
  <c r="E418" i="2"/>
  <c r="G418" i="2"/>
  <c r="H418" i="2"/>
  <c r="I418" i="2"/>
  <c r="J418" i="2"/>
  <c r="K418" i="2"/>
  <c r="L418" i="2"/>
  <c r="M418" i="2"/>
  <c r="N418" i="2"/>
  <c r="O418" i="2"/>
  <c r="P418" i="2"/>
  <c r="Q418" i="2"/>
  <c r="A419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A420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A421" i="2"/>
  <c r="B421" i="2"/>
  <c r="C421" i="2"/>
  <c r="D421" i="2"/>
  <c r="F421" i="2" s="1"/>
  <c r="E421" i="2"/>
  <c r="G421" i="2"/>
  <c r="H421" i="2"/>
  <c r="I421" i="2"/>
  <c r="J421" i="2"/>
  <c r="K421" i="2"/>
  <c r="L421" i="2"/>
  <c r="M421" i="2"/>
  <c r="N421" i="2"/>
  <c r="O421" i="2"/>
  <c r="P421" i="2"/>
  <c r="Q421" i="2"/>
  <c r="A422" i="2"/>
  <c r="B422" i="2"/>
  <c r="C422" i="2"/>
  <c r="D422" i="2"/>
  <c r="F422" i="2" s="1"/>
  <c r="E422" i="2"/>
  <c r="G422" i="2"/>
  <c r="H422" i="2"/>
  <c r="I422" i="2"/>
  <c r="J422" i="2"/>
  <c r="K422" i="2"/>
  <c r="L422" i="2"/>
  <c r="M422" i="2"/>
  <c r="N422" i="2"/>
  <c r="O422" i="2"/>
  <c r="P422" i="2"/>
  <c r="Q422" i="2"/>
  <c r="A423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A424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A425" i="2"/>
  <c r="B425" i="2"/>
  <c r="C425" i="2"/>
  <c r="D425" i="2"/>
  <c r="F425" i="2" s="1"/>
  <c r="E425" i="2"/>
  <c r="G425" i="2"/>
  <c r="H425" i="2"/>
  <c r="I425" i="2"/>
  <c r="J425" i="2"/>
  <c r="K425" i="2"/>
  <c r="L425" i="2"/>
  <c r="M425" i="2"/>
  <c r="N425" i="2"/>
  <c r="O425" i="2"/>
  <c r="P425" i="2"/>
  <c r="Q425" i="2"/>
  <c r="A426" i="2"/>
  <c r="B426" i="2"/>
  <c r="C426" i="2"/>
  <c r="D426" i="2"/>
  <c r="F426" i="2" s="1"/>
  <c r="E426" i="2"/>
  <c r="G426" i="2"/>
  <c r="H426" i="2"/>
  <c r="I426" i="2"/>
  <c r="J426" i="2"/>
  <c r="K426" i="2"/>
  <c r="L426" i="2"/>
  <c r="M426" i="2"/>
  <c r="N426" i="2"/>
  <c r="O426" i="2"/>
  <c r="P426" i="2"/>
  <c r="Q426" i="2"/>
  <c r="A427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A428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A429" i="2"/>
  <c r="B429" i="2"/>
  <c r="C429" i="2"/>
  <c r="D429" i="2"/>
  <c r="F429" i="2" s="1"/>
  <c r="E429" i="2"/>
  <c r="G429" i="2"/>
  <c r="H429" i="2"/>
  <c r="I429" i="2"/>
  <c r="J429" i="2"/>
  <c r="K429" i="2"/>
  <c r="L429" i="2"/>
  <c r="M429" i="2"/>
  <c r="N429" i="2"/>
  <c r="O429" i="2"/>
  <c r="P429" i="2"/>
  <c r="Q429" i="2"/>
  <c r="A430" i="2"/>
  <c r="B430" i="2"/>
  <c r="C430" i="2"/>
  <c r="D430" i="2"/>
  <c r="F430" i="2" s="1"/>
  <c r="E430" i="2"/>
  <c r="G430" i="2"/>
  <c r="H430" i="2"/>
  <c r="I430" i="2"/>
  <c r="J430" i="2"/>
  <c r="K430" i="2"/>
  <c r="L430" i="2"/>
  <c r="M430" i="2"/>
  <c r="N430" i="2"/>
  <c r="O430" i="2"/>
  <c r="P430" i="2"/>
  <c r="Q430" i="2"/>
  <c r="A431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A432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A433" i="2"/>
  <c r="B433" i="2"/>
  <c r="C433" i="2"/>
  <c r="D433" i="2"/>
  <c r="F433" i="2" s="1"/>
  <c r="E433" i="2"/>
  <c r="G433" i="2"/>
  <c r="H433" i="2"/>
  <c r="I433" i="2"/>
  <c r="J433" i="2"/>
  <c r="K433" i="2"/>
  <c r="L433" i="2"/>
  <c r="M433" i="2"/>
  <c r="N433" i="2"/>
  <c r="O433" i="2"/>
  <c r="P433" i="2"/>
  <c r="Q433" i="2"/>
  <c r="A434" i="2"/>
  <c r="B434" i="2"/>
  <c r="C434" i="2"/>
  <c r="D434" i="2"/>
  <c r="F434" i="2" s="1"/>
  <c r="E434" i="2"/>
  <c r="G434" i="2"/>
  <c r="H434" i="2"/>
  <c r="I434" i="2"/>
  <c r="J434" i="2"/>
  <c r="K434" i="2"/>
  <c r="L434" i="2"/>
  <c r="M434" i="2"/>
  <c r="N434" i="2"/>
  <c r="O434" i="2"/>
  <c r="P434" i="2"/>
  <c r="Q434" i="2"/>
  <c r="A435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A436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A437" i="2"/>
  <c r="B437" i="2"/>
  <c r="C437" i="2"/>
  <c r="D437" i="2"/>
  <c r="F437" i="2" s="1"/>
  <c r="E437" i="2"/>
  <c r="G437" i="2"/>
  <c r="H437" i="2"/>
  <c r="I437" i="2"/>
  <c r="J437" i="2"/>
  <c r="K437" i="2"/>
  <c r="L437" i="2"/>
  <c r="M437" i="2"/>
  <c r="N437" i="2"/>
  <c r="O437" i="2"/>
  <c r="P437" i="2"/>
  <c r="Q437" i="2"/>
  <c r="A438" i="2"/>
  <c r="B438" i="2"/>
  <c r="C438" i="2"/>
  <c r="D438" i="2"/>
  <c r="F438" i="2" s="1"/>
  <c r="E438" i="2"/>
  <c r="G438" i="2"/>
  <c r="H438" i="2"/>
  <c r="I438" i="2"/>
  <c r="J438" i="2"/>
  <c r="K438" i="2"/>
  <c r="L438" i="2"/>
  <c r="M438" i="2"/>
  <c r="N438" i="2"/>
  <c r="O438" i="2"/>
  <c r="P438" i="2"/>
  <c r="Q438" i="2"/>
  <c r="A439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A440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A441" i="2"/>
  <c r="B441" i="2"/>
  <c r="C441" i="2"/>
  <c r="D441" i="2"/>
  <c r="F441" i="2" s="1"/>
  <c r="E441" i="2"/>
  <c r="G441" i="2"/>
  <c r="H441" i="2"/>
  <c r="I441" i="2"/>
  <c r="J441" i="2"/>
  <c r="K441" i="2"/>
  <c r="L441" i="2"/>
  <c r="M441" i="2"/>
  <c r="N441" i="2"/>
  <c r="O441" i="2"/>
  <c r="P441" i="2"/>
  <c r="Q441" i="2"/>
  <c r="A442" i="2"/>
  <c r="B442" i="2"/>
  <c r="C442" i="2"/>
  <c r="D442" i="2"/>
  <c r="F442" i="2" s="1"/>
  <c r="E442" i="2"/>
  <c r="G442" i="2"/>
  <c r="H442" i="2"/>
  <c r="I442" i="2"/>
  <c r="J442" i="2"/>
  <c r="K442" i="2"/>
  <c r="L442" i="2"/>
  <c r="M442" i="2"/>
  <c r="N442" i="2"/>
  <c r="O442" i="2"/>
  <c r="P442" i="2"/>
  <c r="Q442" i="2"/>
  <c r="A443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A444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A445" i="2"/>
  <c r="B445" i="2"/>
  <c r="C445" i="2"/>
  <c r="D445" i="2"/>
  <c r="F445" i="2" s="1"/>
  <c r="E445" i="2"/>
  <c r="G445" i="2"/>
  <c r="H445" i="2"/>
  <c r="I445" i="2"/>
  <c r="J445" i="2"/>
  <c r="K445" i="2"/>
  <c r="L445" i="2"/>
  <c r="M445" i="2"/>
  <c r="N445" i="2"/>
  <c r="O445" i="2"/>
  <c r="P445" i="2"/>
  <c r="Q445" i="2"/>
  <c r="A446" i="2"/>
  <c r="B446" i="2"/>
  <c r="C446" i="2"/>
  <c r="D446" i="2"/>
  <c r="F446" i="2" s="1"/>
  <c r="E446" i="2"/>
  <c r="G446" i="2"/>
  <c r="H446" i="2"/>
  <c r="I446" i="2"/>
  <c r="J446" i="2"/>
  <c r="K446" i="2"/>
  <c r="L446" i="2"/>
  <c r="M446" i="2"/>
  <c r="N446" i="2"/>
  <c r="O446" i="2"/>
  <c r="P446" i="2"/>
  <c r="Q446" i="2"/>
  <c r="A447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A448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A449" i="2"/>
  <c r="B449" i="2"/>
  <c r="C449" i="2"/>
  <c r="D449" i="2"/>
  <c r="F449" i="2" s="1"/>
  <c r="E449" i="2"/>
  <c r="G449" i="2"/>
  <c r="H449" i="2"/>
  <c r="I449" i="2"/>
  <c r="J449" i="2"/>
  <c r="K449" i="2"/>
  <c r="L449" i="2"/>
  <c r="M449" i="2"/>
  <c r="N449" i="2"/>
  <c r="O449" i="2"/>
  <c r="P449" i="2"/>
  <c r="Q449" i="2"/>
  <c r="A450" i="2"/>
  <c r="B450" i="2"/>
  <c r="C450" i="2"/>
  <c r="D450" i="2"/>
  <c r="F450" i="2" s="1"/>
  <c r="E450" i="2"/>
  <c r="G450" i="2"/>
  <c r="H450" i="2"/>
  <c r="I450" i="2"/>
  <c r="J450" i="2"/>
  <c r="K450" i="2"/>
  <c r="L450" i="2"/>
  <c r="M450" i="2"/>
  <c r="N450" i="2"/>
  <c r="O450" i="2"/>
  <c r="P450" i="2"/>
  <c r="Q450" i="2"/>
  <c r="A451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A452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A453" i="2"/>
  <c r="B453" i="2"/>
  <c r="C453" i="2"/>
  <c r="D453" i="2"/>
  <c r="F453" i="2" s="1"/>
  <c r="E453" i="2"/>
  <c r="G453" i="2"/>
  <c r="H453" i="2"/>
  <c r="I453" i="2"/>
  <c r="J453" i="2"/>
  <c r="K453" i="2"/>
  <c r="L453" i="2"/>
  <c r="M453" i="2"/>
  <c r="N453" i="2"/>
  <c r="O453" i="2"/>
  <c r="P453" i="2"/>
  <c r="Q453" i="2"/>
  <c r="A454" i="2"/>
  <c r="B454" i="2"/>
  <c r="C454" i="2"/>
  <c r="D454" i="2"/>
  <c r="F454" i="2" s="1"/>
  <c r="E454" i="2"/>
  <c r="G454" i="2"/>
  <c r="H454" i="2"/>
  <c r="I454" i="2"/>
  <c r="J454" i="2"/>
  <c r="K454" i="2"/>
  <c r="L454" i="2"/>
  <c r="M454" i="2"/>
  <c r="N454" i="2"/>
  <c r="O454" i="2"/>
  <c r="P454" i="2"/>
  <c r="Q454" i="2"/>
  <c r="A455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A456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A457" i="2"/>
  <c r="B457" i="2"/>
  <c r="C457" i="2"/>
  <c r="D457" i="2"/>
  <c r="F457" i="2" s="1"/>
  <c r="E457" i="2"/>
  <c r="G457" i="2"/>
  <c r="H457" i="2"/>
  <c r="I457" i="2"/>
  <c r="J457" i="2"/>
  <c r="K457" i="2"/>
  <c r="L457" i="2"/>
  <c r="M457" i="2"/>
  <c r="N457" i="2"/>
  <c r="O457" i="2"/>
  <c r="P457" i="2"/>
  <c r="Q457" i="2"/>
  <c r="A458" i="2"/>
  <c r="B458" i="2"/>
  <c r="C458" i="2"/>
  <c r="D458" i="2"/>
  <c r="F458" i="2" s="1"/>
  <c r="E458" i="2"/>
  <c r="G458" i="2"/>
  <c r="H458" i="2"/>
  <c r="I458" i="2"/>
  <c r="J458" i="2"/>
  <c r="K458" i="2"/>
  <c r="L458" i="2"/>
  <c r="M458" i="2"/>
  <c r="N458" i="2"/>
  <c r="O458" i="2"/>
  <c r="P458" i="2"/>
  <c r="Q458" i="2"/>
  <c r="A459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A460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A461" i="2"/>
  <c r="B461" i="2"/>
  <c r="C461" i="2"/>
  <c r="D461" i="2"/>
  <c r="F461" i="2" s="1"/>
  <c r="E461" i="2"/>
  <c r="G461" i="2"/>
  <c r="H461" i="2"/>
  <c r="I461" i="2"/>
  <c r="J461" i="2"/>
  <c r="K461" i="2"/>
  <c r="L461" i="2"/>
  <c r="M461" i="2"/>
  <c r="N461" i="2"/>
  <c r="O461" i="2"/>
  <c r="P461" i="2"/>
  <c r="Q461" i="2"/>
  <c r="A462" i="2"/>
  <c r="B462" i="2"/>
  <c r="C462" i="2"/>
  <c r="D462" i="2"/>
  <c r="F462" i="2" s="1"/>
  <c r="E462" i="2"/>
  <c r="G462" i="2"/>
  <c r="H462" i="2"/>
  <c r="I462" i="2"/>
  <c r="J462" i="2"/>
  <c r="K462" i="2"/>
  <c r="L462" i="2"/>
  <c r="M462" i="2"/>
  <c r="N462" i="2"/>
  <c r="O462" i="2"/>
  <c r="P462" i="2"/>
  <c r="Q462" i="2"/>
  <c r="A463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A464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A465" i="2"/>
  <c r="B465" i="2"/>
  <c r="C465" i="2"/>
  <c r="D465" i="2"/>
  <c r="F465" i="2" s="1"/>
  <c r="E465" i="2"/>
  <c r="G465" i="2"/>
  <c r="H465" i="2"/>
  <c r="I465" i="2"/>
  <c r="J465" i="2"/>
  <c r="K465" i="2"/>
  <c r="L465" i="2"/>
  <c r="M465" i="2"/>
  <c r="N465" i="2"/>
  <c r="O465" i="2"/>
  <c r="P465" i="2"/>
  <c r="Q465" i="2"/>
  <c r="A466" i="2"/>
  <c r="B466" i="2"/>
  <c r="C466" i="2"/>
  <c r="D466" i="2"/>
  <c r="F466" i="2" s="1"/>
  <c r="E466" i="2"/>
  <c r="G466" i="2"/>
  <c r="H466" i="2"/>
  <c r="I466" i="2"/>
  <c r="J466" i="2"/>
  <c r="K466" i="2"/>
  <c r="L466" i="2"/>
  <c r="M466" i="2"/>
  <c r="N466" i="2"/>
  <c r="O466" i="2"/>
  <c r="P466" i="2"/>
  <c r="Q466" i="2"/>
  <c r="A467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A468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A469" i="2"/>
  <c r="B469" i="2"/>
  <c r="C469" i="2"/>
  <c r="D469" i="2"/>
  <c r="F469" i="2" s="1"/>
  <c r="E469" i="2"/>
  <c r="G469" i="2"/>
  <c r="H469" i="2"/>
  <c r="I469" i="2"/>
  <c r="J469" i="2"/>
  <c r="K469" i="2"/>
  <c r="L469" i="2"/>
  <c r="M469" i="2"/>
  <c r="N469" i="2"/>
  <c r="O469" i="2"/>
  <c r="P469" i="2"/>
  <c r="Q469" i="2"/>
  <c r="A470" i="2"/>
  <c r="B470" i="2"/>
  <c r="C470" i="2"/>
  <c r="D470" i="2"/>
  <c r="F470" i="2" s="1"/>
  <c r="E470" i="2"/>
  <c r="G470" i="2"/>
  <c r="H470" i="2"/>
  <c r="I470" i="2"/>
  <c r="J470" i="2"/>
  <c r="K470" i="2"/>
  <c r="L470" i="2"/>
  <c r="M470" i="2"/>
  <c r="N470" i="2"/>
  <c r="O470" i="2"/>
  <c r="P470" i="2"/>
  <c r="Q470" i="2"/>
  <c r="A471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A472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A473" i="2"/>
  <c r="B473" i="2"/>
  <c r="C473" i="2"/>
  <c r="D473" i="2"/>
  <c r="F473" i="2" s="1"/>
  <c r="E473" i="2"/>
  <c r="G473" i="2"/>
  <c r="H473" i="2"/>
  <c r="I473" i="2"/>
  <c r="J473" i="2"/>
  <c r="K473" i="2"/>
  <c r="L473" i="2"/>
  <c r="M473" i="2"/>
  <c r="N473" i="2"/>
  <c r="O473" i="2"/>
  <c r="P473" i="2"/>
  <c r="Q473" i="2"/>
  <c r="A474" i="2"/>
  <c r="B474" i="2"/>
  <c r="C474" i="2"/>
  <c r="D474" i="2"/>
  <c r="F474" i="2" s="1"/>
  <c r="E474" i="2"/>
  <c r="G474" i="2"/>
  <c r="H474" i="2"/>
  <c r="I474" i="2"/>
  <c r="J474" i="2"/>
  <c r="K474" i="2"/>
  <c r="L474" i="2"/>
  <c r="M474" i="2"/>
  <c r="N474" i="2"/>
  <c r="O474" i="2"/>
  <c r="P474" i="2"/>
  <c r="Q474" i="2"/>
  <c r="A475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A476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A477" i="2"/>
  <c r="B477" i="2"/>
  <c r="C477" i="2"/>
  <c r="D477" i="2"/>
  <c r="F477" i="2" s="1"/>
  <c r="E477" i="2"/>
  <c r="G477" i="2"/>
  <c r="H477" i="2"/>
  <c r="I477" i="2"/>
  <c r="J477" i="2"/>
  <c r="K477" i="2"/>
  <c r="L477" i="2"/>
  <c r="M477" i="2"/>
  <c r="N477" i="2"/>
  <c r="O477" i="2"/>
  <c r="P477" i="2"/>
  <c r="Q477" i="2"/>
  <c r="A478" i="2"/>
  <c r="B478" i="2"/>
  <c r="C478" i="2"/>
  <c r="D478" i="2"/>
  <c r="F478" i="2" s="1"/>
  <c r="E478" i="2"/>
  <c r="G478" i="2"/>
  <c r="H478" i="2"/>
  <c r="I478" i="2"/>
  <c r="J478" i="2"/>
  <c r="K478" i="2"/>
  <c r="L478" i="2"/>
  <c r="M478" i="2"/>
  <c r="N478" i="2"/>
  <c r="O478" i="2"/>
  <c r="P478" i="2"/>
  <c r="Q478" i="2"/>
  <c r="A479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A480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A481" i="2"/>
  <c r="B481" i="2"/>
  <c r="C481" i="2"/>
  <c r="D481" i="2"/>
  <c r="F481" i="2" s="1"/>
  <c r="E481" i="2"/>
  <c r="G481" i="2"/>
  <c r="H481" i="2"/>
  <c r="I481" i="2"/>
  <c r="J481" i="2"/>
  <c r="K481" i="2"/>
  <c r="L481" i="2"/>
  <c r="M481" i="2"/>
  <c r="N481" i="2"/>
  <c r="O481" i="2"/>
  <c r="P481" i="2"/>
  <c r="Q481" i="2"/>
  <c r="A482" i="2"/>
  <c r="B482" i="2"/>
  <c r="C482" i="2"/>
  <c r="D482" i="2"/>
  <c r="F482" i="2" s="1"/>
  <c r="E482" i="2"/>
  <c r="G482" i="2"/>
  <c r="H482" i="2"/>
  <c r="I482" i="2"/>
  <c r="J482" i="2"/>
  <c r="K482" i="2"/>
  <c r="L482" i="2"/>
  <c r="M482" i="2"/>
  <c r="N482" i="2"/>
  <c r="O482" i="2"/>
  <c r="P482" i="2"/>
  <c r="Q482" i="2"/>
  <c r="A483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A484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A485" i="2"/>
  <c r="B485" i="2"/>
  <c r="C485" i="2"/>
  <c r="D485" i="2"/>
  <c r="F485" i="2" s="1"/>
  <c r="E485" i="2"/>
  <c r="G485" i="2"/>
  <c r="H485" i="2"/>
  <c r="I485" i="2"/>
  <c r="J485" i="2"/>
  <c r="K485" i="2"/>
  <c r="L485" i="2"/>
  <c r="M485" i="2"/>
  <c r="N485" i="2"/>
  <c r="O485" i="2"/>
  <c r="P485" i="2"/>
  <c r="Q485" i="2"/>
  <c r="A486" i="2"/>
  <c r="B486" i="2"/>
  <c r="C486" i="2"/>
  <c r="D486" i="2"/>
  <c r="F486" i="2" s="1"/>
  <c r="E486" i="2"/>
  <c r="G486" i="2"/>
  <c r="H486" i="2"/>
  <c r="I486" i="2"/>
  <c r="J486" i="2"/>
  <c r="K486" i="2"/>
  <c r="L486" i="2"/>
  <c r="M486" i="2"/>
  <c r="N486" i="2"/>
  <c r="O486" i="2"/>
  <c r="P486" i="2"/>
  <c r="Q486" i="2"/>
  <c r="A487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A488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A489" i="2"/>
  <c r="B489" i="2"/>
  <c r="C489" i="2"/>
  <c r="D489" i="2"/>
  <c r="F489" i="2" s="1"/>
  <c r="E489" i="2"/>
  <c r="G489" i="2"/>
  <c r="H489" i="2"/>
  <c r="I489" i="2"/>
  <c r="J489" i="2"/>
  <c r="K489" i="2"/>
  <c r="L489" i="2"/>
  <c r="M489" i="2"/>
  <c r="N489" i="2"/>
  <c r="O489" i="2"/>
  <c r="P489" i="2"/>
  <c r="Q489" i="2"/>
  <c r="A490" i="2"/>
  <c r="B490" i="2"/>
  <c r="C490" i="2"/>
  <c r="D490" i="2"/>
  <c r="F490" i="2" s="1"/>
  <c r="E490" i="2"/>
  <c r="G490" i="2"/>
  <c r="H490" i="2"/>
  <c r="I490" i="2"/>
  <c r="J490" i="2"/>
  <c r="K490" i="2"/>
  <c r="L490" i="2"/>
  <c r="M490" i="2"/>
  <c r="N490" i="2"/>
  <c r="O490" i="2"/>
  <c r="P490" i="2"/>
  <c r="Q490" i="2"/>
  <c r="A491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A492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A493" i="2"/>
  <c r="B493" i="2"/>
  <c r="C493" i="2"/>
  <c r="D493" i="2"/>
  <c r="F493" i="2" s="1"/>
  <c r="E493" i="2"/>
  <c r="G493" i="2"/>
  <c r="H493" i="2"/>
  <c r="I493" i="2"/>
  <c r="J493" i="2"/>
  <c r="K493" i="2"/>
  <c r="L493" i="2"/>
  <c r="M493" i="2"/>
  <c r="N493" i="2"/>
  <c r="O493" i="2"/>
  <c r="P493" i="2"/>
  <c r="Q493" i="2"/>
  <c r="A494" i="2"/>
  <c r="B494" i="2"/>
  <c r="C494" i="2"/>
  <c r="D494" i="2"/>
  <c r="F494" i="2" s="1"/>
  <c r="E494" i="2"/>
  <c r="G494" i="2"/>
  <c r="H494" i="2"/>
  <c r="I494" i="2"/>
  <c r="J494" i="2"/>
  <c r="K494" i="2"/>
  <c r="L494" i="2"/>
  <c r="M494" i="2"/>
  <c r="N494" i="2"/>
  <c r="O494" i="2"/>
  <c r="P494" i="2"/>
  <c r="Q494" i="2"/>
  <c r="A495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A496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A497" i="2"/>
  <c r="B497" i="2"/>
  <c r="C497" i="2"/>
  <c r="D497" i="2"/>
  <c r="F497" i="2" s="1"/>
  <c r="E497" i="2"/>
  <c r="G497" i="2"/>
  <c r="H497" i="2"/>
  <c r="I497" i="2"/>
  <c r="J497" i="2"/>
  <c r="K497" i="2"/>
  <c r="L497" i="2"/>
  <c r="M497" i="2"/>
  <c r="N497" i="2"/>
  <c r="O497" i="2"/>
  <c r="P497" i="2"/>
  <c r="Q497" i="2"/>
  <c r="A498" i="2"/>
  <c r="B498" i="2"/>
  <c r="C498" i="2"/>
  <c r="D498" i="2"/>
  <c r="F498" i="2" s="1"/>
  <c r="E498" i="2"/>
  <c r="G498" i="2"/>
  <c r="H498" i="2"/>
  <c r="I498" i="2"/>
  <c r="J498" i="2"/>
  <c r="K498" i="2"/>
  <c r="L498" i="2"/>
  <c r="M498" i="2"/>
  <c r="N498" i="2"/>
  <c r="O498" i="2"/>
  <c r="P498" i="2"/>
  <c r="Q498" i="2"/>
  <c r="A499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A500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A501" i="2"/>
  <c r="B501" i="2"/>
  <c r="C501" i="2"/>
  <c r="D501" i="2"/>
  <c r="F501" i="2" s="1"/>
  <c r="E501" i="2"/>
  <c r="G501" i="2"/>
  <c r="H501" i="2"/>
  <c r="I501" i="2"/>
  <c r="J501" i="2"/>
  <c r="K501" i="2"/>
  <c r="L501" i="2"/>
  <c r="M501" i="2"/>
  <c r="N501" i="2"/>
  <c r="O501" i="2"/>
  <c r="P501" i="2"/>
  <c r="Q501" i="2"/>
</calcChain>
</file>

<file path=xl/sharedStrings.xml><?xml version="1.0" encoding="utf-8"?>
<sst xmlns="http://schemas.openxmlformats.org/spreadsheetml/2006/main" count="3995" uniqueCount="594">
  <si>
    <t>Nro Guia</t>
  </si>
  <si>
    <t>Fecha</t>
  </si>
  <si>
    <t>Cliente</t>
  </si>
  <si>
    <t>Sucursal</t>
  </si>
  <si>
    <t>Estado</t>
  </si>
  <si>
    <t>Motivo</t>
  </si>
  <si>
    <t>Remito</t>
  </si>
  <si>
    <t>Guia Agente</t>
  </si>
  <si>
    <t>Servicio</t>
  </si>
  <si>
    <t>Tiempo</t>
  </si>
  <si>
    <t>Localidad Origen</t>
  </si>
  <si>
    <t>Localidad Destino</t>
  </si>
  <si>
    <t>Destino</t>
  </si>
  <si>
    <t>Peso</t>
  </si>
  <si>
    <t>Bultos</t>
  </si>
  <si>
    <t>Importe</t>
  </si>
  <si>
    <t>Valor Declarado</t>
  </si>
  <si>
    <t>Empresa</t>
  </si>
  <si>
    <t>Destinatario</t>
  </si>
  <si>
    <t>Domicilio</t>
  </si>
  <si>
    <t>Localidad</t>
  </si>
  <si>
    <t>Provincia</t>
  </si>
  <si>
    <t>Email</t>
  </si>
  <si>
    <t>Horario</t>
  </si>
  <si>
    <t>Distribuidor Recorrido</t>
  </si>
  <si>
    <t>Distribuidor Origen</t>
  </si>
  <si>
    <t>Distribuidor Destino</t>
  </si>
  <si>
    <t>Fecha Planilla</t>
  </si>
  <si>
    <t>Nro. Planilla</t>
  </si>
  <si>
    <t>Fecha Rendicion</t>
  </si>
  <si>
    <t>Nro. Rendicion</t>
  </si>
  <si>
    <t>Fecha Pactada</t>
  </si>
  <si>
    <t>Fecha Entrega</t>
  </si>
  <si>
    <t>Recibio</t>
  </si>
  <si>
    <t>Documento</t>
  </si>
  <si>
    <t>Lote</t>
  </si>
  <si>
    <t>Contrareembolso</t>
  </si>
  <si>
    <t>Other Info</t>
  </si>
  <si>
    <t>Obs 1</t>
  </si>
  <si>
    <t>Obs 2</t>
  </si>
  <si>
    <t>Nro.Socio</t>
  </si>
  <si>
    <t>Nro.Prestador</t>
  </si>
  <si>
    <t>Usuario</t>
  </si>
  <si>
    <t>Peso Volumetrico</t>
  </si>
  <si>
    <t>Volumen</t>
  </si>
  <si>
    <t>Ceco</t>
  </si>
  <si>
    <t>Importe Urgente</t>
  </si>
  <si>
    <t>Kg Exceso</t>
  </si>
  <si>
    <t>Importe Exceso</t>
  </si>
  <si>
    <t>Sector</t>
  </si>
  <si>
    <t>Trabajo</t>
  </si>
  <si>
    <t>Fecha Repactacion</t>
  </si>
  <si>
    <t>CP</t>
  </si>
  <si>
    <t>PLANILLA FACTURADO</t>
  </si>
  <si>
    <t>CONSTANCIA RETIRO</t>
  </si>
  <si>
    <t>SUCURSAL ORIGEN</t>
  </si>
  <si>
    <t>SUCURSAL DESTINO</t>
  </si>
  <si>
    <t>GRUPO</t>
  </si>
  <si>
    <t>COM.OBS 3</t>
  </si>
  <si>
    <t>COM.OBS 4</t>
  </si>
  <si>
    <t>COM.OTHER INFO</t>
  </si>
  <si>
    <t>COM.CELULAR</t>
  </si>
  <si>
    <t>FECHA ULTIMO ESTADO</t>
  </si>
  <si>
    <t>Precinto</t>
  </si>
  <si>
    <t>Codigo Sucursal</t>
  </si>
  <si>
    <t>Fecha Ingreso a Planta</t>
  </si>
  <si>
    <t>Datos Envios Obs</t>
  </si>
  <si>
    <t>Pago En</t>
  </si>
  <si>
    <t>Codigo Sucursal Naranja Devolucion</t>
  </si>
  <si>
    <t>Descripcion Sucursal Naranja Devolucion</t>
  </si>
  <si>
    <t>Zona Destino</t>
  </si>
  <si>
    <t>Sub Zona Destino</t>
  </si>
  <si>
    <t>Nombre Fantasia</t>
  </si>
  <si>
    <t>Nro.Liquidacion</t>
  </si>
  <si>
    <t>Canal</t>
  </si>
  <si>
    <t>FLEX</t>
  </si>
  <si>
    <t>Fecha ingreso a Planta</t>
  </si>
  <si>
    <t>GESTIÓN REALIZADA</t>
  </si>
  <si>
    <t>TIPO DE ESTADO</t>
  </si>
  <si>
    <t xml:space="preserve">VISITA COORDINADA CON EL CLIENTE </t>
  </si>
  <si>
    <t>N/A</t>
  </si>
  <si>
    <t>CERRADO EN APP FLEX</t>
  </si>
  <si>
    <t>ZETABURGOS SRL</t>
  </si>
  <si>
    <t>1RVT - 1° VISITA</t>
  </si>
  <si>
    <t>Prueba 0</t>
  </si>
  <si>
    <t>Calle 123
Piso 2</t>
  </si>
  <si>
    <t>34.072273</t>
  </si>
  <si>
    <t>011123456</t>
  </si>
  <si>
    <t>ENTREGADO</t>
  </si>
  <si>
    <t>#ABC</t>
  </si>
  <si>
    <t>SAMEDAY</t>
  </si>
  <si>
    <t>Prueba 1</t>
  </si>
  <si>
    <t>REPROGRAMACIÓN</t>
  </si>
  <si>
    <t>Prueba 2</t>
  </si>
  <si>
    <t>ABC001</t>
  </si>
  <si>
    <t>Prueba 3</t>
  </si>
  <si>
    <t>Prueba 4</t>
  </si>
  <si>
    <t>Prueba 5</t>
  </si>
  <si>
    <t>Prueba 6</t>
  </si>
  <si>
    <t>Prueba 7</t>
  </si>
  <si>
    <t>Prueba 8</t>
  </si>
  <si>
    <t>Prueba 9</t>
  </si>
  <si>
    <t>Prueba 10</t>
  </si>
  <si>
    <t>Prueba 11</t>
  </si>
  <si>
    <t>Prueba 12</t>
  </si>
  <si>
    <t>Prueba 13</t>
  </si>
  <si>
    <t>Prueba 14</t>
  </si>
  <si>
    <t>Prueba 15</t>
  </si>
  <si>
    <t>Prueba 16</t>
  </si>
  <si>
    <t>Prueba 17</t>
  </si>
  <si>
    <t>Prueba 18</t>
  </si>
  <si>
    <t>Prueba 19</t>
  </si>
  <si>
    <t>Prueba 20</t>
  </si>
  <si>
    <t>Prueba 21</t>
  </si>
  <si>
    <t>Prueba 22</t>
  </si>
  <si>
    <t>Prueba 23</t>
  </si>
  <si>
    <t>Prueba 24</t>
  </si>
  <si>
    <t>Prueba 25</t>
  </si>
  <si>
    <t>Prueba 26</t>
  </si>
  <si>
    <t>Prueba 27</t>
  </si>
  <si>
    <t>Prueba 28</t>
  </si>
  <si>
    <t>Prueba 29</t>
  </si>
  <si>
    <t>Prueba 30</t>
  </si>
  <si>
    <t>Prueba 31</t>
  </si>
  <si>
    <t>Prueba 32</t>
  </si>
  <si>
    <t>Prueba 33</t>
  </si>
  <si>
    <t>Prueba 34</t>
  </si>
  <si>
    <t>Prueba 35</t>
  </si>
  <si>
    <t>Prueba 36</t>
  </si>
  <si>
    <t>Prueba 37</t>
  </si>
  <si>
    <t>Prueba 38</t>
  </si>
  <si>
    <t>Prueba 39</t>
  </si>
  <si>
    <t>Prueba 40</t>
  </si>
  <si>
    <t>Prueba 41</t>
  </si>
  <si>
    <t>Prueba 42</t>
  </si>
  <si>
    <t>Prueba 43</t>
  </si>
  <si>
    <t>Prueba 44</t>
  </si>
  <si>
    <t>Prueba 45</t>
  </si>
  <si>
    <t>Prueba 46</t>
  </si>
  <si>
    <t>Prueba 47</t>
  </si>
  <si>
    <t>Prueba 48</t>
  </si>
  <si>
    <t>Prueba 49</t>
  </si>
  <si>
    <t>Prueba 50</t>
  </si>
  <si>
    <t>Prueba 51</t>
  </si>
  <si>
    <t>Prueba 52</t>
  </si>
  <si>
    <t>Prueba 53</t>
  </si>
  <si>
    <t>Prueba 54</t>
  </si>
  <si>
    <t>Prueba 55</t>
  </si>
  <si>
    <t>Prueba 56</t>
  </si>
  <si>
    <t>Prueba 57</t>
  </si>
  <si>
    <t>Prueba 58</t>
  </si>
  <si>
    <t>Prueba 59</t>
  </si>
  <si>
    <t>Prueba 60</t>
  </si>
  <si>
    <t>Prueba 61</t>
  </si>
  <si>
    <t>Prueba 62</t>
  </si>
  <si>
    <t>Prueba 63</t>
  </si>
  <si>
    <t>Prueba 64</t>
  </si>
  <si>
    <t>Prueba 65</t>
  </si>
  <si>
    <t>Prueba 66</t>
  </si>
  <si>
    <t>Prueba 67</t>
  </si>
  <si>
    <t>Prueba 68</t>
  </si>
  <si>
    <t>Prueba 69</t>
  </si>
  <si>
    <t>Prueba 70</t>
  </si>
  <si>
    <t>Prueba 71</t>
  </si>
  <si>
    <t>Prueba 72</t>
  </si>
  <si>
    <t>Prueba 73</t>
  </si>
  <si>
    <t>Prueba 74</t>
  </si>
  <si>
    <t>Prueba 75</t>
  </si>
  <si>
    <t>Prueba 76</t>
  </si>
  <si>
    <t>Prueba 77</t>
  </si>
  <si>
    <t>Prueba 78</t>
  </si>
  <si>
    <t>Prueba 79</t>
  </si>
  <si>
    <t>Prueba 80</t>
  </si>
  <si>
    <t>Prueba 81</t>
  </si>
  <si>
    <t>Prueba 82</t>
  </si>
  <si>
    <t>Prueba 83</t>
  </si>
  <si>
    <t>Prueba 84</t>
  </si>
  <si>
    <t>Prueba 85</t>
  </si>
  <si>
    <t>Prueba 86</t>
  </si>
  <si>
    <t>Prueba 87</t>
  </si>
  <si>
    <t>Prueba 88</t>
  </si>
  <si>
    <t>Prueba 89</t>
  </si>
  <si>
    <t>Prueba 90</t>
  </si>
  <si>
    <t>Prueba 91</t>
  </si>
  <si>
    <t>Prueba 92</t>
  </si>
  <si>
    <t>Prueba 93</t>
  </si>
  <si>
    <t>Prueba 94</t>
  </si>
  <si>
    <t>Prueba 95</t>
  </si>
  <si>
    <t>Prueba 96</t>
  </si>
  <si>
    <t>Prueba 97</t>
  </si>
  <si>
    <t>Prueba 98</t>
  </si>
  <si>
    <t>Prueba 99</t>
  </si>
  <si>
    <t>Prueba 100</t>
  </si>
  <si>
    <t>Prueba 101</t>
  </si>
  <si>
    <t>Prueba 102</t>
  </si>
  <si>
    <t>Prueba 103</t>
  </si>
  <si>
    <t>Prueba 104</t>
  </si>
  <si>
    <t>Prueba 105</t>
  </si>
  <si>
    <t>Prueba 106</t>
  </si>
  <si>
    <t>Prueba 107</t>
  </si>
  <si>
    <t>Prueba 108</t>
  </si>
  <si>
    <t>Prueba 109</t>
  </si>
  <si>
    <t>Prueba 110</t>
  </si>
  <si>
    <t>Prueba 111</t>
  </si>
  <si>
    <t>Prueba 112</t>
  </si>
  <si>
    <t>Prueba 113</t>
  </si>
  <si>
    <t>Prueba 114</t>
  </si>
  <si>
    <t>Prueba 115</t>
  </si>
  <si>
    <t>Prueba 116</t>
  </si>
  <si>
    <t>Prueba 117</t>
  </si>
  <si>
    <t>Prueba 118</t>
  </si>
  <si>
    <t>Prueba 119</t>
  </si>
  <si>
    <t>Prueba 120</t>
  </si>
  <si>
    <t>Prueba 121</t>
  </si>
  <si>
    <t>Prueba 122</t>
  </si>
  <si>
    <t>Prueba 123</t>
  </si>
  <si>
    <t>Prueba 124</t>
  </si>
  <si>
    <t>Prueba 125</t>
  </si>
  <si>
    <t>Prueba 126</t>
  </si>
  <si>
    <t>Prueba 127</t>
  </si>
  <si>
    <t>Prueba 128</t>
  </si>
  <si>
    <t>Prueba 129</t>
  </si>
  <si>
    <t>Prueba 130</t>
  </si>
  <si>
    <t>Prueba 131</t>
  </si>
  <si>
    <t>Prueba 132</t>
  </si>
  <si>
    <t>Prueba 133</t>
  </si>
  <si>
    <t>Prueba 134</t>
  </si>
  <si>
    <t>Prueba 135</t>
  </si>
  <si>
    <t>Prueba 136</t>
  </si>
  <si>
    <t>Prueba 137</t>
  </si>
  <si>
    <t>Prueba 138</t>
  </si>
  <si>
    <t>Prueba 139</t>
  </si>
  <si>
    <t>Prueba 140</t>
  </si>
  <si>
    <t>Prueba 141</t>
  </si>
  <si>
    <t>Prueba 142</t>
  </si>
  <si>
    <t>Prueba 143</t>
  </si>
  <si>
    <t>Prueba 144</t>
  </si>
  <si>
    <t>Prueba 145</t>
  </si>
  <si>
    <t>Prueba 146</t>
  </si>
  <si>
    <t>Prueba 147</t>
  </si>
  <si>
    <t>Prueba 148</t>
  </si>
  <si>
    <t>Prueba 149</t>
  </si>
  <si>
    <t>Prueba 150</t>
  </si>
  <si>
    <t>Prueba 151</t>
  </si>
  <si>
    <t>Prueba 152</t>
  </si>
  <si>
    <t>Prueba 153</t>
  </si>
  <si>
    <t>Prueba 154</t>
  </si>
  <si>
    <t>Prueba 155</t>
  </si>
  <si>
    <t>Prueba 156</t>
  </si>
  <si>
    <t>Prueba 157</t>
  </si>
  <si>
    <t>Prueba 158</t>
  </si>
  <si>
    <t>Prueba 159</t>
  </si>
  <si>
    <t>Prueba 160</t>
  </si>
  <si>
    <t>Prueba 161</t>
  </si>
  <si>
    <t>Prueba 162</t>
  </si>
  <si>
    <t>Prueba 163</t>
  </si>
  <si>
    <t>Prueba 164</t>
  </si>
  <si>
    <t>Prueba 165</t>
  </si>
  <si>
    <t>Prueba 166</t>
  </si>
  <si>
    <t>Prueba 167</t>
  </si>
  <si>
    <t>Prueba 168</t>
  </si>
  <si>
    <t>Prueba 169</t>
  </si>
  <si>
    <t>Prueba 170</t>
  </si>
  <si>
    <t>Prueba 171</t>
  </si>
  <si>
    <t>Prueba 172</t>
  </si>
  <si>
    <t>Prueba 173</t>
  </si>
  <si>
    <t>Prueba 174</t>
  </si>
  <si>
    <t>Prueba 175</t>
  </si>
  <si>
    <t>Prueba 176</t>
  </si>
  <si>
    <t>Prueba 177</t>
  </si>
  <si>
    <t>Prueba 178</t>
  </si>
  <si>
    <t>Prueba 179</t>
  </si>
  <si>
    <t>Prueba 180</t>
  </si>
  <si>
    <t>Prueba 181</t>
  </si>
  <si>
    <t>Prueba 182</t>
  </si>
  <si>
    <t>Prueba 183</t>
  </si>
  <si>
    <t>Prueba 184</t>
  </si>
  <si>
    <t>Prueba 185</t>
  </si>
  <si>
    <t>Prueba 186</t>
  </si>
  <si>
    <t>Prueba 187</t>
  </si>
  <si>
    <t>Prueba 188</t>
  </si>
  <si>
    <t>Prueba 189</t>
  </si>
  <si>
    <t>Prueba 190</t>
  </si>
  <si>
    <t>Prueba 191</t>
  </si>
  <si>
    <t>Prueba 192</t>
  </si>
  <si>
    <t>Prueba 193</t>
  </si>
  <si>
    <t>Prueba 194</t>
  </si>
  <si>
    <t>Prueba 195</t>
  </si>
  <si>
    <t>Prueba 196</t>
  </si>
  <si>
    <t>Prueba 197</t>
  </si>
  <si>
    <t>Prueba 198</t>
  </si>
  <si>
    <t>Prueba 199</t>
  </si>
  <si>
    <t>Prueba 200</t>
  </si>
  <si>
    <t>Prueba 201</t>
  </si>
  <si>
    <t>Prueba 202</t>
  </si>
  <si>
    <t>Prueba 203</t>
  </si>
  <si>
    <t>Prueba 204</t>
  </si>
  <si>
    <t>Prueba 205</t>
  </si>
  <si>
    <t>Prueba 206</t>
  </si>
  <si>
    <t>Prueba 207</t>
  </si>
  <si>
    <t>Prueba 208</t>
  </si>
  <si>
    <t>Prueba 209</t>
  </si>
  <si>
    <t>Prueba 210</t>
  </si>
  <si>
    <t>Prueba 211</t>
  </si>
  <si>
    <t>Prueba 212</t>
  </si>
  <si>
    <t>Prueba 213</t>
  </si>
  <si>
    <t>Prueba 214</t>
  </si>
  <si>
    <t>Prueba 215</t>
  </si>
  <si>
    <t>Prueba 216</t>
  </si>
  <si>
    <t>Prueba 217</t>
  </si>
  <si>
    <t>Prueba 218</t>
  </si>
  <si>
    <t>Prueba 219</t>
  </si>
  <si>
    <t>Prueba 220</t>
  </si>
  <si>
    <t>Prueba 221</t>
  </si>
  <si>
    <t>Prueba 222</t>
  </si>
  <si>
    <t>Prueba 223</t>
  </si>
  <si>
    <t>Prueba 224</t>
  </si>
  <si>
    <t>Prueba 225</t>
  </si>
  <si>
    <t>Prueba 226</t>
  </si>
  <si>
    <t>Prueba 227</t>
  </si>
  <si>
    <t>Prueba 228</t>
  </si>
  <si>
    <t>Prueba 229</t>
  </si>
  <si>
    <t>Prueba 230</t>
  </si>
  <si>
    <t>Prueba 231</t>
  </si>
  <si>
    <t>Prueba 232</t>
  </si>
  <si>
    <t>Prueba 233</t>
  </si>
  <si>
    <t>Prueba 234</t>
  </si>
  <si>
    <t>Prueba 235</t>
  </si>
  <si>
    <t>Prueba 236</t>
  </si>
  <si>
    <t>Prueba 237</t>
  </si>
  <si>
    <t>Prueba 238</t>
  </si>
  <si>
    <t>Prueba 239</t>
  </si>
  <si>
    <t>Prueba 240</t>
  </si>
  <si>
    <t>Prueba 241</t>
  </si>
  <si>
    <t>Prueba 242</t>
  </si>
  <si>
    <t>Prueba 243</t>
  </si>
  <si>
    <t>Prueba 244</t>
  </si>
  <si>
    <t>Prueba 245</t>
  </si>
  <si>
    <t>Prueba 246</t>
  </si>
  <si>
    <t>Prueba 247</t>
  </si>
  <si>
    <t>Prueba 248</t>
  </si>
  <si>
    <t>Prueba 249</t>
  </si>
  <si>
    <t>Prueba 250</t>
  </si>
  <si>
    <t>Prueba 251</t>
  </si>
  <si>
    <t>Prueba 252</t>
  </si>
  <si>
    <t>Prueba 253</t>
  </si>
  <si>
    <t>Prueba 254</t>
  </si>
  <si>
    <t>Prueba 255</t>
  </si>
  <si>
    <t>Prueba 256</t>
  </si>
  <si>
    <t>Prueba 257</t>
  </si>
  <si>
    <t>Prueba 258</t>
  </si>
  <si>
    <t>Prueba 259</t>
  </si>
  <si>
    <t>Prueba 260</t>
  </si>
  <si>
    <t>Prueba 261</t>
  </si>
  <si>
    <t>Prueba 262</t>
  </si>
  <si>
    <t>Prueba 263</t>
  </si>
  <si>
    <t>Prueba 264</t>
  </si>
  <si>
    <t>Prueba 265</t>
  </si>
  <si>
    <t>Prueba 266</t>
  </si>
  <si>
    <t>Prueba 267</t>
  </si>
  <si>
    <t>Prueba 268</t>
  </si>
  <si>
    <t>Prueba 269</t>
  </si>
  <si>
    <t>Prueba 270</t>
  </si>
  <si>
    <t>Prueba 271</t>
  </si>
  <si>
    <t>Prueba 272</t>
  </si>
  <si>
    <t>Prueba 273</t>
  </si>
  <si>
    <t>Prueba 274</t>
  </si>
  <si>
    <t>Prueba 275</t>
  </si>
  <si>
    <t>Prueba 276</t>
  </si>
  <si>
    <t>Prueba 277</t>
  </si>
  <si>
    <t>Prueba 278</t>
  </si>
  <si>
    <t>Prueba 279</t>
  </si>
  <si>
    <t>Prueba 280</t>
  </si>
  <si>
    <t>Prueba 281</t>
  </si>
  <si>
    <t>Prueba 282</t>
  </si>
  <si>
    <t>Prueba 283</t>
  </si>
  <si>
    <t>Prueba 284</t>
  </si>
  <si>
    <t>Prueba 285</t>
  </si>
  <si>
    <t>Prueba 286</t>
  </si>
  <si>
    <t>Prueba 287</t>
  </si>
  <si>
    <t>Prueba 288</t>
  </si>
  <si>
    <t>Prueba 289</t>
  </si>
  <si>
    <t>Prueba 290</t>
  </si>
  <si>
    <t>Prueba 291</t>
  </si>
  <si>
    <t>Prueba 292</t>
  </si>
  <si>
    <t>Prueba 293</t>
  </si>
  <si>
    <t>Prueba 294</t>
  </si>
  <si>
    <t>Prueba 295</t>
  </si>
  <si>
    <t>Prueba 296</t>
  </si>
  <si>
    <t>Prueba 297</t>
  </si>
  <si>
    <t>Prueba 298</t>
  </si>
  <si>
    <t>Prueba 299</t>
  </si>
  <si>
    <t>Prueba 300</t>
  </si>
  <si>
    <t>Prueba 301</t>
  </si>
  <si>
    <t>Prueba 302</t>
  </si>
  <si>
    <t>Prueba 303</t>
  </si>
  <si>
    <t>Prueba 304</t>
  </si>
  <si>
    <t>Prueba 305</t>
  </si>
  <si>
    <t>Prueba 306</t>
  </si>
  <si>
    <t>Prueba 307</t>
  </si>
  <si>
    <t>Prueba 308</t>
  </si>
  <si>
    <t>Prueba 309</t>
  </si>
  <si>
    <t>Prueba 310</t>
  </si>
  <si>
    <t>Prueba 311</t>
  </si>
  <si>
    <t>Prueba 312</t>
  </si>
  <si>
    <t>Prueba 313</t>
  </si>
  <si>
    <t>Prueba 314</t>
  </si>
  <si>
    <t>Prueba 315</t>
  </si>
  <si>
    <t>Prueba 316</t>
  </si>
  <si>
    <t>Prueba 317</t>
  </si>
  <si>
    <t>Prueba 318</t>
  </si>
  <si>
    <t>Prueba 319</t>
  </si>
  <si>
    <t>Prueba 320</t>
  </si>
  <si>
    <t>Prueba 321</t>
  </si>
  <si>
    <t>Prueba 322</t>
  </si>
  <si>
    <t>Prueba 323</t>
  </si>
  <si>
    <t>Prueba 324</t>
  </si>
  <si>
    <t>Prueba 325</t>
  </si>
  <si>
    <t>Prueba 326</t>
  </si>
  <si>
    <t>Prueba 327</t>
  </si>
  <si>
    <t>Prueba 328</t>
  </si>
  <si>
    <t>Prueba 329</t>
  </si>
  <si>
    <t>Prueba 330</t>
  </si>
  <si>
    <t>Prueba 331</t>
  </si>
  <si>
    <t>Prueba 332</t>
  </si>
  <si>
    <t>Prueba 333</t>
  </si>
  <si>
    <t>Prueba 334</t>
  </si>
  <si>
    <t>Prueba 335</t>
  </si>
  <si>
    <t>Prueba 336</t>
  </si>
  <si>
    <t>Prueba 337</t>
  </si>
  <si>
    <t>Prueba 338</t>
  </si>
  <si>
    <t>Prueba 339</t>
  </si>
  <si>
    <t>Prueba 340</t>
  </si>
  <si>
    <t>Prueba 341</t>
  </si>
  <si>
    <t>Prueba 342</t>
  </si>
  <si>
    <t>Prueba 343</t>
  </si>
  <si>
    <t>Prueba 344</t>
  </si>
  <si>
    <t>Prueba 345</t>
  </si>
  <si>
    <t>Prueba 346</t>
  </si>
  <si>
    <t>Prueba 347</t>
  </si>
  <si>
    <t>Prueba 348</t>
  </si>
  <si>
    <t>Prueba 349</t>
  </si>
  <si>
    <t>Prueba 350</t>
  </si>
  <si>
    <t>Prueba 351</t>
  </si>
  <si>
    <t>Prueba 352</t>
  </si>
  <si>
    <t>Prueba 353</t>
  </si>
  <si>
    <t>Prueba 354</t>
  </si>
  <si>
    <t>Prueba 355</t>
  </si>
  <si>
    <t>Prueba 356</t>
  </si>
  <si>
    <t>Prueba 357</t>
  </si>
  <si>
    <t>Prueba 358</t>
  </si>
  <si>
    <t>Prueba 359</t>
  </si>
  <si>
    <t>Prueba 360</t>
  </si>
  <si>
    <t>Prueba 361</t>
  </si>
  <si>
    <t>Prueba 362</t>
  </si>
  <si>
    <t>Prueba 363</t>
  </si>
  <si>
    <t>Prueba 364</t>
  </si>
  <si>
    <t>Prueba 365</t>
  </si>
  <si>
    <t>Prueba 366</t>
  </si>
  <si>
    <t>Prueba 367</t>
  </si>
  <si>
    <t>Prueba 368</t>
  </si>
  <si>
    <t>Prueba 369</t>
  </si>
  <si>
    <t>Prueba 370</t>
  </si>
  <si>
    <t>Prueba 371</t>
  </si>
  <si>
    <t>Prueba 372</t>
  </si>
  <si>
    <t>Prueba 373</t>
  </si>
  <si>
    <t>Prueba 374</t>
  </si>
  <si>
    <t>Prueba 375</t>
  </si>
  <si>
    <t>Prueba 376</t>
  </si>
  <si>
    <t>Prueba 377</t>
  </si>
  <si>
    <t>Prueba 378</t>
  </si>
  <si>
    <t>Prueba 379</t>
  </si>
  <si>
    <t>Prueba 380</t>
  </si>
  <si>
    <t>Prueba 381</t>
  </si>
  <si>
    <t>Prueba 382</t>
  </si>
  <si>
    <t>Prueba 383</t>
  </si>
  <si>
    <t>Prueba 384</t>
  </si>
  <si>
    <t>Prueba 385</t>
  </si>
  <si>
    <t>Prueba 386</t>
  </si>
  <si>
    <t>Prueba 387</t>
  </si>
  <si>
    <t>Prueba 388</t>
  </si>
  <si>
    <t>Prueba 389</t>
  </si>
  <si>
    <t>Prueba 390</t>
  </si>
  <si>
    <t>Prueba 391</t>
  </si>
  <si>
    <t>Prueba 392</t>
  </si>
  <si>
    <t>Prueba 393</t>
  </si>
  <si>
    <t>Prueba 394</t>
  </si>
  <si>
    <t>Prueba 395</t>
  </si>
  <si>
    <t>Prueba 396</t>
  </si>
  <si>
    <t>Prueba 397</t>
  </si>
  <si>
    <t>Prueba 398</t>
  </si>
  <si>
    <t>Prueba 399</t>
  </si>
  <si>
    <t>Prueba 400</t>
  </si>
  <si>
    <t>Prueba 401</t>
  </si>
  <si>
    <t>Prueba 402</t>
  </si>
  <si>
    <t>Prueba 403</t>
  </si>
  <si>
    <t>Prueba 404</t>
  </si>
  <si>
    <t>Prueba 405</t>
  </si>
  <si>
    <t>Prueba 406</t>
  </si>
  <si>
    <t>Prueba 407</t>
  </si>
  <si>
    <t>Prueba 408</t>
  </si>
  <si>
    <t>Prueba 409</t>
  </si>
  <si>
    <t>Prueba 410</t>
  </si>
  <si>
    <t>Prueba 411</t>
  </si>
  <si>
    <t>Prueba 412</t>
  </si>
  <si>
    <t>Prueba 413</t>
  </si>
  <si>
    <t>Prueba 414</t>
  </si>
  <si>
    <t>Prueba 415</t>
  </si>
  <si>
    <t>Prueba 416</t>
  </si>
  <si>
    <t>Prueba 417</t>
  </si>
  <si>
    <t>Prueba 418</t>
  </si>
  <si>
    <t>Prueba 419</t>
  </si>
  <si>
    <t>Prueba 420</t>
  </si>
  <si>
    <t>Prueba 421</t>
  </si>
  <si>
    <t>Prueba 422</t>
  </si>
  <si>
    <t>Prueba 423</t>
  </si>
  <si>
    <t>Prueba 424</t>
  </si>
  <si>
    <t>Prueba 425</t>
  </si>
  <si>
    <t>Prueba 426</t>
  </si>
  <si>
    <t>Prueba 427</t>
  </si>
  <si>
    <t>Prueba 428</t>
  </si>
  <si>
    <t>Prueba 429</t>
  </si>
  <si>
    <t>Prueba 430</t>
  </si>
  <si>
    <t>Prueba 431</t>
  </si>
  <si>
    <t>Prueba 432</t>
  </si>
  <si>
    <t>Prueba 433</t>
  </si>
  <si>
    <t>Prueba 434</t>
  </si>
  <si>
    <t>Prueba 435</t>
  </si>
  <si>
    <t>Prueba 436</t>
  </si>
  <si>
    <t>Prueba 437</t>
  </si>
  <si>
    <t>Prueba 438</t>
  </si>
  <si>
    <t>Prueba 439</t>
  </si>
  <si>
    <t>Prueba 440</t>
  </si>
  <si>
    <t>Prueba 441</t>
  </si>
  <si>
    <t>Prueba 442</t>
  </si>
  <si>
    <t>Prueba 443</t>
  </si>
  <si>
    <t>Prueba 444</t>
  </si>
  <si>
    <t>Prueba 445</t>
  </si>
  <si>
    <t>Prueba 446</t>
  </si>
  <si>
    <t>Prueba 447</t>
  </si>
  <si>
    <t>Prueba 448</t>
  </si>
  <si>
    <t>Prueba 449</t>
  </si>
  <si>
    <t>Prueba 450</t>
  </si>
  <si>
    <t>Prueba 451</t>
  </si>
  <si>
    <t>Prueba 452</t>
  </si>
  <si>
    <t>Prueba 453</t>
  </si>
  <si>
    <t>Prueba 454</t>
  </si>
  <si>
    <t>Prueba 455</t>
  </si>
  <si>
    <t>Prueba 456</t>
  </si>
  <si>
    <t>Prueba 457</t>
  </si>
  <si>
    <t>Prueba 458</t>
  </si>
  <si>
    <t>Prueba 459</t>
  </si>
  <si>
    <t>Prueba 460</t>
  </si>
  <si>
    <t>Prueba 461</t>
  </si>
  <si>
    <t>Prueba 462</t>
  </si>
  <si>
    <t>Prueba 463</t>
  </si>
  <si>
    <t>Prueba 464</t>
  </si>
  <si>
    <t>Prueba 465</t>
  </si>
  <si>
    <t>Prueba 466</t>
  </si>
  <si>
    <t>Prueba 467</t>
  </si>
  <si>
    <t>Prueba 468</t>
  </si>
  <si>
    <t>Prueba 469</t>
  </si>
  <si>
    <t>Prueba 470</t>
  </si>
  <si>
    <t>Prueba 471</t>
  </si>
  <si>
    <t>Prueba 472</t>
  </si>
  <si>
    <t>Prueba 473</t>
  </si>
  <si>
    <t>Prueba 474</t>
  </si>
  <si>
    <t>Prueba 475</t>
  </si>
  <si>
    <t>Prueba 476</t>
  </si>
  <si>
    <t>Prueba 477</t>
  </si>
  <si>
    <t>Prueba 478</t>
  </si>
  <si>
    <t>Prueba 479</t>
  </si>
  <si>
    <t>Prueba 480</t>
  </si>
  <si>
    <t>Prueba 481</t>
  </si>
  <si>
    <t>Prueba 482</t>
  </si>
  <si>
    <t>Prueba 483</t>
  </si>
  <si>
    <t>Prueba 484</t>
  </si>
  <si>
    <t>Prueba 485</t>
  </si>
  <si>
    <t>Prueba 486</t>
  </si>
  <si>
    <t>Prueba 487</t>
  </si>
  <si>
    <t>Prueba 488</t>
  </si>
  <si>
    <t>Prueba 489</t>
  </si>
  <si>
    <t>Prueba 490</t>
  </si>
  <si>
    <t>Prueba 491</t>
  </si>
  <si>
    <t>Prueba 492</t>
  </si>
  <si>
    <t>Prueba 493</t>
  </si>
  <si>
    <t>Prueba 494</t>
  </si>
  <si>
    <t>Prueba 495</t>
  </si>
  <si>
    <t>Prueba 496</t>
  </si>
  <si>
    <t>Prueba 497</t>
  </si>
  <si>
    <t>Prueba 498</t>
  </si>
  <si>
    <t>Prueba 499</t>
  </si>
  <si>
    <t>001234</t>
  </si>
  <si>
    <t>2000018857041302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</si>
</sst>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"/>
    <numFmt numFmtId="165" formatCode="m/d/yy\ h:mm"/>
    <numFmt numFmtId="166" formatCode="dd/mm/yyyy\ hh:mm:ss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49" fontId="0" fillId="0" borderId="10" xfId="0" applyNumberFormat="1" applyBorder="1" applyAlignment="1">
      <alignment wrapText="1"/>
    </xf>
    <xf numFmtId="0" fontId="20" fillId="0" borderId="1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34" borderId="12" xfId="0" applyFont="1" applyFill="1" applyBorder="1" applyAlignment="1">
      <alignment vertical="top"/>
    </xf>
    <xf numFmtId="0" fontId="19" fillId="34" borderId="0" xfId="0" applyFont="1" applyFill="1" applyAlignment="1">
      <alignment vertical="top"/>
    </xf>
    <xf numFmtId="0" fontId="19" fillId="33" borderId="0" xfId="0" applyFont="1" applyFill="1" applyAlignment="1">
      <alignment horizontal="center"/>
    </xf>
    <xf numFmtId="164" fontId="0" fillId="0" borderId="10" xfId="0" applyNumberFormat="1" applyBorder="1" applyAlignment="1">
      <alignment wrapText="1"/>
    </xf>
    <xf numFmtId="165" fontId="0" fillId="0" borderId="10" xfId="0" applyNumberFormat="1" applyBorder="1" applyAlignment="1">
      <alignment wrapText="1"/>
    </xf>
    <xf numFmtId="0" fontId="0" fillId="0" borderId="10" xfId="0" applyNumberFormat="1" applyBorder="1" applyAlignment="1">
      <alignment wrapText="1"/>
    </xf>
    <xf numFmtId="0" fontId="0" fillId="0" borderId="11" xfId="0" applyFont="1" applyBorder="1" applyAlignment="1">
      <alignment horizontal="center" vertical="top" wrapText="1"/>
    </xf>
    <xf numFmtId="166" fontId="0" fillId="0" borderId="11" xfId="0" applyNumberFormat="1" applyFont="1" applyBorder="1" applyAlignment="1">
      <alignment horizontal="center" vertical="top" wrapText="1"/>
    </xf>
    <xf numFmtId="0" fontId="0" fillId="0" borderId="13" xfId="0" applyFont="1" applyBorder="1" applyAlignment="1">
      <alignment horizontal="center" vertical="top" wrapText="1"/>
    </xf>
    <xf numFmtId="0" fontId="0" fillId="0" borderId="14" xfId="0" applyFont="1" applyBorder="1" applyAlignment="1">
      <alignment horizontal="center" vertical="top" wrapText="1"/>
    </xf>
    <xf numFmtId="0" fontId="18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top" wrapText="1"/>
    </xf>
    <xf numFmtId="166" fontId="0" fillId="0" borderId="19" xfId="0" applyNumberFormat="1" applyFont="1" applyBorder="1" applyAlignment="1">
      <alignment horizontal="center" vertical="top" wrapText="1"/>
    </xf>
    <xf numFmtId="0" fontId="0" fillId="0" borderId="19" xfId="0" applyFont="1" applyBorder="1" applyAlignment="1">
      <alignment horizontal="center" vertical="top" wrapText="1"/>
    </xf>
    <xf numFmtId="0" fontId="0" fillId="0" borderId="20" xfId="0" applyFont="1" applyBorder="1" applyAlignment="1">
      <alignment horizontal="center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yy\ hh:mm:ss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yy\ hh:mm:ss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103909</xdr:colOff>
      <xdr:row>0</xdr:row>
      <xdr:rowOff>0</xdr:rowOff>
    </xdr:from>
    <xdr:to>
      <xdr:col>19</xdr:col>
      <xdr:colOff>432955</xdr:colOff>
      <xdr:row>1</xdr:row>
      <xdr:rowOff>47007</xdr:rowOff>
    </xdr:to>
    <xdr:pic>
      <xdr:nvPicPr>
        <xdr:cNvPr id="3" name="Imagen 2" descr="C:\Users\User\Desktop\smartpost-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0318" y="0"/>
          <a:ext cx="1853046" cy="63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987AE-F16B-44FB-9C8C-3F30DBEF82C9}" name="ReporteTable" displayName="ReporteTable" ref="A1:Q501" totalsRowShown="0" headerRowDxfId="0" dataDxfId="1" headerRowBorderDxfId="20" tableBorderDxfId="21" totalsRowBorderDxfId="19">
  <autoFilter ref="A1:Q501" xr:uid="{452987AE-F16B-44FB-9C8C-3F30DBEF82C9}"/>
  <tableColumns count="17">
    <tableColumn id="1" xr3:uid="{46520896-4884-4176-8ED6-EEDC60D09612}" name="Nro Guia" dataDxfId="18">
      <calculatedColumnFormula>IF(base!A2="","",base!A2)</calculatedColumnFormula>
    </tableColumn>
    <tableColumn id="2" xr3:uid="{8D3FC4CF-B7AB-44DD-AFDC-9E673D51B2E5}" name="Fecha ingreso a Planta" dataDxfId="17">
      <calculatedColumnFormula>IF(base!BN2="","",base!BN2)</calculatedColumnFormula>
    </tableColumn>
    <tableColumn id="3" xr3:uid="{E7AE8E7B-DF8C-447E-8B46-A95BF4ECA8DB}" name="Cliente" dataDxfId="16">
      <calculatedColumnFormula>IF(base!C2="","",base!C2)</calculatedColumnFormula>
    </tableColumn>
    <tableColumn id="4" xr3:uid="{3A820161-BB3B-40E4-A9C7-EC5E83270FA4}" name="Estado" dataDxfId="15">
      <calculatedColumnFormula>IF(base!E2="","",base!E2)</calculatedColumnFormula>
    </tableColumn>
    <tableColumn id="5" xr3:uid="{66B19842-3EFA-454B-B950-99C2DDF2FAF6}" name="TIPO DE ESTADO" dataDxfId="14">
      <calculatedColumnFormula>IF(base!BF2="","",base!BF2)</calculatedColumnFormula>
    </tableColumn>
    <tableColumn id="6" xr3:uid="{928069EC-B5A9-4E93-8A24-1B5C748FD1B0}" name="GESTIÓN REALIZADA" dataDxfId="13">
      <calculatedColumnFormula>IF(D2="","",IF(OR(ISNUMBER(SEARCH("VISITA",D2)),ISNUMBER(SEARCH("RUTA",D2)),ISNUMBER(SEARCH("ARRIB",D2)),ISNUMBER(SEARCH("MATRIZ",D2)),ISNUMBER(SEARCH("PENDIENTE",D2))),"VISITA COORDINADA CON EL CLIENTE","N/A"))</calculatedColumnFormula>
    </tableColumn>
    <tableColumn id="7" xr3:uid="{FA194DA3-D5B1-4CC0-B46B-EF9A204B5A01}" name="Remito" dataDxfId="12">
      <calculatedColumnFormula>IF(base!G2="","",base!G2)</calculatedColumnFormula>
    </tableColumn>
    <tableColumn id="8" xr3:uid="{97D228D1-CDBB-47DB-9215-AF77A3BEBE20}" name="Servicio" dataDxfId="11">
      <calculatedColumnFormula>IF(base!I2="","",base!I2)</calculatedColumnFormula>
    </tableColumn>
    <tableColumn id="9" xr3:uid="{2F60CC38-A952-4E66-AEB7-CCF3A9CCDE51}" name="Destinatario" dataDxfId="10">
      <calculatedColumnFormula>IF(base!S2="","",base!S2)</calculatedColumnFormula>
    </tableColumn>
    <tableColumn id="10" xr3:uid="{FC7AECF4-D1A4-4660-B78A-9527D20980C1}" name="Domicilio" dataDxfId="9">
      <calculatedColumnFormula>IF(base!T2="","",base!T2)</calculatedColumnFormula>
    </tableColumn>
    <tableColumn id="11" xr3:uid="{3D7F6B0E-9B8C-4DFD-9BF6-4C6573F20739}" name="Localidad" dataDxfId="8">
      <calculatedColumnFormula>IF(base!U2="","",base!U2)</calculatedColumnFormula>
    </tableColumn>
    <tableColumn id="12" xr3:uid="{36536023-A0DA-41EC-A5B9-C307007F3D3E}" name="Distribuidor Recorrido" dataDxfId="7">
      <calculatedColumnFormula>IF(base!Y2="","",base!Y2)</calculatedColumnFormula>
    </tableColumn>
    <tableColumn id="13" xr3:uid="{1D9C0A27-55B7-419E-974D-F34990CAF45D}" name="Recibio" dataDxfId="6">
      <calculatedColumnFormula>IF(base!AH2="","",base!AH2)</calculatedColumnFormula>
    </tableColumn>
    <tableColumn id="14" xr3:uid="{7389C7CB-8FB2-4E4A-ADF6-EC1A4C0A0640}" name="Documento" dataDxfId="5">
      <calculatedColumnFormula>IF(base!AI2="","",base!AI2)</calculatedColumnFormula>
    </tableColumn>
    <tableColumn id="15" xr3:uid="{8CF542A0-4B82-434E-8968-4E95B87E9B55}" name="CP" dataDxfId="4">
      <calculatedColumnFormula>IF(base!BA2="","",base!BA2)</calculatedColumnFormula>
    </tableColumn>
    <tableColumn id="16" xr3:uid="{374F43D3-062C-47E1-821F-378774C2F10F}" name="FECHA ULTIMO ESTADO" dataDxfId="3">
      <calculatedColumnFormula>IF(base!BK2="","",base!BK2)</calculatedColumnFormula>
    </tableColumn>
    <tableColumn id="17" xr3:uid="{11E8384A-A04A-4F56-9422-3EBC97814F54}" name="Zona Destino" dataDxfId="2">
      <calculatedColumnFormula>IF(base!BS2="","",base!BS2)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zoomScale="40" zoomScaleNormal="40" workbookViewId="0">
      <selection activeCell="I2" sqref="I2"/>
    </sheetView>
  </sheetViews>
  <sheetFormatPr baseColWidth="10" defaultRowHeight="23.25" x14ac:dyDescent="0.35"/>
  <cols>
    <col min="1" max="1" width="32" style="4" bestFit="1" customWidth="1"/>
    <col min="2" max="2" width="62.28515625" style="4" bestFit="1" customWidth="1"/>
    <col min="3" max="3" width="28.42578125" style="4" bestFit="1" customWidth="1"/>
    <col min="4" max="4" width="67" style="4" bestFit="1" customWidth="1"/>
    <col min="5" max="5" width="49.85546875" style="4" bestFit="1" customWidth="1"/>
    <col min="6" max="6" width="58" style="4" bestFit="1" customWidth="1"/>
    <col min="7" max="7" width="40.5703125" style="4" bestFit="1" customWidth="1"/>
    <col min="8" max="8" width="30.85546875" style="4" bestFit="1" customWidth="1"/>
    <col min="9" max="9" width="60.85546875" style="4" bestFit="1" customWidth="1"/>
    <col min="10" max="10" width="89.42578125" style="4" bestFit="1" customWidth="1"/>
    <col min="11" max="11" width="67.28515625" style="4" bestFit="1" customWidth="1"/>
    <col min="12" max="12" width="127.7109375" style="4" bestFit="1" customWidth="1"/>
    <col min="13" max="13" width="58" style="4" bestFit="1" customWidth="1"/>
    <col min="14" max="14" width="37.7109375" style="4" bestFit="1" customWidth="1"/>
    <col min="15" max="15" width="20.140625" style="4" bestFit="1" customWidth="1"/>
    <col min="16" max="16" width="64.85546875" style="4" bestFit="1" customWidth="1"/>
    <col min="17" max="17" width="41.28515625" style="4" bestFit="1" customWidth="1"/>
    <col min="18" max="16384" width="11.42578125" style="5"/>
  </cols>
  <sheetData>
    <row r="1" spans="1:20" s="8" customFormat="1" x14ac:dyDescent="0.35">
      <c r="A1" s="16" t="s">
        <v>0</v>
      </c>
      <c r="B1" s="17" t="s">
        <v>76</v>
      </c>
      <c r="C1" s="17" t="s">
        <v>2</v>
      </c>
      <c r="D1" s="17" t="s">
        <v>4</v>
      </c>
      <c r="E1" s="17" t="s">
        <v>78</v>
      </c>
      <c r="F1" s="17" t="s">
        <v>77</v>
      </c>
      <c r="G1" s="17" t="s">
        <v>6</v>
      </c>
      <c r="H1" s="17" t="s">
        <v>8</v>
      </c>
      <c r="I1" s="17" t="s">
        <v>18</v>
      </c>
      <c r="J1" s="17" t="s">
        <v>19</v>
      </c>
      <c r="K1" s="17" t="s">
        <v>20</v>
      </c>
      <c r="L1" s="17" t="s">
        <v>24</v>
      </c>
      <c r="M1" s="17" t="s">
        <v>33</v>
      </c>
      <c r="N1" s="17" t="s">
        <v>34</v>
      </c>
      <c r="O1" s="17" t="s">
        <v>52</v>
      </c>
      <c r="P1" s="17" t="s">
        <v>62</v>
      </c>
      <c r="Q1" s="18" t="s">
        <v>70</v>
      </c>
      <c r="R1" s="6"/>
      <c r="S1" s="7"/>
      <c r="T1" s="7"/>
    </row>
    <row r="2" spans="1:20" ht="30" x14ac:dyDescent="0.35">
      <c r="A2" s="14">
        <f>IF(base!A2="","",base!A2)</f>
        <v>6200000</v>
      </c>
      <c r="B2" s="13">
        <f>IF(base!BN2="","",base!BN2)</f>
        <v>46303.625</v>
      </c>
      <c r="C2" s="12" t="str">
        <f>IF(base!C2="","",base!C2)</f>
        <v>ZETABURGOS SRL</v>
      </c>
      <c r="D2" s="12" t="str">
        <f>IF(base!E2="","",base!E2)</f>
        <v>1RVT - 1° VISITA</v>
      </c>
      <c r="E2" s="12" t="str">
        <f>IF(base!BF2="","",base!BF2)</f>
        <v/>
      </c>
      <c r="F2" s="12" t="str">
        <f>IF(D2="","",IF(OR(ISNUMBER(SEARCH("VISITA",D2)),ISNUMBER(SEARCH("RUTA",D2)),ISNUMBER(SEARCH("ARRIB",D2)),ISNUMBER(SEARCH("MATRIZ",D2)),ISNUMBER(SEARCH("PENDIENTE",D2))),"VISITA COORDINADA CON EL CLIENTE","N/A"))</f>
        <v>VISITA COORDINADA CON EL CLIENTE</v>
      </c>
      <c r="G2" s="12" t="str">
        <f>IF(base!G2="","",base!G2)</f>
        <v>001234</v>
      </c>
      <c r="H2" s="12" t="str">
        <f>IF(base!I2="","",base!I2)</f>
        <v>FLEX</v>
      </c>
      <c r="I2" s="12" t="str">
        <f>IF(base!S2="","",base!S2)</f>
        <v>Prueba 0</v>
      </c>
      <c r="J2" s="12" t="str">
        <f>IF(base!T2="","",base!T2)</f>
        <v>Calle 123
Piso 2</v>
      </c>
      <c r="K2" s="12" t="str">
        <f>IF(base!U2="","",base!U2)</f>
        <v/>
      </c>
      <c r="L2" s="12" t="str">
        <f>IF(base!Y2="","",base!Y2)</f>
        <v/>
      </c>
      <c r="M2" s="12" t="str">
        <f>IF(base!AH2="","",base!AH2)</f>
        <v/>
      </c>
      <c r="N2" s="12" t="str">
        <f>IF(base!AI2="","",base!AI2)</f>
        <v>34.072273</v>
      </c>
      <c r="O2" s="12">
        <f>IF(base!BA2="","",base!BA2)</f>
        <v>1875</v>
      </c>
      <c r="P2" s="13">
        <f>IF(base!BK2="","",base!BK2)</f>
        <v>46303.805902777778</v>
      </c>
      <c r="Q2" s="15" t="str">
        <f>IF(base!BS2="","",base!BS2)</f>
        <v/>
      </c>
    </row>
    <row r="3" spans="1:20" ht="30" x14ac:dyDescent="0.35">
      <c r="A3" s="14">
        <f>IF(base!A3="","",base!A3)</f>
        <v>6200001</v>
      </c>
      <c r="B3" s="13">
        <f>IF(base!BN3="","",base!BN3)</f>
        <v>46303.625</v>
      </c>
      <c r="C3" s="12" t="str">
        <f>IF(base!C3="","",base!C3)</f>
        <v>ZETABURGOS SRL</v>
      </c>
      <c r="D3" s="12" t="str">
        <f>IF(base!E3="","",base!E3)</f>
        <v>ENTREGADO</v>
      </c>
      <c r="E3" s="12" t="str">
        <f>IF(base!BF3="","",base!BF3)</f>
        <v/>
      </c>
      <c r="F3" s="12" t="str">
        <f>IF(D3="","",IF(OR(ISNUMBER(SEARCH("VISITA",D3)),ISNUMBER(SEARCH("RUTA",D3)),ISNUMBER(SEARCH("ARRIB",D3)),ISNUMBER(SEARCH("MATRIZ",D3)),ISNUMBER(SEARCH("PENDIENTE",D3))),"VISITA COORDINADA CON EL CLIENTE","N/A"))</f>
        <v>N/A</v>
      </c>
      <c r="G3" s="12" t="str">
        <f>"#ABC"</f>
        <v>#ABC</v>
      </c>
      <c r="H3" s="12" t="str">
        <f>IF(base!I3="","",base!I3)</f>
        <v>SAMEDAY</v>
      </c>
      <c r="I3" s="12" t="str">
        <f>IF(base!S3="","",base!S3)</f>
        <v>Prueba 1</v>
      </c>
      <c r="J3" s="12" t="str">
        <f>IF(base!T3="","",base!T3)</f>
        <v>Calle 123
Piso 2</v>
      </c>
      <c r="K3" s="12" t="str">
        <f>IF(base!U3="","",base!U3)</f>
        <v/>
      </c>
      <c r="L3" s="12" t="str">
        <f>IF(base!Y3="","",base!Y3)</f>
        <v/>
      </c>
      <c r="M3" s="12" t="str">
        <f>IF(base!AH3="","",base!AH3)</f>
        <v/>
      </c>
      <c r="N3" s="12" t="str">
        <f>IF(base!AI3="","",base!AI3)</f>
        <v>34.072273</v>
      </c>
      <c r="O3" s="12">
        <f>IF(base!BA3="","",base!BA3)</f>
        <v>1875</v>
      </c>
      <c r="P3" s="13">
        <f>IF(base!BK3="","",base!BK3)</f>
        <v>46303.805902777778</v>
      </c>
      <c r="Q3" s="15" t="str">
        <f>IF(base!BS3="","",base!BS3)</f>
        <v/>
      </c>
    </row>
    <row r="4" spans="1:20" ht="30" x14ac:dyDescent="0.35">
      <c r="A4" s="14">
        <f>IF(base!A4="","",base!A4)</f>
        <v>6200002</v>
      </c>
      <c r="B4" s="13">
        <f>IF(base!BN4="","",base!BN4)</f>
        <v>46303.625</v>
      </c>
      <c r="C4" s="12" t="str">
        <f>IF(base!C4="","",base!C4)</f>
        <v>ZETABURGOS SRL</v>
      </c>
      <c r="D4" s="12" t="str">
        <f>IF(base!E4="","",base!E4)</f>
        <v>REPROGRAMACIÓN</v>
      </c>
      <c r="E4" s="12" t="str">
        <f>IF(base!BF4="","",base!BF4)</f>
        <v/>
      </c>
      <c r="F4" s="12" t="str">
        <f>IF(D4="","",IF(OR(ISNUMBER(SEARCH("VISITA",D4)),ISNUMBER(SEARCH("RUTA",D4)),ISNUMBER(SEARCH("ARRIB",D4)),ISNUMBER(SEARCH("MATRIZ",D4)),ISNUMBER(SEARCH("PENDIENTE",D4))),"VISITA COORDINADA CON EL CLIENTE","N/A"))</f>
        <v>N/A</v>
      </c>
      <c r="G4" s="12">
        <f>IF(base!G4="","",base!G4)</f>
        <v>470123456</v>
      </c>
      <c r="H4" s="12" t="str">
        <f>IF(base!I4="","",base!I4)</f>
        <v>FLEX</v>
      </c>
      <c r="I4" s="12" t="str">
        <f>IF(base!S4="","",base!S4)</f>
        <v>Prueba 2</v>
      </c>
      <c r="J4" s="12" t="str">
        <f>IF(base!T4="","",base!T4)</f>
        <v>Calle 123
Piso 2</v>
      </c>
      <c r="K4" s="12" t="str">
        <f>IF(base!U4="","",base!U4)</f>
        <v/>
      </c>
      <c r="L4" s="12" t="str">
        <f>IF(base!Y4="","",base!Y4)</f>
        <v/>
      </c>
      <c r="M4" s="12" t="str">
        <f>IF(base!AH4="","",base!AH4)</f>
        <v/>
      </c>
      <c r="N4" s="12" t="str">
        <f>IF(base!AI4="","",base!AI4)</f>
        <v>34.072273</v>
      </c>
      <c r="O4" s="12">
        <f>IF(base!BA4="","",base!BA4)</f>
        <v>1875</v>
      </c>
      <c r="P4" s="13">
        <f>IF(base!BK4="","",base!BK4)</f>
        <v>46303.805902777778</v>
      </c>
      <c r="Q4" s="15" t="str">
        <f>IF(base!BS4="","",base!BS4)</f>
        <v/>
      </c>
    </row>
    <row r="5" spans="1:20" ht="30" x14ac:dyDescent="0.35">
      <c r="A5" s="14">
        <f>IF(base!A5="","",base!A5)</f>
        <v>6200003</v>
      </c>
      <c r="B5" s="13">
        <f>IF(base!BN5="","",base!BN5)</f>
        <v>46303.625</v>
      </c>
      <c r="C5" s="12" t="str">
        <f>IF(base!C5="","",base!C5)</f>
        <v>ZETABURGOS SRL</v>
      </c>
      <c r="D5" s="12" t="str">
        <f>IF(base!E5="","",base!E5)</f>
        <v>1RVT - 1° VISITA</v>
      </c>
      <c r="E5" s="12" t="str">
        <f>IF(base!BF5="","",base!BF5)</f>
        <v/>
      </c>
      <c r="F5" s="12" t="str">
        <f>IF(D5="","",IF(OR(ISNUMBER(SEARCH("VISITA",D5)),ISNUMBER(SEARCH("RUTA",D5)),ISNUMBER(SEARCH("ARRIB",D5)),ISNUMBER(SEARCH("MATRIZ",D5)),ISNUMBER(SEARCH("PENDIENTE",D5))),"VISITA COORDINADA CON EL CLIENTE","N/A"))</f>
        <v>VISITA COORDINADA CON EL CLIENTE</v>
      </c>
      <c r="G5" s="12" t="str">
        <f>IF(base!G5="","",base!G5)</f>
        <v>ABC001</v>
      </c>
      <c r="H5" s="12" t="str">
        <f>IF(base!I5="","",base!I5)</f>
        <v>SAMEDAY</v>
      </c>
      <c r="I5" s="12" t="str">
        <f>IF(base!S5="","",base!S5)</f>
        <v>Prueba 3</v>
      </c>
      <c r="J5" s="12" t="str">
        <f>IF(base!T5="","",base!T5)</f>
        <v>Calle 123
Piso 2</v>
      </c>
      <c r="K5" s="12" t="str">
        <f>IF(base!U5="","",base!U5)</f>
        <v/>
      </c>
      <c r="L5" s="12" t="str">
        <f>IF(base!Y5="","",base!Y5)</f>
        <v/>
      </c>
      <c r="M5" s="12" t="str">
        <f>IF(base!AH5="","",base!AH5)</f>
        <v/>
      </c>
      <c r="N5" s="12" t="str">
        <f>IF(base!AI5="","",base!AI5)</f>
        <v>34.072273</v>
      </c>
      <c r="O5" s="12">
        <f>IF(base!BA5="","",base!BA5)</f>
        <v>1875</v>
      </c>
      <c r="P5" s="13">
        <f>IF(base!BK5="","",base!BK5)</f>
        <v>46303.805902777778</v>
      </c>
      <c r="Q5" s="15" t="str">
        <f>IF(base!BS5="","",base!BS5)</f>
        <v/>
      </c>
    </row>
    <row r="6" spans="1:20" ht="30" x14ac:dyDescent="0.35">
      <c r="A6" s="14">
        <f>IF(base!A6="","",base!A6)</f>
        <v>6200004</v>
      </c>
      <c r="B6" s="13">
        <f>IF(base!BN6="","",base!BN6)</f>
        <v>46303.625</v>
      </c>
      <c r="C6" s="12" t="str">
        <f>IF(base!C6="","",base!C6)</f>
        <v>ZETABURGOS SRL</v>
      </c>
      <c r="D6" s="12" t="str">
        <f>IF(base!E6="","",base!E6)</f>
        <v>ENTREGADO</v>
      </c>
      <c r="E6" s="12" t="str">
        <f>IF(base!BF6="","",base!BF6)</f>
        <v/>
      </c>
      <c r="F6" s="12" t="str">
        <f>IF(D6="","",IF(OR(ISNUMBER(SEARCH("VISITA",D6)),ISNUMBER(SEARCH("RUTA",D6)),ISNUMBER(SEARCH("ARRIB",D6)),ISNUMBER(SEARCH("MATRIZ",D6)),ISNUMBER(SEARCH("PENDIENTE",D6))),"VISITA COORDINADA CON EL CLIENTE","N/A"))</f>
        <v>N/A</v>
      </c>
      <c r="G6" s="12" t="str">
        <f>IF(base!G6="","",base!G6)</f>
        <v>2000018857041302</v>
      </c>
      <c r="H6" s="12" t="str">
        <f>IF(base!I6="","",base!I6)</f>
        <v>FLEX</v>
      </c>
      <c r="I6" s="12" t="str">
        <f>IF(base!S6="","",base!S6)</f>
        <v>Prueba 4</v>
      </c>
      <c r="J6" s="12" t="str">
        <f>IF(base!T6="","",base!T6)</f>
        <v>Calle 123
Piso 2</v>
      </c>
      <c r="K6" s="12" t="str">
        <f>IF(base!U6="","",base!U6)</f>
        <v/>
      </c>
      <c r="L6" s="12" t="str">
        <f>IF(base!Y6="","",base!Y6)</f>
        <v/>
      </c>
      <c r="M6" s="12" t="str">
        <f>IF(base!AH6="","",base!AH6)</f>
        <v/>
      </c>
      <c r="N6" s="12" t="str">
        <f>IF(base!AI6="","",base!AI6)</f>
        <v>34.072273</v>
      </c>
      <c r="O6" s="12">
        <f>IF(base!BA6="","",base!BA6)</f>
        <v>1875</v>
      </c>
      <c r="P6" s="13">
        <f>IF(base!BK6="","",base!BK6)</f>
        <v>46303.805902777778</v>
      </c>
      <c r="Q6" s="15" t="str">
        <f>IF(base!BS6="","",base!BS6)</f>
        <v/>
      </c>
    </row>
    <row r="7" spans="1:20" ht="30" x14ac:dyDescent="0.35">
      <c r="A7" s="14">
        <f>IF(base!A7="","",base!A7)</f>
        <v>6200005</v>
      </c>
      <c r="B7" s="13">
        <f>IF(base!BN7="","",base!BN7)</f>
        <v>46303.625</v>
      </c>
      <c r="C7" s="12" t="str">
        <f>IF(base!C7="","",base!C7)</f>
        <v>ZETABURGOS SRL</v>
      </c>
      <c r="D7" s="12" t="str">
        <f>IF(base!E7="","",base!E7)</f>
        <v>REPROGRAMACIÓN</v>
      </c>
      <c r="E7" s="12" t="str">
        <f>IF(base!BF7="","",base!BF7)</f>
        <v/>
      </c>
      <c r="F7" s="12" t="str">
        <f>IF(D7="","",IF(OR(ISNUMBER(SEARCH("VISITA",D7)),ISNUMBER(SEARCH("RUTA",D7)),ISNUMBER(SEARCH("ARRIB",D7)),ISNUMBER(SEARCH("MATRIZ",D7)),ISNUMBER(SEARCH("PENDIENTE",D7))),"VISITA COORDINADA CON EL CLIENTE","N/A"))</f>
        <v>N/A</v>
      </c>
      <c r="G7" s="12" t="str">
        <f>IF(base!G7="","",base!G7)</f>
        <v>001234</v>
      </c>
      <c r="H7" s="12" t="str">
        <f>IF(base!I7="","",base!I7)</f>
        <v>FLEX</v>
      </c>
      <c r="I7" s="12" t="str">
        <f>IF(base!S7="","",base!S7)</f>
        <v>Prueba 5</v>
      </c>
      <c r="J7" s="12" t="str">
        <f>IF(base!T7="","",base!T7)</f>
        <v>Calle 123
Piso 2</v>
      </c>
      <c r="K7" s="12" t="str">
        <f>IF(base!U7="","",base!U7)</f>
        <v/>
      </c>
      <c r="L7" s="12" t="str">
        <f>IF(base!Y7="","",base!Y7)</f>
        <v/>
      </c>
      <c r="M7" s="12" t="str">
        <f>IF(base!AH7="","",base!AH7)</f>
        <v/>
      </c>
      <c r="N7" s="12" t="str">
        <f>IF(base!AI7="","",base!AI7)</f>
        <v>34.072273</v>
      </c>
      <c r="O7" s="12">
        <f>IF(base!BA7="","",base!BA7)</f>
        <v>1875</v>
      </c>
      <c r="P7" s="13">
        <f>IF(base!BK7="","",base!BK7)</f>
        <v>46303.805902777778</v>
      </c>
      <c r="Q7" s="15" t="str">
        <f>IF(base!BS7="","",base!BS7)</f>
        <v/>
      </c>
    </row>
    <row r="8" spans="1:20" ht="30" x14ac:dyDescent="0.35">
      <c r="A8" s="14">
        <f>IF(base!A8="","",base!A8)</f>
        <v>6200006</v>
      </c>
      <c r="B8" s="13">
        <f>IF(base!BN8="","",base!BN8)</f>
        <v>46303.625</v>
      </c>
      <c r="C8" s="12" t="str">
        <f>IF(base!C8="","",base!C8)</f>
        <v>ZETABURGOS SRL</v>
      </c>
      <c r="D8" s="12" t="str">
        <f>IF(base!E8="","",base!E8)</f>
        <v>1RVT - 1° VISITA</v>
      </c>
      <c r="E8" s="12" t="str">
        <f>IF(base!BF8="","",base!BF8)</f>
        <v/>
      </c>
      <c r="F8" s="12" t="str">
        <f>IF(D8="","",IF(OR(ISNUMBER(SEARCH("VISITA",D8)),ISNUMBER(SEARCH("RUTA",D8)),ISNUMBER(SEARCH("ARRIB",D8)),ISNUMBER(SEARCH("MATRIZ",D8)),ISNUMBER(SEARCH("PENDIENTE",D8))),"VISITA COORDINADA CON EL CLIENTE","N/A"))</f>
        <v>VISITA COORDINADA CON EL CLIENTE</v>
      </c>
      <c r="G8" s="12" t="str">
        <f>"#ABC"</f>
        <v>#ABC</v>
      </c>
      <c r="H8" s="12" t="str">
        <f>IF(base!I8="","",base!I8)</f>
        <v>SAMEDAY</v>
      </c>
      <c r="I8" s="12" t="str">
        <f>IF(base!S8="","",base!S8)</f>
        <v>Prueba 6</v>
      </c>
      <c r="J8" s="12" t="str">
        <f>IF(base!T8="","",base!T8)</f>
        <v>Calle 123
Piso 2</v>
      </c>
      <c r="K8" s="12" t="str">
        <f>IF(base!U8="","",base!U8)</f>
        <v/>
      </c>
      <c r="L8" s="12" t="str">
        <f>IF(base!Y8="","",base!Y8)</f>
        <v/>
      </c>
      <c r="M8" s="12" t="str">
        <f>IF(base!AH8="","",base!AH8)</f>
        <v/>
      </c>
      <c r="N8" s="12" t="str">
        <f>IF(base!AI8="","",base!AI8)</f>
        <v>34.072273</v>
      </c>
      <c r="O8" s="12">
        <f>IF(base!BA8="","",base!BA8)</f>
        <v>1875</v>
      </c>
      <c r="P8" s="13">
        <f>IF(base!BK8="","",base!BK8)</f>
        <v>46303.805902777778</v>
      </c>
      <c r="Q8" s="15" t="str">
        <f>IF(base!BS8="","",base!BS8)</f>
        <v/>
      </c>
    </row>
    <row r="9" spans="1:20" ht="30" x14ac:dyDescent="0.35">
      <c r="A9" s="14">
        <f>IF(base!A9="","",base!A9)</f>
        <v>6200007</v>
      </c>
      <c r="B9" s="13">
        <f>IF(base!BN9="","",base!BN9)</f>
        <v>46303.625</v>
      </c>
      <c r="C9" s="12" t="str">
        <f>IF(base!C9="","",base!C9)</f>
        <v>ZETABURGOS SRL</v>
      </c>
      <c r="D9" s="12" t="str">
        <f>IF(base!E9="","",base!E9)</f>
        <v>ENTREGADO</v>
      </c>
      <c r="E9" s="12" t="str">
        <f>IF(base!BF9="","",base!BF9)</f>
        <v/>
      </c>
      <c r="F9" s="12" t="str">
        <f>IF(D9="","",IF(OR(ISNUMBER(SEARCH("VISITA",D9)),ISNUMBER(SEARCH("RUTA",D9)),ISNUMBER(SEARCH("ARRIB",D9)),ISNUMBER(SEARCH("MATRIZ",D9)),ISNUMBER(SEARCH("PENDIENTE",D9))),"VISITA COORDINADA CON EL CLIENTE","N/A"))</f>
        <v>N/A</v>
      </c>
      <c r="G9" s="12">
        <f>IF(base!G9="","",base!G9)</f>
        <v>470123456</v>
      </c>
      <c r="H9" s="12" t="str">
        <f>IF(base!I9="","",base!I9)</f>
        <v>FLEX</v>
      </c>
      <c r="I9" s="12" t="str">
        <f>IF(base!S9="","",base!S9)</f>
        <v>Prueba 7</v>
      </c>
      <c r="J9" s="12" t="str">
        <f>IF(base!T9="","",base!T9)</f>
        <v>Calle 123
Piso 2</v>
      </c>
      <c r="K9" s="12" t="str">
        <f>IF(base!U9="","",base!U9)</f>
        <v/>
      </c>
      <c r="L9" s="12" t="str">
        <f>IF(base!Y9="","",base!Y9)</f>
        <v/>
      </c>
      <c r="M9" s="12" t="str">
        <f>IF(base!AH9="","",base!AH9)</f>
        <v/>
      </c>
      <c r="N9" s="12" t="str">
        <f>IF(base!AI9="","",base!AI9)</f>
        <v>34.072273</v>
      </c>
      <c r="O9" s="12">
        <f>IF(base!BA9="","",base!BA9)</f>
        <v>1875</v>
      </c>
      <c r="P9" s="13">
        <f>IF(base!BK9="","",base!BK9)</f>
        <v>46303.805902777778</v>
      </c>
      <c r="Q9" s="15" t="str">
        <f>IF(base!BS9="","",base!BS9)</f>
        <v/>
      </c>
    </row>
    <row r="10" spans="1:20" ht="30" x14ac:dyDescent="0.35">
      <c r="A10" s="14">
        <f>IF(base!A10="","",base!A10)</f>
        <v>6200008</v>
      </c>
      <c r="B10" s="13">
        <f>IF(base!BN10="","",base!BN10)</f>
        <v>46303.625</v>
      </c>
      <c r="C10" s="12" t="str">
        <f>IF(base!C10="","",base!C10)</f>
        <v>ZETABURGOS SRL</v>
      </c>
      <c r="D10" s="12" t="str">
        <f>IF(base!E10="","",base!E10)</f>
        <v>REPROGRAMACIÓN</v>
      </c>
      <c r="E10" s="12" t="str">
        <f>IF(base!BF10="","",base!BF10)</f>
        <v/>
      </c>
      <c r="F10" s="12" t="str">
        <f>IF(D10="","",IF(OR(ISNUMBER(SEARCH("VISITA",D10)),ISNUMBER(SEARCH("RUTA",D10)),ISNUMBER(SEARCH("ARRIB",D10)),ISNUMBER(SEARCH("MATRIZ",D10)),ISNUMBER(SEARCH("PENDIENTE",D10))),"VISITA COORDINADA CON EL CLIENTE","N/A"))</f>
        <v>N/A</v>
      </c>
      <c r="G10" s="12" t="str">
        <f>IF(base!G10="","",base!G10)</f>
        <v>ABC001</v>
      </c>
      <c r="H10" s="12" t="str">
        <f>IF(base!I10="","",base!I10)</f>
        <v>SAMEDAY</v>
      </c>
      <c r="I10" s="12" t="str">
        <f>IF(base!S10="","",base!S10)</f>
        <v>Prueba 8</v>
      </c>
      <c r="J10" s="12" t="str">
        <f>IF(base!T10="","",base!T10)</f>
        <v>Calle 123
Piso 2</v>
      </c>
      <c r="K10" s="12" t="str">
        <f>IF(base!U10="","",base!U10)</f>
        <v/>
      </c>
      <c r="L10" s="12" t="str">
        <f>IF(base!Y10="","",base!Y10)</f>
        <v/>
      </c>
      <c r="M10" s="12" t="str">
        <f>IF(base!AH10="","",base!AH10)</f>
        <v/>
      </c>
      <c r="N10" s="12" t="str">
        <f>IF(base!AI10="","",base!AI10)</f>
        <v>34.072273</v>
      </c>
      <c r="O10" s="12">
        <f>IF(base!BA10="","",base!BA10)</f>
        <v>1875</v>
      </c>
      <c r="P10" s="13">
        <f>IF(base!BK10="","",base!BK10)</f>
        <v>46303.805902777778</v>
      </c>
      <c r="Q10" s="15" t="str">
        <f>IF(base!BS10="","",base!BS10)</f>
        <v/>
      </c>
    </row>
    <row r="11" spans="1:20" ht="30" x14ac:dyDescent="0.35">
      <c r="A11" s="14">
        <f>IF(base!A11="","",base!A11)</f>
        <v>6200009</v>
      </c>
      <c r="B11" s="13">
        <f>IF(base!BN11="","",base!BN11)</f>
        <v>46303.625</v>
      </c>
      <c r="C11" s="12" t="str">
        <f>IF(base!C11="","",base!C11)</f>
        <v>ZETABURGOS SRL</v>
      </c>
      <c r="D11" s="12" t="str">
        <f>IF(base!E11="","",base!E11)</f>
        <v>1RVT - 1° VISITA</v>
      </c>
      <c r="E11" s="12" t="str">
        <f>IF(base!BF11="","",base!BF11)</f>
        <v/>
      </c>
      <c r="F11" s="12" t="str">
        <f>IF(D11="","",IF(OR(ISNUMBER(SEARCH("VISITA",D11)),ISNUMBER(SEARCH("RUTA",D11)),ISNUMBER(SEARCH("ARRIB",D11)),ISNUMBER(SEARCH("MATRIZ",D11)),ISNUMBER(SEARCH("PENDIENTE",D11))),"VISITA COORDINADA CON EL CLIENTE","N/A"))</f>
        <v>VISITA COORDINADA CON EL CLIENTE</v>
      </c>
      <c r="G11" s="12" t="str">
        <f>IF(base!G11="","",base!G11)</f>
        <v>2000018857041302</v>
      </c>
      <c r="H11" s="12" t="str">
        <f>IF(base!I11="","",base!I11)</f>
        <v>FLEX</v>
      </c>
      <c r="I11" s="12" t="str">
        <f>IF(base!S11="","",base!S11)</f>
        <v>Prueba 9</v>
      </c>
      <c r="J11" s="12" t="str">
        <f>IF(base!T11="","",base!T11)</f>
        <v>Calle 123
Piso 2</v>
      </c>
      <c r="K11" s="12" t="str">
        <f>IF(base!U11="","",base!U11)</f>
        <v/>
      </c>
      <c r="L11" s="12" t="str">
        <f>IF(base!Y11="","",base!Y11)</f>
        <v/>
      </c>
      <c r="M11" s="12" t="str">
        <f>IF(base!AH11="","",base!AH11)</f>
        <v/>
      </c>
      <c r="N11" s="12" t="str">
        <f>IF(base!AI11="","",base!AI11)</f>
        <v>34.072273</v>
      </c>
      <c r="O11" s="12">
        <f>IF(base!BA11="","",base!BA11)</f>
        <v>1875</v>
      </c>
      <c r="P11" s="13">
        <f>IF(base!BK11="","",base!BK11)</f>
        <v>46303.805902777778</v>
      </c>
      <c r="Q11" s="15" t="str">
        <f>IF(base!BS11="","",base!BS11)</f>
        <v/>
      </c>
    </row>
    <row r="12" spans="1:20" ht="30" x14ac:dyDescent="0.35">
      <c r="A12" s="14">
        <f>IF(base!A12="","",base!A12)</f>
        <v>6200010</v>
      </c>
      <c r="B12" s="13">
        <f>IF(base!BN12="","",base!BN12)</f>
        <v>46303.625</v>
      </c>
      <c r="C12" s="12" t="str">
        <f>IF(base!C12="","",base!C12)</f>
        <v>ZETABURGOS SRL</v>
      </c>
      <c r="D12" s="12" t="str">
        <f>IF(base!E12="","",base!E12)</f>
        <v>ENTREGADO</v>
      </c>
      <c r="E12" s="12" t="str">
        <f>IF(base!BF12="","",base!BF12)</f>
        <v/>
      </c>
      <c r="F12" s="12" t="str">
        <f>IF(D12="","",IF(OR(ISNUMBER(SEARCH("VISITA",D12)),ISNUMBER(SEARCH("RUTA",D12)),ISNUMBER(SEARCH("ARRIB",D12)),ISNUMBER(SEARCH("MATRIZ",D12)),ISNUMBER(SEARCH("PENDIENTE",D12))),"VISITA COORDINADA CON EL CLIENTE","N/A"))</f>
        <v>N/A</v>
      </c>
      <c r="G12" s="12" t="str">
        <f>IF(base!G12="","",base!G12)</f>
        <v>001234</v>
      </c>
      <c r="H12" s="12" t="str">
        <f>IF(base!I12="","",base!I12)</f>
        <v>FLEX</v>
      </c>
      <c r="I12" s="12" t="str">
        <f>IF(base!S12="","",base!S12)</f>
        <v>Prueba 10</v>
      </c>
      <c r="J12" s="12" t="str">
        <f>IF(base!T12="","",base!T12)</f>
        <v>Calle 123
Piso 2</v>
      </c>
      <c r="K12" s="12" t="str">
        <f>IF(base!U12="","",base!U12)</f>
        <v/>
      </c>
      <c r="L12" s="12" t="str">
        <f>IF(base!Y12="","",base!Y12)</f>
        <v/>
      </c>
      <c r="M12" s="12" t="str">
        <f>IF(base!AH12="","",base!AH12)</f>
        <v/>
      </c>
      <c r="N12" s="12" t="str">
        <f>IF(base!AI12="","",base!AI12)</f>
        <v>34.072273</v>
      </c>
      <c r="O12" s="12">
        <f>IF(base!BA12="","",base!BA12)</f>
        <v>1875</v>
      </c>
      <c r="P12" s="13">
        <f>IF(base!BK12="","",base!BK12)</f>
        <v>46303.805902777778</v>
      </c>
      <c r="Q12" s="15" t="str">
        <f>IF(base!BS12="","",base!BS12)</f>
        <v/>
      </c>
    </row>
    <row r="13" spans="1:20" ht="30" x14ac:dyDescent="0.35">
      <c r="A13" s="14">
        <f>IF(base!A13="","",base!A13)</f>
        <v>6200011</v>
      </c>
      <c r="B13" s="13">
        <f>IF(base!BN13="","",base!BN13)</f>
        <v>46303.625</v>
      </c>
      <c r="C13" s="12" t="str">
        <f>IF(base!C13="","",base!C13)</f>
        <v>ZETABURGOS SRL</v>
      </c>
      <c r="D13" s="12" t="str">
        <f>IF(base!E13="","",base!E13)</f>
        <v>REPROGRAMACIÓN</v>
      </c>
      <c r="E13" s="12" t="str">
        <f>IF(base!BF13="","",base!BF13)</f>
        <v/>
      </c>
      <c r="F13" s="12" t="str">
        <f>IF(D13="","",IF(OR(ISNUMBER(SEARCH("VISITA",D13)),ISNUMBER(SEARCH("RUTA",D13)),ISNUMBER(SEARCH("ARRIB",D13)),ISNUMBER(SEARCH("MATRIZ",D13)),ISNUMBER(SEARCH("PENDIENTE",D13))),"VISITA COORDINADA CON EL CLIENTE","N/A"))</f>
        <v>N/A</v>
      </c>
      <c r="G13" s="12" t="str">
        <f>"#ABC"</f>
        <v>#ABC</v>
      </c>
      <c r="H13" s="12" t="str">
        <f>IF(base!I13="","",base!I13)</f>
        <v>SAMEDAY</v>
      </c>
      <c r="I13" s="12" t="str">
        <f>IF(base!S13="","",base!S13)</f>
        <v>Prueba 11</v>
      </c>
      <c r="J13" s="12" t="str">
        <f>IF(base!T13="","",base!T13)</f>
        <v>Calle 123
Piso 2</v>
      </c>
      <c r="K13" s="12" t="str">
        <f>IF(base!U13="","",base!U13)</f>
        <v/>
      </c>
      <c r="L13" s="12" t="str">
        <f>IF(base!Y13="","",base!Y13)</f>
        <v/>
      </c>
      <c r="M13" s="12" t="str">
        <f>IF(base!AH13="","",base!AH13)</f>
        <v/>
      </c>
      <c r="N13" s="12" t="str">
        <f>IF(base!AI13="","",base!AI13)</f>
        <v>34.072273</v>
      </c>
      <c r="O13" s="12">
        <f>IF(base!BA13="","",base!BA13)</f>
        <v>1875</v>
      </c>
      <c r="P13" s="13">
        <f>IF(base!BK13="","",base!BK13)</f>
        <v>46303.805902777778</v>
      </c>
      <c r="Q13" s="15" t="str">
        <f>IF(base!BS13="","",base!BS13)</f>
        <v/>
      </c>
    </row>
    <row r="14" spans="1:20" ht="30" x14ac:dyDescent="0.35">
      <c r="A14" s="14">
        <f>IF(base!A14="","",base!A14)</f>
        <v>6200012</v>
      </c>
      <c r="B14" s="13">
        <f>IF(base!BN14="","",base!BN14)</f>
        <v>46303.625</v>
      </c>
      <c r="C14" s="12" t="str">
        <f>IF(base!C14="","",base!C14)</f>
        <v>ZETABURGOS SRL</v>
      </c>
      <c r="D14" s="12" t="str">
        <f>IF(base!E14="","",base!E14)</f>
        <v>1RVT - 1° VISITA</v>
      </c>
      <c r="E14" s="12" t="str">
        <f>IF(base!BF14="","",base!BF14)</f>
        <v/>
      </c>
      <c r="F14" s="12" t="str">
        <f>IF(D14="","",IF(OR(ISNUMBER(SEARCH("VISITA",D14)),ISNUMBER(SEARCH("RUTA",D14)),ISNUMBER(SEARCH("ARRIB",D14)),ISNUMBER(SEARCH("MATRIZ",D14)),ISNUMBER(SEARCH("PENDIENTE",D14))),"VISITA COORDINADA CON EL CLIENTE","N/A"))</f>
        <v>VISITA COORDINADA CON EL CLIENTE</v>
      </c>
      <c r="G14" s="12">
        <f>IF(base!G14="","",base!G14)</f>
        <v>470123456</v>
      </c>
      <c r="H14" s="12" t="str">
        <f>IF(base!I14="","",base!I14)</f>
        <v>FLEX</v>
      </c>
      <c r="I14" s="12" t="str">
        <f>IF(base!S14="","",base!S14)</f>
        <v>Prueba 12</v>
      </c>
      <c r="J14" s="12" t="str">
        <f>IF(base!T14="","",base!T14)</f>
        <v>Calle 123
Piso 2</v>
      </c>
      <c r="K14" s="12" t="str">
        <f>IF(base!U14="","",base!U14)</f>
        <v/>
      </c>
      <c r="L14" s="12" t="str">
        <f>IF(base!Y14="","",base!Y14)</f>
        <v/>
      </c>
      <c r="M14" s="12" t="str">
        <f>IF(base!AH14="","",base!AH14)</f>
        <v/>
      </c>
      <c r="N14" s="12" t="str">
        <f>IF(base!AI14="","",base!AI14)</f>
        <v>34.072273</v>
      </c>
      <c r="O14" s="12">
        <f>IF(base!BA14="","",base!BA14)</f>
        <v>1875</v>
      </c>
      <c r="P14" s="13">
        <f>IF(base!BK14="","",base!BK14)</f>
        <v>46303.805902777778</v>
      </c>
      <c r="Q14" s="15" t="str">
        <f>IF(base!BS14="","",base!BS14)</f>
        <v/>
      </c>
    </row>
    <row r="15" spans="1:20" ht="30" x14ac:dyDescent="0.35">
      <c r="A15" s="14">
        <f>IF(base!A15="","",base!A15)</f>
        <v>6200013</v>
      </c>
      <c r="B15" s="13">
        <f>IF(base!BN15="","",base!BN15)</f>
        <v>46303.625</v>
      </c>
      <c r="C15" s="12" t="str">
        <f>IF(base!C15="","",base!C15)</f>
        <v>ZETABURGOS SRL</v>
      </c>
      <c r="D15" s="12" t="str">
        <f>IF(base!E15="","",base!E15)</f>
        <v>ENTREGADO</v>
      </c>
      <c r="E15" s="12" t="str">
        <f>IF(base!BF15="","",base!BF15)</f>
        <v/>
      </c>
      <c r="F15" s="12" t="str">
        <f>IF(D15="","",IF(OR(ISNUMBER(SEARCH("VISITA",D15)),ISNUMBER(SEARCH("RUTA",D15)),ISNUMBER(SEARCH("ARRIB",D15)),ISNUMBER(SEARCH("MATRIZ",D15)),ISNUMBER(SEARCH("PENDIENTE",D15))),"VISITA COORDINADA CON EL CLIENTE","N/A"))</f>
        <v>N/A</v>
      </c>
      <c r="G15" s="12" t="str">
        <f>IF(base!G15="","",base!G15)</f>
        <v>ABC001</v>
      </c>
      <c r="H15" s="12" t="str">
        <f>IF(base!I15="","",base!I15)</f>
        <v>SAMEDAY</v>
      </c>
      <c r="I15" s="12" t="str">
        <f>IF(base!S15="","",base!S15)</f>
        <v>Prueba 13</v>
      </c>
      <c r="J15" s="12" t="str">
        <f>IF(base!T15="","",base!T15)</f>
        <v>Calle 123
Piso 2</v>
      </c>
      <c r="K15" s="12" t="str">
        <f>IF(base!U15="","",base!U15)</f>
        <v/>
      </c>
      <c r="L15" s="12" t="str">
        <f>IF(base!Y15="","",base!Y15)</f>
        <v/>
      </c>
      <c r="M15" s="12" t="str">
        <f>IF(base!AH15="","",base!AH15)</f>
        <v/>
      </c>
      <c r="N15" s="12" t="str">
        <f>IF(base!AI15="","",base!AI15)</f>
        <v>34.072273</v>
      </c>
      <c r="O15" s="12">
        <f>IF(base!BA15="","",base!BA15)</f>
        <v>1875</v>
      </c>
      <c r="P15" s="13">
        <f>IF(base!BK15="","",base!BK15)</f>
        <v>46303.805902777778</v>
      </c>
      <c r="Q15" s="15" t="str">
        <f>IF(base!BS15="","",base!BS15)</f>
        <v/>
      </c>
    </row>
    <row r="16" spans="1:20" ht="30" x14ac:dyDescent="0.35">
      <c r="A16" s="14">
        <f>IF(base!A16="","",base!A16)</f>
        <v>6200014</v>
      </c>
      <c r="B16" s="13">
        <f>IF(base!BN16="","",base!BN16)</f>
        <v>46303.625</v>
      </c>
      <c r="C16" s="12" t="str">
        <f>IF(base!C16="","",base!C16)</f>
        <v>ZETABURGOS SRL</v>
      </c>
      <c r="D16" s="12" t="str">
        <f>IF(base!E16="","",base!E16)</f>
        <v>REPROGRAMACIÓN</v>
      </c>
      <c r="E16" s="12" t="str">
        <f>IF(base!BF16="","",base!BF16)</f>
        <v/>
      </c>
      <c r="F16" s="12" t="str">
        <f>IF(D16="","",IF(OR(ISNUMBER(SEARCH("VISITA",D16)),ISNUMBER(SEARCH("RUTA",D16)),ISNUMBER(SEARCH("ARRIB",D16)),ISNUMBER(SEARCH("MATRIZ",D16)),ISNUMBER(SEARCH("PENDIENTE",D16))),"VISITA COORDINADA CON EL CLIENTE","N/A"))</f>
        <v>N/A</v>
      </c>
      <c r="G16" s="12" t="str">
        <f>IF(base!G16="","",base!G16)</f>
        <v>2000018857041302</v>
      </c>
      <c r="H16" s="12" t="str">
        <f>IF(base!I16="","",base!I16)</f>
        <v>FLEX</v>
      </c>
      <c r="I16" s="12" t="str">
        <f>IF(base!S16="","",base!S16)</f>
        <v>Prueba 14</v>
      </c>
      <c r="J16" s="12" t="str">
        <f>IF(base!T16="","",base!T16)</f>
        <v>Calle 123
Piso 2</v>
      </c>
      <c r="K16" s="12" t="str">
        <f>IF(base!U16="","",base!U16)</f>
        <v/>
      </c>
      <c r="L16" s="12" t="str">
        <f>IF(base!Y16="","",base!Y16)</f>
        <v/>
      </c>
      <c r="M16" s="12" t="str">
        <f>IF(base!AH16="","",base!AH16)</f>
        <v/>
      </c>
      <c r="N16" s="12" t="str">
        <f>IF(base!AI16="","",base!AI16)</f>
        <v>34.072273</v>
      </c>
      <c r="O16" s="12">
        <f>IF(base!BA16="","",base!BA16)</f>
        <v>1875</v>
      </c>
      <c r="P16" s="13">
        <f>IF(base!BK16="","",base!BK16)</f>
        <v>46303.805902777778</v>
      </c>
      <c r="Q16" s="15" t="str">
        <f>IF(base!BS16="","",base!BS16)</f>
        <v/>
      </c>
    </row>
    <row r="17" spans="1:17" ht="30" x14ac:dyDescent="0.35">
      <c r="A17" s="14">
        <f>IF(base!A17="","",base!A17)</f>
        <v>6200015</v>
      </c>
      <c r="B17" s="13">
        <f>IF(base!BN17="","",base!BN17)</f>
        <v>46303.625</v>
      </c>
      <c r="C17" s="12" t="str">
        <f>IF(base!C17="","",base!C17)</f>
        <v>ZETABURGOS SRL</v>
      </c>
      <c r="D17" s="12" t="str">
        <f>IF(base!E17="","",base!E17)</f>
        <v>1RVT - 1° VISITA</v>
      </c>
      <c r="E17" s="12" t="str">
        <f>IF(base!BF17="","",base!BF17)</f>
        <v/>
      </c>
      <c r="F17" s="12" t="str">
        <f>IF(D17="","",IF(OR(ISNUMBER(SEARCH("VISITA",D17)),ISNUMBER(SEARCH("RUTA",D17)),ISNUMBER(SEARCH("ARRIB",D17)),ISNUMBER(SEARCH("MATRIZ",D17)),ISNUMBER(SEARCH("PENDIENTE",D17))),"VISITA COORDINADA CON EL CLIENTE","N/A"))</f>
        <v>VISITA COORDINADA CON EL CLIENTE</v>
      </c>
      <c r="G17" s="12" t="str">
        <f>IF(base!G17="","",base!G17)</f>
        <v>001234</v>
      </c>
      <c r="H17" s="12" t="str">
        <f>IF(base!I17="","",base!I17)</f>
        <v>FLEX</v>
      </c>
      <c r="I17" s="12" t="str">
        <f>IF(base!S17="","",base!S17)</f>
        <v>Prueba 15</v>
      </c>
      <c r="J17" s="12" t="str">
        <f>IF(base!T17="","",base!T17)</f>
        <v>Calle 123
Piso 2</v>
      </c>
      <c r="K17" s="12" t="str">
        <f>IF(base!U17="","",base!U17)</f>
        <v/>
      </c>
      <c r="L17" s="12" t="str">
        <f>IF(base!Y17="","",base!Y17)</f>
        <v/>
      </c>
      <c r="M17" s="12" t="str">
        <f>IF(base!AH17="","",base!AH17)</f>
        <v/>
      </c>
      <c r="N17" s="12" t="str">
        <f>IF(base!AI17="","",base!AI17)</f>
        <v>34.072273</v>
      </c>
      <c r="O17" s="12">
        <f>IF(base!BA17="","",base!BA17)</f>
        <v>1875</v>
      </c>
      <c r="P17" s="13">
        <f>IF(base!BK17="","",base!BK17)</f>
        <v>46303.805902777778</v>
      </c>
      <c r="Q17" s="15" t="str">
        <f>IF(base!BS17="","",base!BS17)</f>
        <v/>
      </c>
    </row>
    <row r="18" spans="1:17" ht="30" x14ac:dyDescent="0.35">
      <c r="A18" s="14">
        <f>IF(base!A18="","",base!A18)</f>
        <v>6200016</v>
      </c>
      <c r="B18" s="13">
        <f>IF(base!BN18="","",base!BN18)</f>
        <v>46303.625</v>
      </c>
      <c r="C18" s="12" t="str">
        <f>IF(base!C18="","",base!C18)</f>
        <v>ZETABURGOS SRL</v>
      </c>
      <c r="D18" s="12" t="str">
        <f>IF(base!E18="","",base!E18)</f>
        <v>ENTREGADO</v>
      </c>
      <c r="E18" s="12" t="str">
        <f>IF(base!BF18="","",base!BF18)</f>
        <v/>
      </c>
      <c r="F18" s="12" t="str">
        <f>IF(D18="","",IF(OR(ISNUMBER(SEARCH("VISITA",D18)),ISNUMBER(SEARCH("RUTA",D18)),ISNUMBER(SEARCH("ARRIB",D18)),ISNUMBER(SEARCH("MATRIZ",D18)),ISNUMBER(SEARCH("PENDIENTE",D18))),"VISITA COORDINADA CON EL CLIENTE","N/A"))</f>
        <v>N/A</v>
      </c>
      <c r="G18" s="12" t="str">
        <f>"#ABC"</f>
        <v>#ABC</v>
      </c>
      <c r="H18" s="12" t="str">
        <f>IF(base!I18="","",base!I18)</f>
        <v>SAMEDAY</v>
      </c>
      <c r="I18" s="12" t="str">
        <f>IF(base!S18="","",base!S18)</f>
        <v>Prueba 16</v>
      </c>
      <c r="J18" s="12" t="str">
        <f>IF(base!T18="","",base!T18)</f>
        <v>Calle 123
Piso 2</v>
      </c>
      <c r="K18" s="12" t="str">
        <f>IF(base!U18="","",base!U18)</f>
        <v/>
      </c>
      <c r="L18" s="12" t="str">
        <f>IF(base!Y18="","",base!Y18)</f>
        <v/>
      </c>
      <c r="M18" s="12" t="str">
        <f>IF(base!AH18="","",base!AH18)</f>
        <v/>
      </c>
      <c r="N18" s="12" t="str">
        <f>IF(base!AI18="","",base!AI18)</f>
        <v>34.072273</v>
      </c>
      <c r="O18" s="12">
        <f>IF(base!BA18="","",base!BA18)</f>
        <v>1875</v>
      </c>
      <c r="P18" s="13">
        <f>IF(base!BK18="","",base!BK18)</f>
        <v>46303.805902777778</v>
      </c>
      <c r="Q18" s="15" t="str">
        <f>IF(base!BS18="","",base!BS18)</f>
        <v/>
      </c>
    </row>
    <row r="19" spans="1:17" ht="30" x14ac:dyDescent="0.35">
      <c r="A19" s="14">
        <f>IF(base!A19="","",base!A19)</f>
        <v>6200017</v>
      </c>
      <c r="B19" s="13">
        <f>IF(base!BN19="","",base!BN19)</f>
        <v>46303.625</v>
      </c>
      <c r="C19" s="12" t="str">
        <f>IF(base!C19="","",base!C19)</f>
        <v>ZETABURGOS SRL</v>
      </c>
      <c r="D19" s="12" t="str">
        <f>IF(base!E19="","",base!E19)</f>
        <v>REPROGRAMACIÓN</v>
      </c>
      <c r="E19" s="12" t="str">
        <f>IF(base!BF19="","",base!BF19)</f>
        <v/>
      </c>
      <c r="F19" s="12" t="str">
        <f>IF(D19="","",IF(OR(ISNUMBER(SEARCH("VISITA",D19)),ISNUMBER(SEARCH("RUTA",D19)),ISNUMBER(SEARCH("ARRIB",D19)),ISNUMBER(SEARCH("MATRIZ",D19)),ISNUMBER(SEARCH("PENDIENTE",D19))),"VISITA COORDINADA CON EL CLIENTE","N/A"))</f>
        <v>N/A</v>
      </c>
      <c r="G19" s="12">
        <f>IF(base!G19="","",base!G19)</f>
        <v>470123456</v>
      </c>
      <c r="H19" s="12" t="str">
        <f>IF(base!I19="","",base!I19)</f>
        <v>FLEX</v>
      </c>
      <c r="I19" s="12" t="str">
        <f>IF(base!S19="","",base!S19)</f>
        <v>Prueba 17</v>
      </c>
      <c r="J19" s="12" t="str">
        <f>IF(base!T19="","",base!T19)</f>
        <v>Calle 123
Piso 2</v>
      </c>
      <c r="K19" s="12" t="str">
        <f>IF(base!U19="","",base!U19)</f>
        <v/>
      </c>
      <c r="L19" s="12" t="str">
        <f>IF(base!Y19="","",base!Y19)</f>
        <v/>
      </c>
      <c r="M19" s="12" t="str">
        <f>IF(base!AH19="","",base!AH19)</f>
        <v/>
      </c>
      <c r="N19" s="12" t="str">
        <f>IF(base!AI19="","",base!AI19)</f>
        <v>34.072273</v>
      </c>
      <c r="O19" s="12">
        <f>IF(base!BA19="","",base!BA19)</f>
        <v>1875</v>
      </c>
      <c r="P19" s="13">
        <f>IF(base!BK19="","",base!BK19)</f>
        <v>46303.805902777778</v>
      </c>
      <c r="Q19" s="15" t="str">
        <f>IF(base!BS19="","",base!BS19)</f>
        <v/>
      </c>
    </row>
    <row r="20" spans="1:17" ht="30" x14ac:dyDescent="0.35">
      <c r="A20" s="14">
        <f>IF(base!A20="","",base!A20)</f>
        <v>6200018</v>
      </c>
      <c r="B20" s="13">
        <f>IF(base!BN20="","",base!BN20)</f>
        <v>46303.625</v>
      </c>
      <c r="C20" s="12" t="str">
        <f>IF(base!C20="","",base!C20)</f>
        <v>ZETABURGOS SRL</v>
      </c>
      <c r="D20" s="12" t="str">
        <f>IF(base!E20="","",base!E20)</f>
        <v>1RVT - 1° VISITA</v>
      </c>
      <c r="E20" s="12" t="str">
        <f>IF(base!BF20="","",base!BF20)</f>
        <v/>
      </c>
      <c r="F20" s="12" t="str">
        <f>IF(D20="","",IF(OR(ISNUMBER(SEARCH("VISITA",D20)),ISNUMBER(SEARCH("RUTA",D20)),ISNUMBER(SEARCH("ARRIB",D20)),ISNUMBER(SEARCH("MATRIZ",D20)),ISNUMBER(SEARCH("PENDIENTE",D20))),"VISITA COORDINADA CON EL CLIENTE","N/A"))</f>
        <v>VISITA COORDINADA CON EL CLIENTE</v>
      </c>
      <c r="G20" s="12" t="str">
        <f>IF(base!G20="","",base!G20)</f>
        <v>ABC001</v>
      </c>
      <c r="H20" s="12" t="str">
        <f>IF(base!I20="","",base!I20)</f>
        <v>SAMEDAY</v>
      </c>
      <c r="I20" s="12" t="str">
        <f>IF(base!S20="","",base!S20)</f>
        <v>Prueba 18</v>
      </c>
      <c r="J20" s="12" t="str">
        <f>IF(base!T20="","",base!T20)</f>
        <v>Calle 123
Piso 2</v>
      </c>
      <c r="K20" s="12" t="str">
        <f>IF(base!U20="","",base!U20)</f>
        <v/>
      </c>
      <c r="L20" s="12" t="str">
        <f>IF(base!Y20="","",base!Y20)</f>
        <v/>
      </c>
      <c r="M20" s="12" t="str">
        <f>IF(base!AH20="","",base!AH20)</f>
        <v/>
      </c>
      <c r="N20" s="12" t="str">
        <f>IF(base!AI20="","",base!AI20)</f>
        <v>34.072273</v>
      </c>
      <c r="O20" s="12">
        <f>IF(base!BA20="","",base!BA20)</f>
        <v>1875</v>
      </c>
      <c r="P20" s="13">
        <f>IF(base!BK20="","",base!BK20)</f>
        <v>46303.805902777778</v>
      </c>
      <c r="Q20" s="15" t="str">
        <f>IF(base!BS20="","",base!BS20)</f>
        <v/>
      </c>
    </row>
    <row r="21" spans="1:17" ht="30" x14ac:dyDescent="0.35">
      <c r="A21" s="14">
        <f>IF(base!A21="","",base!A21)</f>
        <v>6200019</v>
      </c>
      <c r="B21" s="13">
        <f>IF(base!BN21="","",base!BN21)</f>
        <v>46303.625</v>
      </c>
      <c r="C21" s="12" t="str">
        <f>IF(base!C21="","",base!C21)</f>
        <v>ZETABURGOS SRL</v>
      </c>
      <c r="D21" s="12" t="str">
        <f>IF(base!E21="","",base!E21)</f>
        <v>ENTREGADO</v>
      </c>
      <c r="E21" s="12" t="str">
        <f>IF(base!BF21="","",base!BF21)</f>
        <v/>
      </c>
      <c r="F21" s="12" t="str">
        <f>IF(D21="","",IF(OR(ISNUMBER(SEARCH("VISITA",D21)),ISNUMBER(SEARCH("RUTA",D21)),ISNUMBER(SEARCH("ARRIB",D21)),ISNUMBER(SEARCH("MATRIZ",D21)),ISNUMBER(SEARCH("PENDIENTE",D21))),"VISITA COORDINADA CON EL CLIENTE","N/A"))</f>
        <v>N/A</v>
      </c>
      <c r="G21" s="12" t="str">
        <f>IF(base!G21="","",base!G21)</f>
        <v>2000018857041302</v>
      </c>
      <c r="H21" s="12" t="str">
        <f>IF(base!I21="","",base!I21)</f>
        <v>FLEX</v>
      </c>
      <c r="I21" s="12" t="str">
        <f>IF(base!S21="","",base!S21)</f>
        <v>Prueba 19</v>
      </c>
      <c r="J21" s="12" t="str">
        <f>IF(base!T21="","",base!T21)</f>
        <v>Calle 123
Piso 2</v>
      </c>
      <c r="K21" s="12" t="str">
        <f>IF(base!U21="","",base!U21)</f>
        <v/>
      </c>
      <c r="L21" s="12" t="str">
        <f>IF(base!Y21="","",base!Y21)</f>
        <v/>
      </c>
      <c r="M21" s="12" t="str">
        <f>IF(base!AH21="","",base!AH21)</f>
        <v/>
      </c>
      <c r="N21" s="12" t="str">
        <f>IF(base!AI21="","",base!AI21)</f>
        <v>34.072273</v>
      </c>
      <c r="O21" s="12">
        <f>IF(base!BA21="","",base!BA21)</f>
        <v>1875</v>
      </c>
      <c r="P21" s="13">
        <f>IF(base!BK21="","",base!BK21)</f>
        <v>46303.805902777778</v>
      </c>
      <c r="Q21" s="15" t="str">
        <f>IF(base!BS21="","",base!BS21)</f>
        <v/>
      </c>
    </row>
    <row r="22" spans="1:17" ht="30" x14ac:dyDescent="0.35">
      <c r="A22" s="14">
        <f>IF(base!A22="","",base!A22)</f>
        <v>6200020</v>
      </c>
      <c r="B22" s="13">
        <f>IF(base!BN22="","",base!BN22)</f>
        <v>46303.625</v>
      </c>
      <c r="C22" s="12" t="str">
        <f>IF(base!C22="","",base!C22)</f>
        <v>ZETABURGOS SRL</v>
      </c>
      <c r="D22" s="12" t="str">
        <f>IF(base!E22="","",base!E22)</f>
        <v>REPROGRAMACIÓN</v>
      </c>
      <c r="E22" s="12" t="str">
        <f>IF(base!BF22="","",base!BF22)</f>
        <v/>
      </c>
      <c r="F22" s="12" t="str">
        <f>IF(D22="","",IF(OR(ISNUMBER(SEARCH("VISITA",D22)),ISNUMBER(SEARCH("RUTA",D22)),ISNUMBER(SEARCH("ARRIB",D22)),ISNUMBER(SEARCH("MATRIZ",D22)),ISNUMBER(SEARCH("PENDIENTE",D22))),"VISITA COORDINADA CON EL CLIENTE","N/A"))</f>
        <v>N/A</v>
      </c>
      <c r="G22" s="12" t="str">
        <f>IF(base!G22="","",base!G22)</f>
        <v>001234</v>
      </c>
      <c r="H22" s="12" t="str">
        <f>IF(base!I22="","",base!I22)</f>
        <v>FLEX</v>
      </c>
      <c r="I22" s="12" t="str">
        <f>IF(base!S22="","",base!S22)</f>
        <v>Prueba 20</v>
      </c>
      <c r="J22" s="12" t="str">
        <f>IF(base!T22="","",base!T22)</f>
        <v>Calle 123
Piso 2</v>
      </c>
      <c r="K22" s="12" t="str">
        <f>IF(base!U22="","",base!U22)</f>
        <v/>
      </c>
      <c r="L22" s="12" t="str">
        <f>IF(base!Y22="","",base!Y22)</f>
        <v/>
      </c>
      <c r="M22" s="12" t="str">
        <f>IF(base!AH22="","",base!AH22)</f>
        <v/>
      </c>
      <c r="N22" s="12" t="str">
        <f>IF(base!AI22="","",base!AI22)</f>
        <v>34.072273</v>
      </c>
      <c r="O22" s="12">
        <f>IF(base!BA22="","",base!BA22)</f>
        <v>1875</v>
      </c>
      <c r="P22" s="13">
        <f>IF(base!BK22="","",base!BK22)</f>
        <v>46303.805902777778</v>
      </c>
      <c r="Q22" s="15" t="str">
        <f>IF(base!BS22="","",base!BS22)</f>
        <v/>
      </c>
    </row>
    <row r="23" spans="1:17" ht="30" x14ac:dyDescent="0.35">
      <c r="A23" s="14">
        <f>IF(base!A23="","",base!A23)</f>
        <v>6200021</v>
      </c>
      <c r="B23" s="13">
        <f>IF(base!BN23="","",base!BN23)</f>
        <v>46303.625</v>
      </c>
      <c r="C23" s="12" t="str">
        <f>IF(base!C23="","",base!C23)</f>
        <v>ZETABURGOS SRL</v>
      </c>
      <c r="D23" s="12" t="str">
        <f>IF(base!E23="","",base!E23)</f>
        <v>1RVT - 1° VISITA</v>
      </c>
      <c r="E23" s="12" t="str">
        <f>IF(base!BF23="","",base!BF23)</f>
        <v/>
      </c>
      <c r="F23" s="12" t="str">
        <f>IF(D23="","",IF(OR(ISNUMBER(SEARCH("VISITA",D23)),ISNUMBER(SEARCH("RUTA",D23)),ISNUMBER(SEARCH("ARRIB",D23)),ISNUMBER(SEARCH("MATRIZ",D23)),ISNUMBER(SEARCH("PENDIENTE",D23))),"VISITA COORDINADA CON EL CLIENTE","N/A"))</f>
        <v>VISITA COORDINADA CON EL CLIENTE</v>
      </c>
      <c r="G23" s="12" t="str">
        <f>"#ABC"</f>
        <v>#ABC</v>
      </c>
      <c r="H23" s="12" t="str">
        <f>IF(base!I23="","",base!I23)</f>
        <v>SAMEDAY</v>
      </c>
      <c r="I23" s="12" t="str">
        <f>IF(base!S23="","",base!S23)</f>
        <v>Prueba 21</v>
      </c>
      <c r="J23" s="12" t="str">
        <f>IF(base!T23="","",base!T23)</f>
        <v>Calle 123
Piso 2</v>
      </c>
      <c r="K23" s="12" t="str">
        <f>IF(base!U23="","",base!U23)</f>
        <v/>
      </c>
      <c r="L23" s="12" t="str">
        <f>IF(base!Y23="","",base!Y23)</f>
        <v/>
      </c>
      <c r="M23" s="12" t="str">
        <f>IF(base!AH23="","",base!AH23)</f>
        <v/>
      </c>
      <c r="N23" s="12" t="str">
        <f>IF(base!AI23="","",base!AI23)</f>
        <v>34.072273</v>
      </c>
      <c r="O23" s="12">
        <f>IF(base!BA23="","",base!BA23)</f>
        <v>1875</v>
      </c>
      <c r="P23" s="13">
        <f>IF(base!BK23="","",base!BK23)</f>
        <v>46303.805902777778</v>
      </c>
      <c r="Q23" s="15" t="str">
        <f>IF(base!BS23="","",base!BS23)</f>
        <v/>
      </c>
    </row>
    <row r="24" spans="1:17" ht="30" x14ac:dyDescent="0.35">
      <c r="A24" s="14">
        <f>IF(base!A24="","",base!A24)</f>
        <v>6200022</v>
      </c>
      <c r="B24" s="13">
        <f>IF(base!BN24="","",base!BN24)</f>
        <v>46303.625</v>
      </c>
      <c r="C24" s="12" t="str">
        <f>IF(base!C24="","",base!C24)</f>
        <v>ZETABURGOS SRL</v>
      </c>
      <c r="D24" s="12" t="str">
        <f>IF(base!E24="","",base!E24)</f>
        <v>ENTREGADO</v>
      </c>
      <c r="E24" s="12" t="str">
        <f>IF(base!BF24="","",base!BF24)</f>
        <v/>
      </c>
      <c r="F24" s="12" t="str">
        <f>IF(D24="","",IF(OR(ISNUMBER(SEARCH("VISITA",D24)),ISNUMBER(SEARCH("RUTA",D24)),ISNUMBER(SEARCH("ARRIB",D24)),ISNUMBER(SEARCH("MATRIZ",D24)),ISNUMBER(SEARCH("PENDIENTE",D24))),"VISITA COORDINADA CON EL CLIENTE","N/A"))</f>
        <v>N/A</v>
      </c>
      <c r="G24" s="12">
        <f>IF(base!G24="","",base!G24)</f>
        <v>470123456</v>
      </c>
      <c r="H24" s="12" t="str">
        <f>IF(base!I24="","",base!I24)</f>
        <v>FLEX</v>
      </c>
      <c r="I24" s="12" t="str">
        <f>IF(base!S24="","",base!S24)</f>
        <v>Prueba 22</v>
      </c>
      <c r="J24" s="12" t="str">
        <f>IF(base!T24="","",base!T24)</f>
        <v>Calle 123
Piso 2</v>
      </c>
      <c r="K24" s="12" t="str">
        <f>IF(base!U24="","",base!U24)</f>
        <v/>
      </c>
      <c r="L24" s="12" t="str">
        <f>IF(base!Y24="","",base!Y24)</f>
        <v/>
      </c>
      <c r="M24" s="12" t="str">
        <f>IF(base!AH24="","",base!AH24)</f>
        <v/>
      </c>
      <c r="N24" s="12" t="str">
        <f>IF(base!AI24="","",base!AI24)</f>
        <v>34.072273</v>
      </c>
      <c r="O24" s="12">
        <f>IF(base!BA24="","",base!BA24)</f>
        <v>1875</v>
      </c>
      <c r="P24" s="13">
        <f>IF(base!BK24="","",base!BK24)</f>
        <v>46303.805902777778</v>
      </c>
      <c r="Q24" s="15" t="str">
        <f>IF(base!BS24="","",base!BS24)</f>
        <v/>
      </c>
    </row>
    <row r="25" spans="1:17" ht="30" x14ac:dyDescent="0.35">
      <c r="A25" s="14">
        <f>IF(base!A25="","",base!A25)</f>
        <v>6200023</v>
      </c>
      <c r="B25" s="13">
        <f>IF(base!BN25="","",base!BN25)</f>
        <v>46303.625</v>
      </c>
      <c r="C25" s="12" t="str">
        <f>IF(base!C25="","",base!C25)</f>
        <v>ZETABURGOS SRL</v>
      </c>
      <c r="D25" s="12" t="str">
        <f>IF(base!E25="","",base!E25)</f>
        <v>REPROGRAMACIÓN</v>
      </c>
      <c r="E25" s="12" t="str">
        <f>IF(base!BF25="","",base!BF25)</f>
        <v/>
      </c>
      <c r="F25" s="12" t="str">
        <f>IF(D25="","",IF(OR(ISNUMBER(SEARCH("VISITA",D25)),ISNUMBER(SEARCH("RUTA",D25)),ISNUMBER(SEARCH("ARRIB",D25)),ISNUMBER(SEARCH("MATRIZ",D25)),ISNUMBER(SEARCH("PENDIENTE",D25))),"VISITA COORDINADA CON EL CLIENTE","N/A"))</f>
        <v>N/A</v>
      </c>
      <c r="G25" s="12" t="str">
        <f>IF(base!G25="","",base!G25)</f>
        <v>ABC001</v>
      </c>
      <c r="H25" s="12" t="str">
        <f>IF(base!I25="","",base!I25)</f>
        <v>SAMEDAY</v>
      </c>
      <c r="I25" s="12" t="str">
        <f>IF(base!S25="","",base!S25)</f>
        <v>Prueba 23</v>
      </c>
      <c r="J25" s="12" t="str">
        <f>IF(base!T25="","",base!T25)</f>
        <v>Calle 123
Piso 2</v>
      </c>
      <c r="K25" s="12" t="str">
        <f>IF(base!U25="","",base!U25)</f>
        <v/>
      </c>
      <c r="L25" s="12" t="str">
        <f>IF(base!Y25="","",base!Y25)</f>
        <v/>
      </c>
      <c r="M25" s="12" t="str">
        <f>IF(base!AH25="","",base!AH25)</f>
        <v/>
      </c>
      <c r="N25" s="12" t="str">
        <f>IF(base!AI25="","",base!AI25)</f>
        <v>34.072273</v>
      </c>
      <c r="O25" s="12">
        <f>IF(base!BA25="","",base!BA25)</f>
        <v>1875</v>
      </c>
      <c r="P25" s="13">
        <f>IF(base!BK25="","",base!BK25)</f>
        <v>46303.805902777778</v>
      </c>
      <c r="Q25" s="15" t="str">
        <f>IF(base!BS25="","",base!BS25)</f>
        <v/>
      </c>
    </row>
    <row r="26" spans="1:17" ht="30" x14ac:dyDescent="0.35">
      <c r="A26" s="14">
        <f>IF(base!A26="","",base!A26)</f>
        <v>6200024</v>
      </c>
      <c r="B26" s="13">
        <f>IF(base!BN26="","",base!BN26)</f>
        <v>46303.625</v>
      </c>
      <c r="C26" s="12" t="str">
        <f>IF(base!C26="","",base!C26)</f>
        <v>ZETABURGOS SRL</v>
      </c>
      <c r="D26" s="12" t="str">
        <f>IF(base!E26="","",base!E26)</f>
        <v>1RVT - 1° VISITA</v>
      </c>
      <c r="E26" s="12" t="str">
        <f>IF(base!BF26="","",base!BF26)</f>
        <v/>
      </c>
      <c r="F26" s="12" t="str">
        <f>IF(D26="","",IF(OR(ISNUMBER(SEARCH("VISITA",D26)),ISNUMBER(SEARCH("RUTA",D26)),ISNUMBER(SEARCH("ARRIB",D26)),ISNUMBER(SEARCH("MATRIZ",D26)),ISNUMBER(SEARCH("PENDIENTE",D26))),"VISITA COORDINADA CON EL CLIENTE","N/A"))</f>
        <v>VISITA COORDINADA CON EL CLIENTE</v>
      </c>
      <c r="G26" s="12" t="str">
        <f>IF(base!G26="","",base!G26)</f>
        <v>2000018857041302</v>
      </c>
      <c r="H26" s="12" t="str">
        <f>IF(base!I26="","",base!I26)</f>
        <v>FLEX</v>
      </c>
      <c r="I26" s="12" t="str">
        <f>IF(base!S26="","",base!S26)</f>
        <v>Prueba 24</v>
      </c>
      <c r="J26" s="12" t="str">
        <f>IF(base!T26="","",base!T26)</f>
        <v>Calle 123
Piso 2</v>
      </c>
      <c r="K26" s="12" t="str">
        <f>IF(base!U26="","",base!U26)</f>
        <v/>
      </c>
      <c r="L26" s="12" t="str">
        <f>IF(base!Y26="","",base!Y26)</f>
        <v/>
      </c>
      <c r="M26" s="12" t="str">
        <f>IF(base!AH26="","",base!AH26)</f>
        <v/>
      </c>
      <c r="N26" s="12" t="str">
        <f>IF(base!AI26="","",base!AI26)</f>
        <v>34.072273</v>
      </c>
      <c r="O26" s="12">
        <f>IF(base!BA26="","",base!BA26)</f>
        <v>1875</v>
      </c>
      <c r="P26" s="13">
        <f>IF(base!BK26="","",base!BK26)</f>
        <v>46303.805902777778</v>
      </c>
      <c r="Q26" s="15" t="str">
        <f>IF(base!BS26="","",base!BS26)</f>
        <v/>
      </c>
    </row>
    <row r="27" spans="1:17" ht="30" x14ac:dyDescent="0.35">
      <c r="A27" s="14">
        <f>IF(base!A27="","",base!A27)</f>
        <v>6200025</v>
      </c>
      <c r="B27" s="13">
        <f>IF(base!BN27="","",base!BN27)</f>
        <v>46303.625</v>
      </c>
      <c r="C27" s="12" t="str">
        <f>IF(base!C27="","",base!C27)</f>
        <v>ZETABURGOS SRL</v>
      </c>
      <c r="D27" s="12" t="str">
        <f>IF(base!E27="","",base!E27)</f>
        <v>ENTREGADO</v>
      </c>
      <c r="E27" s="12" t="str">
        <f>IF(base!BF27="","",base!BF27)</f>
        <v/>
      </c>
      <c r="F27" s="12" t="str">
        <f>IF(D27="","",IF(OR(ISNUMBER(SEARCH("VISITA",D27)),ISNUMBER(SEARCH("RUTA",D27)),ISNUMBER(SEARCH("ARRIB",D27)),ISNUMBER(SEARCH("MATRIZ",D27)),ISNUMBER(SEARCH("PENDIENTE",D27))),"VISITA COORDINADA CON EL CLIENTE","N/A"))</f>
        <v>N/A</v>
      </c>
      <c r="G27" s="12" t="str">
        <f>IF(base!G27="","",base!G27)</f>
        <v>001234</v>
      </c>
      <c r="H27" s="12" t="str">
        <f>IF(base!I27="","",base!I27)</f>
        <v>FLEX</v>
      </c>
      <c r="I27" s="12" t="str">
        <f>IF(base!S27="","",base!S27)</f>
        <v>Prueba 25</v>
      </c>
      <c r="J27" s="12" t="str">
        <f>IF(base!T27="","",base!T27)</f>
        <v>Calle 123
Piso 2</v>
      </c>
      <c r="K27" s="12" t="str">
        <f>IF(base!U27="","",base!U27)</f>
        <v/>
      </c>
      <c r="L27" s="12" t="str">
        <f>IF(base!Y27="","",base!Y27)</f>
        <v/>
      </c>
      <c r="M27" s="12" t="str">
        <f>IF(base!AH27="","",base!AH27)</f>
        <v/>
      </c>
      <c r="N27" s="12" t="str">
        <f>IF(base!AI27="","",base!AI27)</f>
        <v>34.072273</v>
      </c>
      <c r="O27" s="12">
        <f>IF(base!BA27="","",base!BA27)</f>
        <v>1875</v>
      </c>
      <c r="P27" s="13">
        <f>IF(base!BK27="","",base!BK27)</f>
        <v>46303.805902777778</v>
      </c>
      <c r="Q27" s="15" t="str">
        <f>IF(base!BS27="","",base!BS27)</f>
        <v/>
      </c>
    </row>
    <row r="28" spans="1:17" ht="30" x14ac:dyDescent="0.35">
      <c r="A28" s="14">
        <f>IF(base!A28="","",base!A28)</f>
        <v>6200026</v>
      </c>
      <c r="B28" s="13">
        <f>IF(base!BN28="","",base!BN28)</f>
        <v>46303.625</v>
      </c>
      <c r="C28" s="12" t="str">
        <f>IF(base!C28="","",base!C28)</f>
        <v>ZETABURGOS SRL</v>
      </c>
      <c r="D28" s="12" t="str">
        <f>IF(base!E28="","",base!E28)</f>
        <v>REPROGRAMACIÓN</v>
      </c>
      <c r="E28" s="12" t="str">
        <f>IF(base!BF28="","",base!BF28)</f>
        <v/>
      </c>
      <c r="F28" s="12" t="str">
        <f>IF(D28="","",IF(OR(ISNUMBER(SEARCH("VISITA",D28)),ISNUMBER(SEARCH("RUTA",D28)),ISNUMBER(SEARCH("ARRIB",D28)),ISNUMBER(SEARCH("MATRIZ",D28)),ISNUMBER(SEARCH("PENDIENTE",D28))),"VISITA COORDINADA CON EL CLIENTE","N/A"))</f>
        <v>N/A</v>
      </c>
      <c r="G28" s="12" t="str">
        <f>"#ABC"</f>
        <v>#ABC</v>
      </c>
      <c r="H28" s="12" t="str">
        <f>IF(base!I28="","",base!I28)</f>
        <v>SAMEDAY</v>
      </c>
      <c r="I28" s="12" t="str">
        <f>IF(base!S28="","",base!S28)</f>
        <v>Prueba 26</v>
      </c>
      <c r="J28" s="12" t="str">
        <f>IF(base!T28="","",base!T28)</f>
        <v>Calle 123
Piso 2</v>
      </c>
      <c r="K28" s="12" t="str">
        <f>IF(base!U28="","",base!U28)</f>
        <v/>
      </c>
      <c r="L28" s="12" t="str">
        <f>IF(base!Y28="","",base!Y28)</f>
        <v/>
      </c>
      <c r="M28" s="12" t="str">
        <f>IF(base!AH28="","",base!AH28)</f>
        <v/>
      </c>
      <c r="N28" s="12" t="str">
        <f>IF(base!AI28="","",base!AI28)</f>
        <v>34.072273</v>
      </c>
      <c r="O28" s="12">
        <f>IF(base!BA28="","",base!BA28)</f>
        <v>1875</v>
      </c>
      <c r="P28" s="13">
        <f>IF(base!BK28="","",base!BK28)</f>
        <v>46303.805902777778</v>
      </c>
      <c r="Q28" s="15" t="str">
        <f>IF(base!BS28="","",base!BS28)</f>
        <v/>
      </c>
    </row>
    <row r="29" spans="1:17" ht="30" x14ac:dyDescent="0.35">
      <c r="A29" s="14">
        <f>IF(base!A29="","",base!A29)</f>
        <v>6200027</v>
      </c>
      <c r="B29" s="13">
        <f>IF(base!BN29="","",base!BN29)</f>
        <v>46303.625</v>
      </c>
      <c r="C29" s="12" t="str">
        <f>IF(base!C29="","",base!C29)</f>
        <v>ZETABURGOS SRL</v>
      </c>
      <c r="D29" s="12" t="str">
        <f>IF(base!E29="","",base!E29)</f>
        <v>1RVT - 1° VISITA</v>
      </c>
      <c r="E29" s="12" t="str">
        <f>IF(base!BF29="","",base!BF29)</f>
        <v/>
      </c>
      <c r="F29" s="12" t="str">
        <f>IF(D29="","",IF(OR(ISNUMBER(SEARCH("VISITA",D29)),ISNUMBER(SEARCH("RUTA",D29)),ISNUMBER(SEARCH("ARRIB",D29)),ISNUMBER(SEARCH("MATRIZ",D29)),ISNUMBER(SEARCH("PENDIENTE",D29))),"VISITA COORDINADA CON EL CLIENTE","N/A"))</f>
        <v>VISITA COORDINADA CON EL CLIENTE</v>
      </c>
      <c r="G29" s="12">
        <f>IF(base!G29="","",base!G29)</f>
        <v>470123456</v>
      </c>
      <c r="H29" s="12" t="str">
        <f>IF(base!I29="","",base!I29)</f>
        <v>FLEX</v>
      </c>
      <c r="I29" s="12" t="str">
        <f>IF(base!S29="","",base!S29)</f>
        <v>Prueba 27</v>
      </c>
      <c r="J29" s="12" t="str">
        <f>IF(base!T29="","",base!T29)</f>
        <v>Calle 123
Piso 2</v>
      </c>
      <c r="K29" s="12" t="str">
        <f>IF(base!U29="","",base!U29)</f>
        <v/>
      </c>
      <c r="L29" s="12" t="str">
        <f>IF(base!Y29="","",base!Y29)</f>
        <v/>
      </c>
      <c r="M29" s="12" t="str">
        <f>IF(base!AH29="","",base!AH29)</f>
        <v/>
      </c>
      <c r="N29" s="12" t="str">
        <f>IF(base!AI29="","",base!AI29)</f>
        <v>34.072273</v>
      </c>
      <c r="O29" s="12">
        <f>IF(base!BA29="","",base!BA29)</f>
        <v>1875</v>
      </c>
      <c r="P29" s="13">
        <f>IF(base!BK29="","",base!BK29)</f>
        <v>46303.805902777778</v>
      </c>
      <c r="Q29" s="15" t="str">
        <f>IF(base!BS29="","",base!BS29)</f>
        <v/>
      </c>
    </row>
    <row r="30" spans="1:17" ht="30" x14ac:dyDescent="0.35">
      <c r="A30" s="14">
        <f>IF(base!A30="","",base!A30)</f>
        <v>6200028</v>
      </c>
      <c r="B30" s="13">
        <f>IF(base!BN30="","",base!BN30)</f>
        <v>46303.625</v>
      </c>
      <c r="C30" s="12" t="str">
        <f>IF(base!C30="","",base!C30)</f>
        <v>ZETABURGOS SRL</v>
      </c>
      <c r="D30" s="12" t="str">
        <f>IF(base!E30="","",base!E30)</f>
        <v>ENTREGADO</v>
      </c>
      <c r="E30" s="12" t="str">
        <f>IF(base!BF30="","",base!BF30)</f>
        <v/>
      </c>
      <c r="F30" s="12" t="str">
        <f>IF(D30="","",IF(OR(ISNUMBER(SEARCH("VISITA",D30)),ISNUMBER(SEARCH("RUTA",D30)),ISNUMBER(SEARCH("ARRIB",D30)),ISNUMBER(SEARCH("MATRIZ",D30)),ISNUMBER(SEARCH("PENDIENTE",D30))),"VISITA COORDINADA CON EL CLIENTE","N/A"))</f>
        <v>N/A</v>
      </c>
      <c r="G30" s="12" t="str">
        <f>IF(base!G30="","",base!G30)</f>
        <v>ABC001</v>
      </c>
      <c r="H30" s="12" t="str">
        <f>IF(base!I30="","",base!I30)</f>
        <v>SAMEDAY</v>
      </c>
      <c r="I30" s="12" t="str">
        <f>IF(base!S30="","",base!S30)</f>
        <v>Prueba 28</v>
      </c>
      <c r="J30" s="12" t="str">
        <f>IF(base!T30="","",base!T30)</f>
        <v>Calle 123
Piso 2</v>
      </c>
      <c r="K30" s="12" t="str">
        <f>IF(base!U30="","",base!U30)</f>
        <v/>
      </c>
      <c r="L30" s="12" t="str">
        <f>IF(base!Y30="","",base!Y30)</f>
        <v/>
      </c>
      <c r="M30" s="12" t="str">
        <f>IF(base!AH30="","",base!AH30)</f>
        <v/>
      </c>
      <c r="N30" s="12" t="str">
        <f>IF(base!AI30="","",base!AI30)</f>
        <v>34.072273</v>
      </c>
      <c r="O30" s="12">
        <f>IF(base!BA30="","",base!BA30)</f>
        <v>1875</v>
      </c>
      <c r="P30" s="13">
        <f>IF(base!BK30="","",base!BK30)</f>
        <v>46303.805902777778</v>
      </c>
      <c r="Q30" s="15" t="str">
        <f>IF(base!BS30="","",base!BS30)</f>
        <v/>
      </c>
    </row>
    <row r="31" spans="1:17" ht="30" x14ac:dyDescent="0.35">
      <c r="A31" s="14">
        <f>IF(base!A31="","",base!A31)</f>
        <v>6200029</v>
      </c>
      <c r="B31" s="13">
        <f>IF(base!BN31="","",base!BN31)</f>
        <v>46303.625</v>
      </c>
      <c r="C31" s="12" t="str">
        <f>IF(base!C31="","",base!C31)</f>
        <v>ZETABURGOS SRL</v>
      </c>
      <c r="D31" s="12" t="str">
        <f>IF(base!E31="","",base!E31)</f>
        <v>REPROGRAMACIÓN</v>
      </c>
      <c r="E31" s="12" t="str">
        <f>IF(base!BF31="","",base!BF31)</f>
        <v/>
      </c>
      <c r="F31" s="12" t="str">
        <f>IF(D31="","",IF(OR(ISNUMBER(SEARCH("VISITA",D31)),ISNUMBER(SEARCH("RUTA",D31)),ISNUMBER(SEARCH("ARRIB",D31)),ISNUMBER(SEARCH("MATRIZ",D31)),ISNUMBER(SEARCH("PENDIENTE",D31))),"VISITA COORDINADA CON EL CLIENTE","N/A"))</f>
        <v>N/A</v>
      </c>
      <c r="G31" s="12" t="str">
        <f>IF(base!G31="","",base!G31)</f>
        <v>2000018857041302</v>
      </c>
      <c r="H31" s="12" t="str">
        <f>IF(base!I31="","",base!I31)</f>
        <v>FLEX</v>
      </c>
      <c r="I31" s="12" t="str">
        <f>IF(base!S31="","",base!S31)</f>
        <v>Prueba 29</v>
      </c>
      <c r="J31" s="12" t="str">
        <f>IF(base!T31="","",base!T31)</f>
        <v>Calle 123
Piso 2</v>
      </c>
      <c r="K31" s="12" t="str">
        <f>IF(base!U31="","",base!U31)</f>
        <v/>
      </c>
      <c r="L31" s="12" t="str">
        <f>IF(base!Y31="","",base!Y31)</f>
        <v/>
      </c>
      <c r="M31" s="12" t="str">
        <f>IF(base!AH31="","",base!AH31)</f>
        <v/>
      </c>
      <c r="N31" s="12" t="str">
        <f>IF(base!AI31="","",base!AI31)</f>
        <v>34.072273</v>
      </c>
      <c r="O31" s="12">
        <f>IF(base!BA31="","",base!BA31)</f>
        <v>1875</v>
      </c>
      <c r="P31" s="13">
        <f>IF(base!BK31="","",base!BK31)</f>
        <v>46303.805902777778</v>
      </c>
      <c r="Q31" s="15" t="str">
        <f>IF(base!BS31="","",base!BS31)</f>
        <v/>
      </c>
    </row>
    <row r="32" spans="1:17" ht="30" x14ac:dyDescent="0.35">
      <c r="A32" s="14">
        <f>IF(base!A32="","",base!A32)</f>
        <v>6200030</v>
      </c>
      <c r="B32" s="13">
        <f>IF(base!BN32="","",base!BN32)</f>
        <v>46303.625</v>
      </c>
      <c r="C32" s="12" t="str">
        <f>IF(base!C32="","",base!C32)</f>
        <v>ZETABURGOS SRL</v>
      </c>
      <c r="D32" s="12" t="str">
        <f>IF(base!E32="","",base!E32)</f>
        <v>1RVT - 1° VISITA</v>
      </c>
      <c r="E32" s="12" t="str">
        <f>IF(base!BF32="","",base!BF32)</f>
        <v/>
      </c>
      <c r="F32" s="12" t="str">
        <f>IF(D32="","",IF(OR(ISNUMBER(SEARCH("VISITA",D32)),ISNUMBER(SEARCH("RUTA",D32)),ISNUMBER(SEARCH("ARRIB",D32)),ISNUMBER(SEARCH("MATRIZ",D32)),ISNUMBER(SEARCH("PENDIENTE",D32))),"VISITA COORDINADA CON EL CLIENTE","N/A"))</f>
        <v>VISITA COORDINADA CON EL CLIENTE</v>
      </c>
      <c r="G32" s="12" t="str">
        <f>IF(base!G32="","",base!G32)</f>
        <v>001234</v>
      </c>
      <c r="H32" s="12" t="str">
        <f>IF(base!I32="","",base!I32)</f>
        <v>FLEX</v>
      </c>
      <c r="I32" s="12" t="str">
        <f>IF(base!S32="","",base!S32)</f>
        <v>Prueba 30</v>
      </c>
      <c r="J32" s="12" t="str">
        <f>IF(base!T32="","",base!T32)</f>
        <v>Calle 123
Piso 2</v>
      </c>
      <c r="K32" s="12" t="str">
        <f>IF(base!U32="","",base!U32)</f>
        <v/>
      </c>
      <c r="L32" s="12" t="str">
        <f>IF(base!Y32="","",base!Y32)</f>
        <v/>
      </c>
      <c r="M32" s="12" t="str">
        <f>IF(base!AH32="","",base!AH32)</f>
        <v/>
      </c>
      <c r="N32" s="12" t="str">
        <f>IF(base!AI32="","",base!AI32)</f>
        <v>34.072273</v>
      </c>
      <c r="O32" s="12">
        <f>IF(base!BA32="","",base!BA32)</f>
        <v>1875</v>
      </c>
      <c r="P32" s="13">
        <f>IF(base!BK32="","",base!BK32)</f>
        <v>46303.805902777778</v>
      </c>
      <c r="Q32" s="15" t="str">
        <f>IF(base!BS32="","",base!BS32)</f>
        <v/>
      </c>
    </row>
    <row r="33" spans="1:17" ht="30" x14ac:dyDescent="0.35">
      <c r="A33" s="14">
        <f>IF(base!A33="","",base!A33)</f>
        <v>6200031</v>
      </c>
      <c r="B33" s="13">
        <f>IF(base!BN33="","",base!BN33)</f>
        <v>46303.625</v>
      </c>
      <c r="C33" s="12" t="str">
        <f>IF(base!C33="","",base!C33)</f>
        <v>ZETABURGOS SRL</v>
      </c>
      <c r="D33" s="12" t="str">
        <f>IF(base!E33="","",base!E33)</f>
        <v>ENTREGADO</v>
      </c>
      <c r="E33" s="12" t="str">
        <f>IF(base!BF33="","",base!BF33)</f>
        <v/>
      </c>
      <c r="F33" s="12" t="str">
        <f>IF(D33="","",IF(OR(ISNUMBER(SEARCH("VISITA",D33)),ISNUMBER(SEARCH("RUTA",D33)),ISNUMBER(SEARCH("ARRIB",D33)),ISNUMBER(SEARCH("MATRIZ",D33)),ISNUMBER(SEARCH("PENDIENTE",D33))),"VISITA COORDINADA CON EL CLIENTE","N/A"))</f>
        <v>N/A</v>
      </c>
      <c r="G33" s="12" t="str">
        <f>"#ABC"</f>
        <v>#ABC</v>
      </c>
      <c r="H33" s="12" t="str">
        <f>IF(base!I33="","",base!I33)</f>
        <v>SAMEDAY</v>
      </c>
      <c r="I33" s="12" t="str">
        <f>IF(base!S33="","",base!S33)</f>
        <v>Prueba 31</v>
      </c>
      <c r="J33" s="12" t="str">
        <f>IF(base!T33="","",base!T33)</f>
        <v>Calle 123
Piso 2</v>
      </c>
      <c r="K33" s="12" t="str">
        <f>IF(base!U33="","",base!U33)</f>
        <v/>
      </c>
      <c r="L33" s="12" t="str">
        <f>IF(base!Y33="","",base!Y33)</f>
        <v/>
      </c>
      <c r="M33" s="12" t="str">
        <f>IF(base!AH33="","",base!AH33)</f>
        <v/>
      </c>
      <c r="N33" s="12" t="str">
        <f>IF(base!AI33="","",base!AI33)</f>
        <v>34.072273</v>
      </c>
      <c r="O33" s="12">
        <f>IF(base!BA33="","",base!BA33)</f>
        <v>1875</v>
      </c>
      <c r="P33" s="13">
        <f>IF(base!BK33="","",base!BK33)</f>
        <v>46303.805902777778</v>
      </c>
      <c r="Q33" s="15" t="str">
        <f>IF(base!BS33="","",base!BS33)</f>
        <v/>
      </c>
    </row>
    <row r="34" spans="1:17" ht="30" x14ac:dyDescent="0.35">
      <c r="A34" s="14">
        <f>IF(base!A34="","",base!A34)</f>
        <v>6200032</v>
      </c>
      <c r="B34" s="13">
        <f>IF(base!BN34="","",base!BN34)</f>
        <v>46303.625</v>
      </c>
      <c r="C34" s="12" t="str">
        <f>IF(base!C34="","",base!C34)</f>
        <v>ZETABURGOS SRL</v>
      </c>
      <c r="D34" s="12" t="str">
        <f>IF(base!E34="","",base!E34)</f>
        <v>REPROGRAMACIÓN</v>
      </c>
      <c r="E34" s="12" t="str">
        <f>IF(base!BF34="","",base!BF34)</f>
        <v/>
      </c>
      <c r="F34" s="12" t="str">
        <f>IF(D34="","",IF(OR(ISNUMBER(SEARCH("VISITA",D34)),ISNUMBER(SEARCH("RUTA",D34)),ISNUMBER(SEARCH("ARRIB",D34)),ISNUMBER(SEARCH("MATRIZ",D34)),ISNUMBER(SEARCH("PENDIENTE",D34))),"VISITA COORDINADA CON EL CLIENTE","N/A"))</f>
        <v>N/A</v>
      </c>
      <c r="G34" s="12">
        <f>IF(base!G34="","",base!G34)</f>
        <v>470123456</v>
      </c>
      <c r="H34" s="12" t="str">
        <f>IF(base!I34="","",base!I34)</f>
        <v>FLEX</v>
      </c>
      <c r="I34" s="12" t="str">
        <f>IF(base!S34="","",base!S34)</f>
        <v>Prueba 32</v>
      </c>
      <c r="J34" s="12" t="str">
        <f>IF(base!T34="","",base!T34)</f>
        <v>Calle 123
Piso 2</v>
      </c>
      <c r="K34" s="12" t="str">
        <f>IF(base!U34="","",base!U34)</f>
        <v/>
      </c>
      <c r="L34" s="12" t="str">
        <f>IF(base!Y34="","",base!Y34)</f>
        <v/>
      </c>
      <c r="M34" s="12" t="str">
        <f>IF(base!AH34="","",base!AH34)</f>
        <v/>
      </c>
      <c r="N34" s="12" t="str">
        <f>IF(base!AI34="","",base!AI34)</f>
        <v>34.072273</v>
      </c>
      <c r="O34" s="12">
        <f>IF(base!BA34="","",base!BA34)</f>
        <v>1875</v>
      </c>
      <c r="P34" s="13">
        <f>IF(base!BK34="","",base!BK34)</f>
        <v>46303.805902777778</v>
      </c>
      <c r="Q34" s="15" t="str">
        <f>IF(base!BS34="","",base!BS34)</f>
        <v/>
      </c>
    </row>
    <row r="35" spans="1:17" ht="30" x14ac:dyDescent="0.35">
      <c r="A35" s="14">
        <f>IF(base!A35="","",base!A35)</f>
        <v>6200033</v>
      </c>
      <c r="B35" s="13">
        <f>IF(base!BN35="","",base!BN35)</f>
        <v>46303.625</v>
      </c>
      <c r="C35" s="12" t="str">
        <f>IF(base!C35="","",base!C35)</f>
        <v>ZETABURGOS SRL</v>
      </c>
      <c r="D35" s="12" t="str">
        <f>IF(base!E35="","",base!E35)</f>
        <v>1RVT - 1° VISITA</v>
      </c>
      <c r="E35" s="12" t="str">
        <f>IF(base!BF35="","",base!BF35)</f>
        <v/>
      </c>
      <c r="F35" s="12" t="str">
        <f>IF(D35="","",IF(OR(ISNUMBER(SEARCH("VISITA",D35)),ISNUMBER(SEARCH("RUTA",D35)),ISNUMBER(SEARCH("ARRIB",D35)),ISNUMBER(SEARCH("MATRIZ",D35)),ISNUMBER(SEARCH("PENDIENTE",D35))),"VISITA COORDINADA CON EL CLIENTE","N/A"))</f>
        <v>VISITA COORDINADA CON EL CLIENTE</v>
      </c>
      <c r="G35" s="12" t="str">
        <f>IF(base!G35="","",base!G35)</f>
        <v>ABC001</v>
      </c>
      <c r="H35" s="12" t="str">
        <f>IF(base!I35="","",base!I35)</f>
        <v>SAMEDAY</v>
      </c>
      <c r="I35" s="12" t="str">
        <f>IF(base!S35="","",base!S35)</f>
        <v>Prueba 33</v>
      </c>
      <c r="J35" s="12" t="str">
        <f>IF(base!T35="","",base!T35)</f>
        <v>Calle 123
Piso 2</v>
      </c>
      <c r="K35" s="12" t="str">
        <f>IF(base!U35="","",base!U35)</f>
        <v/>
      </c>
      <c r="L35" s="12" t="str">
        <f>IF(base!Y35="","",base!Y35)</f>
        <v/>
      </c>
      <c r="M35" s="12" t="str">
        <f>IF(base!AH35="","",base!AH35)</f>
        <v/>
      </c>
      <c r="N35" s="12" t="str">
        <f>IF(base!AI35="","",base!AI35)</f>
        <v>34.072273</v>
      </c>
      <c r="O35" s="12">
        <f>IF(base!BA35="","",base!BA35)</f>
        <v>1875</v>
      </c>
      <c r="P35" s="13">
        <f>IF(base!BK35="","",base!BK35)</f>
        <v>46303.805902777778</v>
      </c>
      <c r="Q35" s="15" t="str">
        <f>IF(base!BS35="","",base!BS35)</f>
        <v/>
      </c>
    </row>
    <row r="36" spans="1:17" ht="30" x14ac:dyDescent="0.35">
      <c r="A36" s="14">
        <f>IF(base!A36="","",base!A36)</f>
        <v>6200034</v>
      </c>
      <c r="B36" s="13">
        <f>IF(base!BN36="","",base!BN36)</f>
        <v>46303.625</v>
      </c>
      <c r="C36" s="12" t="str">
        <f>IF(base!C36="","",base!C36)</f>
        <v>ZETABURGOS SRL</v>
      </c>
      <c r="D36" s="12" t="str">
        <f>IF(base!E36="","",base!E36)</f>
        <v>ENTREGADO</v>
      </c>
      <c r="E36" s="12" t="str">
        <f>IF(base!BF36="","",base!BF36)</f>
        <v/>
      </c>
      <c r="F36" s="12" t="str">
        <f>IF(D36="","",IF(OR(ISNUMBER(SEARCH("VISITA",D36)),ISNUMBER(SEARCH("RUTA",D36)),ISNUMBER(SEARCH("ARRIB",D36)),ISNUMBER(SEARCH("MATRIZ",D36)),ISNUMBER(SEARCH("PENDIENTE",D36))),"VISITA COORDINADA CON EL CLIENTE","N/A"))</f>
        <v>N/A</v>
      </c>
      <c r="G36" s="12" t="str">
        <f>IF(base!G36="","",base!G36)</f>
        <v>2000018857041302</v>
      </c>
      <c r="H36" s="12" t="str">
        <f>IF(base!I36="","",base!I36)</f>
        <v>FLEX</v>
      </c>
      <c r="I36" s="12" t="str">
        <f>IF(base!S36="","",base!S36)</f>
        <v>Prueba 34</v>
      </c>
      <c r="J36" s="12" t="str">
        <f>IF(base!T36="","",base!T36)</f>
        <v>Calle 123
Piso 2</v>
      </c>
      <c r="K36" s="12" t="str">
        <f>IF(base!U36="","",base!U36)</f>
        <v/>
      </c>
      <c r="L36" s="12" t="str">
        <f>IF(base!Y36="","",base!Y36)</f>
        <v/>
      </c>
      <c r="M36" s="12" t="str">
        <f>IF(base!AH36="","",base!AH36)</f>
        <v/>
      </c>
      <c r="N36" s="12" t="str">
        <f>IF(base!AI36="","",base!AI36)</f>
        <v>34.072273</v>
      </c>
      <c r="O36" s="12">
        <f>IF(base!BA36="","",base!BA36)</f>
        <v>1875</v>
      </c>
      <c r="P36" s="13">
        <f>IF(base!BK36="","",base!BK36)</f>
        <v>46303.805902777778</v>
      </c>
      <c r="Q36" s="15" t="str">
        <f>IF(base!BS36="","",base!BS36)</f>
        <v/>
      </c>
    </row>
    <row r="37" spans="1:17" ht="30" x14ac:dyDescent="0.35">
      <c r="A37" s="14">
        <f>IF(base!A37="","",base!A37)</f>
        <v>6200035</v>
      </c>
      <c r="B37" s="13">
        <f>IF(base!BN37="","",base!BN37)</f>
        <v>46303.625</v>
      </c>
      <c r="C37" s="12" t="str">
        <f>IF(base!C37="","",base!C37)</f>
        <v>ZETABURGOS SRL</v>
      </c>
      <c r="D37" s="12" t="str">
        <f>IF(base!E37="","",base!E37)</f>
        <v>REPROGRAMACIÓN</v>
      </c>
      <c r="E37" s="12" t="str">
        <f>IF(base!BF37="","",base!BF37)</f>
        <v/>
      </c>
      <c r="F37" s="12" t="str">
        <f>IF(D37="","",IF(OR(ISNUMBER(SEARCH("VISITA",D37)),ISNUMBER(SEARCH("RUTA",D37)),ISNUMBER(SEARCH("ARRIB",D37)),ISNUMBER(SEARCH("MATRIZ",D37)),ISNUMBER(SEARCH("PENDIENTE",D37))),"VISITA COORDINADA CON EL CLIENTE","N/A"))</f>
        <v>N/A</v>
      </c>
      <c r="G37" s="12" t="str">
        <f>IF(base!G37="","",base!G37)</f>
        <v>001234</v>
      </c>
      <c r="H37" s="12" t="str">
        <f>IF(base!I37="","",base!I37)</f>
        <v>FLEX</v>
      </c>
      <c r="I37" s="12" t="str">
        <f>IF(base!S37="","",base!S37)</f>
        <v>Prueba 35</v>
      </c>
      <c r="J37" s="12" t="str">
        <f>IF(base!T37="","",base!T37)</f>
        <v>Calle 123
Piso 2</v>
      </c>
      <c r="K37" s="12" t="str">
        <f>IF(base!U37="","",base!U37)</f>
        <v/>
      </c>
      <c r="L37" s="12" t="str">
        <f>IF(base!Y37="","",base!Y37)</f>
        <v/>
      </c>
      <c r="M37" s="12" t="str">
        <f>IF(base!AH37="","",base!AH37)</f>
        <v/>
      </c>
      <c r="N37" s="12" t="str">
        <f>IF(base!AI37="","",base!AI37)</f>
        <v>34.072273</v>
      </c>
      <c r="O37" s="12">
        <f>IF(base!BA37="","",base!BA37)</f>
        <v>1875</v>
      </c>
      <c r="P37" s="13">
        <f>IF(base!BK37="","",base!BK37)</f>
        <v>46303.805902777778</v>
      </c>
      <c r="Q37" s="15" t="str">
        <f>IF(base!BS37="","",base!BS37)</f>
        <v/>
      </c>
    </row>
    <row r="38" spans="1:17" ht="30" x14ac:dyDescent="0.35">
      <c r="A38" s="14">
        <f>IF(base!A38="","",base!A38)</f>
        <v>6200036</v>
      </c>
      <c r="B38" s="13">
        <f>IF(base!BN38="","",base!BN38)</f>
        <v>46303.625</v>
      </c>
      <c r="C38" s="12" t="str">
        <f>IF(base!C38="","",base!C38)</f>
        <v>ZETABURGOS SRL</v>
      </c>
      <c r="D38" s="12" t="str">
        <f>IF(base!E38="","",base!E38)</f>
        <v>1RVT - 1° VISITA</v>
      </c>
      <c r="E38" s="12" t="str">
        <f>IF(base!BF38="","",base!BF38)</f>
        <v/>
      </c>
      <c r="F38" s="12" t="str">
        <f>IF(D38="","",IF(OR(ISNUMBER(SEARCH("VISITA",D38)),ISNUMBER(SEARCH("RUTA",D38)),ISNUMBER(SEARCH("ARRIB",D38)),ISNUMBER(SEARCH("MATRIZ",D38)),ISNUMBER(SEARCH("PENDIENTE",D38))),"VISITA COORDINADA CON EL CLIENTE","N/A"))</f>
        <v>VISITA COORDINADA CON EL CLIENTE</v>
      </c>
      <c r="G38" s="12" t="str">
        <f>"#ABC"</f>
        <v>#ABC</v>
      </c>
      <c r="H38" s="12" t="str">
        <f>IF(base!I38="","",base!I38)</f>
        <v>SAMEDAY</v>
      </c>
      <c r="I38" s="12" t="str">
        <f>IF(base!S38="","",base!S38)</f>
        <v>Prueba 36</v>
      </c>
      <c r="J38" s="12" t="str">
        <f>IF(base!T38="","",base!T38)</f>
        <v>Calle 123
Piso 2</v>
      </c>
      <c r="K38" s="12" t="str">
        <f>IF(base!U38="","",base!U38)</f>
        <v/>
      </c>
      <c r="L38" s="12" t="str">
        <f>IF(base!Y38="","",base!Y38)</f>
        <v/>
      </c>
      <c r="M38" s="12" t="str">
        <f>IF(base!AH38="","",base!AH38)</f>
        <v/>
      </c>
      <c r="N38" s="12" t="str">
        <f>IF(base!AI38="","",base!AI38)</f>
        <v>34.072273</v>
      </c>
      <c r="O38" s="12">
        <f>IF(base!BA38="","",base!BA38)</f>
        <v>1875</v>
      </c>
      <c r="P38" s="13">
        <f>IF(base!BK38="","",base!BK38)</f>
        <v>46303.805902777778</v>
      </c>
      <c r="Q38" s="15" t="str">
        <f>IF(base!BS38="","",base!BS38)</f>
        <v/>
      </c>
    </row>
    <row r="39" spans="1:17" ht="30" x14ac:dyDescent="0.35">
      <c r="A39" s="14">
        <f>IF(base!A39="","",base!A39)</f>
        <v>6200037</v>
      </c>
      <c r="B39" s="13">
        <f>IF(base!BN39="","",base!BN39)</f>
        <v>46303.625</v>
      </c>
      <c r="C39" s="12" t="str">
        <f>IF(base!C39="","",base!C39)</f>
        <v>ZETABURGOS SRL</v>
      </c>
      <c r="D39" s="12" t="str">
        <f>IF(base!E39="","",base!E39)</f>
        <v>ENTREGADO</v>
      </c>
      <c r="E39" s="12" t="str">
        <f>IF(base!BF39="","",base!BF39)</f>
        <v/>
      </c>
      <c r="F39" s="12" t="str">
        <f>IF(D39="","",IF(OR(ISNUMBER(SEARCH("VISITA",D39)),ISNUMBER(SEARCH("RUTA",D39)),ISNUMBER(SEARCH("ARRIB",D39)),ISNUMBER(SEARCH("MATRIZ",D39)),ISNUMBER(SEARCH("PENDIENTE",D39))),"VISITA COORDINADA CON EL CLIENTE","N/A"))</f>
        <v>N/A</v>
      </c>
      <c r="G39" s="12">
        <f>IF(base!G39="","",base!G39)</f>
        <v>470123456</v>
      </c>
      <c r="H39" s="12" t="str">
        <f>IF(base!I39="","",base!I39)</f>
        <v>FLEX</v>
      </c>
      <c r="I39" s="12" t="str">
        <f>IF(base!S39="","",base!S39)</f>
        <v>Prueba 37</v>
      </c>
      <c r="J39" s="12" t="str">
        <f>IF(base!T39="","",base!T39)</f>
        <v>Calle 123
Piso 2</v>
      </c>
      <c r="K39" s="12" t="str">
        <f>IF(base!U39="","",base!U39)</f>
        <v/>
      </c>
      <c r="L39" s="12" t="str">
        <f>IF(base!Y39="","",base!Y39)</f>
        <v/>
      </c>
      <c r="M39" s="12" t="str">
        <f>IF(base!AH39="","",base!AH39)</f>
        <v/>
      </c>
      <c r="N39" s="12" t="str">
        <f>IF(base!AI39="","",base!AI39)</f>
        <v>34.072273</v>
      </c>
      <c r="O39" s="12">
        <f>IF(base!BA39="","",base!BA39)</f>
        <v>1875</v>
      </c>
      <c r="P39" s="13">
        <f>IF(base!BK39="","",base!BK39)</f>
        <v>46303.805902777778</v>
      </c>
      <c r="Q39" s="15" t="str">
        <f>IF(base!BS39="","",base!BS39)</f>
        <v/>
      </c>
    </row>
    <row r="40" spans="1:17" ht="30" x14ac:dyDescent="0.35">
      <c r="A40" s="14">
        <f>IF(base!A40="","",base!A40)</f>
        <v>6200038</v>
      </c>
      <c r="B40" s="13">
        <f>IF(base!BN40="","",base!BN40)</f>
        <v>46303.625</v>
      </c>
      <c r="C40" s="12" t="str">
        <f>IF(base!C40="","",base!C40)</f>
        <v>ZETABURGOS SRL</v>
      </c>
      <c r="D40" s="12" t="str">
        <f>IF(base!E40="","",base!E40)</f>
        <v>REPROGRAMACIÓN</v>
      </c>
      <c r="E40" s="12" t="str">
        <f>IF(base!BF40="","",base!BF40)</f>
        <v/>
      </c>
      <c r="F40" s="12" t="str">
        <f>IF(D40="","",IF(OR(ISNUMBER(SEARCH("VISITA",D40)),ISNUMBER(SEARCH("RUTA",D40)),ISNUMBER(SEARCH("ARRIB",D40)),ISNUMBER(SEARCH("MATRIZ",D40)),ISNUMBER(SEARCH("PENDIENTE",D40))),"VISITA COORDINADA CON EL CLIENTE","N/A"))</f>
        <v>N/A</v>
      </c>
      <c r="G40" s="12" t="str">
        <f>IF(base!G40="","",base!G40)</f>
        <v>ABC001</v>
      </c>
      <c r="H40" s="12" t="str">
        <f>IF(base!I40="","",base!I40)</f>
        <v>SAMEDAY</v>
      </c>
      <c r="I40" s="12" t="str">
        <f>IF(base!S40="","",base!S40)</f>
        <v>Prueba 38</v>
      </c>
      <c r="J40" s="12" t="str">
        <f>IF(base!T40="","",base!T40)</f>
        <v>Calle 123
Piso 2</v>
      </c>
      <c r="K40" s="12" t="str">
        <f>IF(base!U40="","",base!U40)</f>
        <v/>
      </c>
      <c r="L40" s="12" t="str">
        <f>IF(base!Y40="","",base!Y40)</f>
        <v/>
      </c>
      <c r="M40" s="12" t="str">
        <f>IF(base!AH40="","",base!AH40)</f>
        <v/>
      </c>
      <c r="N40" s="12" t="str">
        <f>IF(base!AI40="","",base!AI40)</f>
        <v>34.072273</v>
      </c>
      <c r="O40" s="12">
        <f>IF(base!BA40="","",base!BA40)</f>
        <v>1875</v>
      </c>
      <c r="P40" s="13">
        <f>IF(base!BK40="","",base!BK40)</f>
        <v>46303.805902777778</v>
      </c>
      <c r="Q40" s="15" t="str">
        <f>IF(base!BS40="","",base!BS40)</f>
        <v/>
      </c>
    </row>
    <row r="41" spans="1:17" ht="30" x14ac:dyDescent="0.35">
      <c r="A41" s="14">
        <f>IF(base!A41="","",base!A41)</f>
        <v>6200039</v>
      </c>
      <c r="B41" s="13">
        <f>IF(base!BN41="","",base!BN41)</f>
        <v>46303.625</v>
      </c>
      <c r="C41" s="12" t="str">
        <f>IF(base!C41="","",base!C41)</f>
        <v>ZETABURGOS SRL</v>
      </c>
      <c r="D41" s="12" t="str">
        <f>IF(base!E41="","",base!E41)</f>
        <v>1RVT - 1° VISITA</v>
      </c>
      <c r="E41" s="12" t="str">
        <f>IF(base!BF41="","",base!BF41)</f>
        <v/>
      </c>
      <c r="F41" s="12" t="str">
        <f>IF(D41="","",IF(OR(ISNUMBER(SEARCH("VISITA",D41)),ISNUMBER(SEARCH("RUTA",D41)),ISNUMBER(SEARCH("ARRIB",D41)),ISNUMBER(SEARCH("MATRIZ",D41)),ISNUMBER(SEARCH("PENDIENTE",D41))),"VISITA COORDINADA CON EL CLIENTE","N/A"))</f>
        <v>VISITA COORDINADA CON EL CLIENTE</v>
      </c>
      <c r="G41" s="12" t="str">
        <f>IF(base!G41="","",base!G41)</f>
        <v>2000018857041302</v>
      </c>
      <c r="H41" s="12" t="str">
        <f>IF(base!I41="","",base!I41)</f>
        <v>FLEX</v>
      </c>
      <c r="I41" s="12" t="str">
        <f>IF(base!S41="","",base!S41)</f>
        <v>Prueba 39</v>
      </c>
      <c r="J41" s="12" t="str">
        <f>IF(base!T41="","",base!T41)</f>
        <v>Calle 123
Piso 2</v>
      </c>
      <c r="K41" s="12" t="str">
        <f>IF(base!U41="","",base!U41)</f>
        <v/>
      </c>
      <c r="L41" s="12" t="str">
        <f>IF(base!Y41="","",base!Y41)</f>
        <v/>
      </c>
      <c r="M41" s="12" t="str">
        <f>IF(base!AH41="","",base!AH41)</f>
        <v/>
      </c>
      <c r="N41" s="12" t="str">
        <f>IF(base!AI41="","",base!AI41)</f>
        <v>34.072273</v>
      </c>
      <c r="O41" s="12">
        <f>IF(base!BA41="","",base!BA41)</f>
        <v>1875</v>
      </c>
      <c r="P41" s="13">
        <f>IF(base!BK41="","",base!BK41)</f>
        <v>46303.805902777778</v>
      </c>
      <c r="Q41" s="15" t="str">
        <f>IF(base!BS41="","",base!BS41)</f>
        <v/>
      </c>
    </row>
    <row r="42" spans="1:17" ht="30" x14ac:dyDescent="0.35">
      <c r="A42" s="14">
        <f>IF(base!A42="","",base!A42)</f>
        <v>6200040</v>
      </c>
      <c r="B42" s="13">
        <f>IF(base!BN42="","",base!BN42)</f>
        <v>46303.625</v>
      </c>
      <c r="C42" s="12" t="str">
        <f>IF(base!C42="","",base!C42)</f>
        <v>ZETABURGOS SRL</v>
      </c>
      <c r="D42" s="12" t="str">
        <f>IF(base!E42="","",base!E42)</f>
        <v>ENTREGADO</v>
      </c>
      <c r="E42" s="12" t="str">
        <f>IF(base!BF42="","",base!BF42)</f>
        <v/>
      </c>
      <c r="F42" s="12" t="str">
        <f>IF(D42="","",IF(OR(ISNUMBER(SEARCH("VISITA",D42)),ISNUMBER(SEARCH("RUTA",D42)),ISNUMBER(SEARCH("ARRIB",D42)),ISNUMBER(SEARCH("MATRIZ",D42)),ISNUMBER(SEARCH("PENDIENTE",D42))),"VISITA COORDINADA CON EL CLIENTE","N/A"))</f>
        <v>N/A</v>
      </c>
      <c r="G42" s="12" t="str">
        <f>IF(base!G42="","",base!G42)</f>
        <v>001234</v>
      </c>
      <c r="H42" s="12" t="str">
        <f>IF(base!I42="","",base!I42)</f>
        <v>FLEX</v>
      </c>
      <c r="I42" s="12" t="str">
        <f>IF(base!S42="","",base!S42)</f>
        <v>Prueba 40</v>
      </c>
      <c r="J42" s="12" t="str">
        <f>IF(base!T42="","",base!T42)</f>
        <v>Calle 123
Piso 2</v>
      </c>
      <c r="K42" s="12" t="str">
        <f>IF(base!U42="","",base!U42)</f>
        <v/>
      </c>
      <c r="L42" s="12" t="str">
        <f>IF(base!Y42="","",base!Y42)</f>
        <v/>
      </c>
      <c r="M42" s="12" t="str">
        <f>IF(base!AH42="","",base!AH42)</f>
        <v/>
      </c>
      <c r="N42" s="12" t="str">
        <f>IF(base!AI42="","",base!AI42)</f>
        <v>34.072273</v>
      </c>
      <c r="O42" s="12">
        <f>IF(base!BA42="","",base!BA42)</f>
        <v>1875</v>
      </c>
      <c r="P42" s="13">
        <f>IF(base!BK42="","",base!BK42)</f>
        <v>46303.805902777778</v>
      </c>
      <c r="Q42" s="15" t="str">
        <f>IF(base!BS42="","",base!BS42)</f>
        <v/>
      </c>
    </row>
    <row r="43" spans="1:17" ht="30" x14ac:dyDescent="0.35">
      <c r="A43" s="14">
        <f>IF(base!A43="","",base!A43)</f>
        <v>6200041</v>
      </c>
      <c r="B43" s="13">
        <f>IF(base!BN43="","",base!BN43)</f>
        <v>46303.625</v>
      </c>
      <c r="C43" s="12" t="str">
        <f>IF(base!C43="","",base!C43)</f>
        <v>ZETABURGOS SRL</v>
      </c>
      <c r="D43" s="12" t="str">
        <f>IF(base!E43="","",base!E43)</f>
        <v>REPROGRAMACIÓN</v>
      </c>
      <c r="E43" s="12" t="str">
        <f>IF(base!BF43="","",base!BF43)</f>
        <v/>
      </c>
      <c r="F43" s="12" t="str">
        <f>IF(D43="","",IF(OR(ISNUMBER(SEARCH("VISITA",D43)),ISNUMBER(SEARCH("RUTA",D43)),ISNUMBER(SEARCH("ARRIB",D43)),ISNUMBER(SEARCH("MATRIZ",D43)),ISNUMBER(SEARCH("PENDIENTE",D43))),"VISITA COORDINADA CON EL CLIENTE","N/A"))</f>
        <v>N/A</v>
      </c>
      <c r="G43" s="12" t="str">
        <f>"#ABC"</f>
        <v>#ABC</v>
      </c>
      <c r="H43" s="12" t="str">
        <f>IF(base!I43="","",base!I43)</f>
        <v>SAMEDAY</v>
      </c>
      <c r="I43" s="12" t="str">
        <f>IF(base!S43="","",base!S43)</f>
        <v>Prueba 41</v>
      </c>
      <c r="J43" s="12" t="str">
        <f>IF(base!T43="","",base!T43)</f>
        <v>Calle 123
Piso 2</v>
      </c>
      <c r="K43" s="12" t="str">
        <f>IF(base!U43="","",base!U43)</f>
        <v/>
      </c>
      <c r="L43" s="12" t="str">
        <f>IF(base!Y43="","",base!Y43)</f>
        <v/>
      </c>
      <c r="M43" s="12" t="str">
        <f>IF(base!AH43="","",base!AH43)</f>
        <v/>
      </c>
      <c r="N43" s="12" t="str">
        <f>IF(base!AI43="","",base!AI43)</f>
        <v>34.072273</v>
      </c>
      <c r="O43" s="12">
        <f>IF(base!BA43="","",base!BA43)</f>
        <v>1875</v>
      </c>
      <c r="P43" s="13">
        <f>IF(base!BK43="","",base!BK43)</f>
        <v>46303.805902777778</v>
      </c>
      <c r="Q43" s="15" t="str">
        <f>IF(base!BS43="","",base!BS43)</f>
        <v/>
      </c>
    </row>
    <row r="44" spans="1:17" ht="30" x14ac:dyDescent="0.35">
      <c r="A44" s="14">
        <f>IF(base!A44="","",base!A44)</f>
        <v>6200042</v>
      </c>
      <c r="B44" s="13">
        <f>IF(base!BN44="","",base!BN44)</f>
        <v>46303.625</v>
      </c>
      <c r="C44" s="12" t="str">
        <f>IF(base!C44="","",base!C44)</f>
        <v>ZETABURGOS SRL</v>
      </c>
      <c r="D44" s="12" t="str">
        <f>IF(base!E44="","",base!E44)</f>
        <v>1RVT - 1° VISITA</v>
      </c>
      <c r="E44" s="12" t="str">
        <f>IF(base!BF44="","",base!BF44)</f>
        <v/>
      </c>
      <c r="F44" s="12" t="str">
        <f>IF(D44="","",IF(OR(ISNUMBER(SEARCH("VISITA",D44)),ISNUMBER(SEARCH("RUTA",D44)),ISNUMBER(SEARCH("ARRIB",D44)),ISNUMBER(SEARCH("MATRIZ",D44)),ISNUMBER(SEARCH("PENDIENTE",D44))),"VISITA COORDINADA CON EL CLIENTE","N/A"))</f>
        <v>VISITA COORDINADA CON EL CLIENTE</v>
      </c>
      <c r="G44" s="12">
        <f>IF(base!G44="","",base!G44)</f>
        <v>470123456</v>
      </c>
      <c r="H44" s="12" t="str">
        <f>IF(base!I44="","",base!I44)</f>
        <v>FLEX</v>
      </c>
      <c r="I44" s="12" t="str">
        <f>IF(base!S44="","",base!S44)</f>
        <v>Prueba 42</v>
      </c>
      <c r="J44" s="12" t="str">
        <f>IF(base!T44="","",base!T44)</f>
        <v>Calle 123
Piso 2</v>
      </c>
      <c r="K44" s="12" t="str">
        <f>IF(base!U44="","",base!U44)</f>
        <v/>
      </c>
      <c r="L44" s="12" t="str">
        <f>IF(base!Y44="","",base!Y44)</f>
        <v/>
      </c>
      <c r="M44" s="12" t="str">
        <f>IF(base!AH44="","",base!AH44)</f>
        <v/>
      </c>
      <c r="N44" s="12" t="str">
        <f>IF(base!AI44="","",base!AI44)</f>
        <v>34.072273</v>
      </c>
      <c r="O44" s="12">
        <f>IF(base!BA44="","",base!BA44)</f>
        <v>1875</v>
      </c>
      <c r="P44" s="13">
        <f>IF(base!BK44="","",base!BK44)</f>
        <v>46303.805902777778</v>
      </c>
      <c r="Q44" s="15" t="str">
        <f>IF(base!BS44="","",base!BS44)</f>
        <v/>
      </c>
    </row>
    <row r="45" spans="1:17" ht="30" x14ac:dyDescent="0.35">
      <c r="A45" s="14">
        <f>IF(base!A45="","",base!A45)</f>
        <v>6200043</v>
      </c>
      <c r="B45" s="13">
        <f>IF(base!BN45="","",base!BN45)</f>
        <v>46303.625</v>
      </c>
      <c r="C45" s="12" t="str">
        <f>IF(base!C45="","",base!C45)</f>
        <v>ZETABURGOS SRL</v>
      </c>
      <c r="D45" s="12" t="str">
        <f>IF(base!E45="","",base!E45)</f>
        <v>ENTREGADO</v>
      </c>
      <c r="E45" s="12" t="str">
        <f>IF(base!BF45="","",base!BF45)</f>
        <v/>
      </c>
      <c r="F45" s="12" t="str">
        <f>IF(D45="","",IF(OR(ISNUMBER(SEARCH("VISITA",D45)),ISNUMBER(SEARCH("RUTA",D45)),ISNUMBER(SEARCH("ARRIB",D45)),ISNUMBER(SEARCH("MATRIZ",D45)),ISNUMBER(SEARCH("PENDIENTE",D45))),"VISITA COORDINADA CON EL CLIENTE","N/A"))</f>
        <v>N/A</v>
      </c>
      <c r="G45" s="12" t="str">
        <f>IF(base!G45="","",base!G45)</f>
        <v>ABC001</v>
      </c>
      <c r="H45" s="12" t="str">
        <f>IF(base!I45="","",base!I45)</f>
        <v>SAMEDAY</v>
      </c>
      <c r="I45" s="12" t="str">
        <f>IF(base!S45="","",base!S45)</f>
        <v>Prueba 43</v>
      </c>
      <c r="J45" s="12" t="str">
        <f>IF(base!T45="","",base!T45)</f>
        <v>Calle 123
Piso 2</v>
      </c>
      <c r="K45" s="12" t="str">
        <f>IF(base!U45="","",base!U45)</f>
        <v/>
      </c>
      <c r="L45" s="12" t="str">
        <f>IF(base!Y45="","",base!Y45)</f>
        <v/>
      </c>
      <c r="M45" s="12" t="str">
        <f>IF(base!AH45="","",base!AH45)</f>
        <v/>
      </c>
      <c r="N45" s="12" t="str">
        <f>IF(base!AI45="","",base!AI45)</f>
        <v>34.072273</v>
      </c>
      <c r="O45" s="12">
        <f>IF(base!BA45="","",base!BA45)</f>
        <v>1875</v>
      </c>
      <c r="P45" s="13">
        <f>IF(base!BK45="","",base!BK45)</f>
        <v>46303.805902777778</v>
      </c>
      <c r="Q45" s="15" t="str">
        <f>IF(base!BS45="","",base!BS45)</f>
        <v/>
      </c>
    </row>
    <row r="46" spans="1:17" ht="30" x14ac:dyDescent="0.35">
      <c r="A46" s="14">
        <f>IF(base!A46="","",base!A46)</f>
        <v>6200044</v>
      </c>
      <c r="B46" s="13">
        <f>IF(base!BN46="","",base!BN46)</f>
        <v>46303.625</v>
      </c>
      <c r="C46" s="12" t="str">
        <f>IF(base!C46="","",base!C46)</f>
        <v>ZETABURGOS SRL</v>
      </c>
      <c r="D46" s="12" t="str">
        <f>IF(base!E46="","",base!E46)</f>
        <v>REPROGRAMACIÓN</v>
      </c>
      <c r="E46" s="12" t="str">
        <f>IF(base!BF46="","",base!BF46)</f>
        <v/>
      </c>
      <c r="F46" s="12" t="str">
        <f>IF(D46="","",IF(OR(ISNUMBER(SEARCH("VISITA",D46)),ISNUMBER(SEARCH("RUTA",D46)),ISNUMBER(SEARCH("ARRIB",D46)),ISNUMBER(SEARCH("MATRIZ",D46)),ISNUMBER(SEARCH("PENDIENTE",D46))),"VISITA COORDINADA CON EL CLIENTE","N/A"))</f>
        <v>N/A</v>
      </c>
      <c r="G46" s="12" t="str">
        <f>IF(base!G46="","",base!G46)</f>
        <v>2000018857041302</v>
      </c>
      <c r="H46" s="12" t="str">
        <f>IF(base!I46="","",base!I46)</f>
        <v>FLEX</v>
      </c>
      <c r="I46" s="12" t="str">
        <f>IF(base!S46="","",base!S46)</f>
        <v>Prueba 44</v>
      </c>
      <c r="J46" s="12" t="str">
        <f>IF(base!T46="","",base!T46)</f>
        <v>Calle 123
Piso 2</v>
      </c>
      <c r="K46" s="12" t="str">
        <f>IF(base!U46="","",base!U46)</f>
        <v/>
      </c>
      <c r="L46" s="12" t="str">
        <f>IF(base!Y46="","",base!Y46)</f>
        <v/>
      </c>
      <c r="M46" s="12" t="str">
        <f>IF(base!AH46="","",base!AH46)</f>
        <v/>
      </c>
      <c r="N46" s="12" t="str">
        <f>IF(base!AI46="","",base!AI46)</f>
        <v>34.072273</v>
      </c>
      <c r="O46" s="12">
        <f>IF(base!BA46="","",base!BA46)</f>
        <v>1875</v>
      </c>
      <c r="P46" s="13">
        <f>IF(base!BK46="","",base!BK46)</f>
        <v>46303.805902777778</v>
      </c>
      <c r="Q46" s="15" t="str">
        <f>IF(base!BS46="","",base!BS46)</f>
        <v/>
      </c>
    </row>
    <row r="47" spans="1:17" ht="30" x14ac:dyDescent="0.35">
      <c r="A47" s="14">
        <f>IF(base!A47="","",base!A47)</f>
        <v>6200045</v>
      </c>
      <c r="B47" s="13">
        <f>IF(base!BN47="","",base!BN47)</f>
        <v>46303.625</v>
      </c>
      <c r="C47" s="12" t="str">
        <f>IF(base!C47="","",base!C47)</f>
        <v>ZETABURGOS SRL</v>
      </c>
      <c r="D47" s="12" t="str">
        <f>IF(base!E47="","",base!E47)</f>
        <v>1RVT - 1° VISITA</v>
      </c>
      <c r="E47" s="12" t="str">
        <f>IF(base!BF47="","",base!BF47)</f>
        <v/>
      </c>
      <c r="F47" s="12" t="str">
        <f>IF(D47="","",IF(OR(ISNUMBER(SEARCH("VISITA",D47)),ISNUMBER(SEARCH("RUTA",D47)),ISNUMBER(SEARCH("ARRIB",D47)),ISNUMBER(SEARCH("MATRIZ",D47)),ISNUMBER(SEARCH("PENDIENTE",D47))),"VISITA COORDINADA CON EL CLIENTE","N/A"))</f>
        <v>VISITA COORDINADA CON EL CLIENTE</v>
      </c>
      <c r="G47" s="12" t="str">
        <f>IF(base!G47="","",base!G47)</f>
        <v>001234</v>
      </c>
      <c r="H47" s="12" t="str">
        <f>IF(base!I47="","",base!I47)</f>
        <v>FLEX</v>
      </c>
      <c r="I47" s="12" t="str">
        <f>IF(base!S47="","",base!S47)</f>
        <v>Prueba 45</v>
      </c>
      <c r="J47" s="12" t="str">
        <f>IF(base!T47="","",base!T47)</f>
        <v>Calle 123
Piso 2</v>
      </c>
      <c r="K47" s="12" t="str">
        <f>IF(base!U47="","",base!U47)</f>
        <v/>
      </c>
      <c r="L47" s="12" t="str">
        <f>IF(base!Y47="","",base!Y47)</f>
        <v/>
      </c>
      <c r="M47" s="12" t="str">
        <f>IF(base!AH47="","",base!AH47)</f>
        <v/>
      </c>
      <c r="N47" s="12" t="str">
        <f>IF(base!AI47="","",base!AI47)</f>
        <v>34.072273</v>
      </c>
      <c r="O47" s="12">
        <f>IF(base!BA47="","",base!BA47)</f>
        <v>1875</v>
      </c>
      <c r="P47" s="13">
        <f>IF(base!BK47="","",base!BK47)</f>
        <v>46303.805902777778</v>
      </c>
      <c r="Q47" s="15" t="str">
        <f>IF(base!BS47="","",base!BS47)</f>
        <v/>
      </c>
    </row>
    <row r="48" spans="1:17" ht="30" x14ac:dyDescent="0.35">
      <c r="A48" s="14">
        <f>IF(base!A48="","",base!A48)</f>
        <v>6200046</v>
      </c>
      <c r="B48" s="13">
        <f>IF(base!BN48="","",base!BN48)</f>
        <v>46303.625</v>
      </c>
      <c r="C48" s="12" t="str">
        <f>IF(base!C48="","",base!C48)</f>
        <v>ZETABURGOS SRL</v>
      </c>
      <c r="D48" s="12" t="str">
        <f>IF(base!E48="","",base!E48)</f>
        <v>ENTREGADO</v>
      </c>
      <c r="E48" s="12" t="str">
        <f>IF(base!BF48="","",base!BF48)</f>
        <v/>
      </c>
      <c r="F48" s="12" t="str">
        <f>IF(D48="","",IF(OR(ISNUMBER(SEARCH("VISITA",D48)),ISNUMBER(SEARCH("RUTA",D48)),ISNUMBER(SEARCH("ARRIB",D48)),ISNUMBER(SEARCH("MATRIZ",D48)),ISNUMBER(SEARCH("PENDIENTE",D48))),"VISITA COORDINADA CON EL CLIENTE","N/A"))</f>
        <v>N/A</v>
      </c>
      <c r="G48" s="12" t="str">
        <f>"#ABC"</f>
        <v>#ABC</v>
      </c>
      <c r="H48" s="12" t="str">
        <f>IF(base!I48="","",base!I48)</f>
        <v>SAMEDAY</v>
      </c>
      <c r="I48" s="12" t="str">
        <f>IF(base!S48="","",base!S48)</f>
        <v>Prueba 46</v>
      </c>
      <c r="J48" s="12" t="str">
        <f>IF(base!T48="","",base!T48)</f>
        <v>Calle 123
Piso 2</v>
      </c>
      <c r="K48" s="12" t="str">
        <f>IF(base!U48="","",base!U48)</f>
        <v/>
      </c>
      <c r="L48" s="12" t="str">
        <f>IF(base!Y48="","",base!Y48)</f>
        <v/>
      </c>
      <c r="M48" s="12" t="str">
        <f>IF(base!AH48="","",base!AH48)</f>
        <v/>
      </c>
      <c r="N48" s="12" t="str">
        <f>IF(base!AI48="","",base!AI48)</f>
        <v>34.072273</v>
      </c>
      <c r="O48" s="12">
        <f>IF(base!BA48="","",base!BA48)</f>
        <v>1875</v>
      </c>
      <c r="P48" s="13">
        <f>IF(base!BK48="","",base!BK48)</f>
        <v>46303.805902777778</v>
      </c>
      <c r="Q48" s="15" t="str">
        <f>IF(base!BS48="","",base!BS48)</f>
        <v/>
      </c>
    </row>
    <row r="49" spans="1:17" ht="30" x14ac:dyDescent="0.35">
      <c r="A49" s="14">
        <f>IF(base!A49="","",base!A49)</f>
        <v>6200047</v>
      </c>
      <c r="B49" s="13">
        <f>IF(base!BN49="","",base!BN49)</f>
        <v>46303.625</v>
      </c>
      <c r="C49" s="12" t="str">
        <f>IF(base!C49="","",base!C49)</f>
        <v>ZETABURGOS SRL</v>
      </c>
      <c r="D49" s="12" t="str">
        <f>IF(base!E49="","",base!E49)</f>
        <v>REPROGRAMACIÓN</v>
      </c>
      <c r="E49" s="12" t="str">
        <f>IF(base!BF49="","",base!BF49)</f>
        <v/>
      </c>
      <c r="F49" s="12" t="str">
        <f>IF(D49="","",IF(OR(ISNUMBER(SEARCH("VISITA",D49)),ISNUMBER(SEARCH("RUTA",D49)),ISNUMBER(SEARCH("ARRIB",D49)),ISNUMBER(SEARCH("MATRIZ",D49)),ISNUMBER(SEARCH("PENDIENTE",D49))),"VISITA COORDINADA CON EL CLIENTE","N/A"))</f>
        <v>N/A</v>
      </c>
      <c r="G49" s="12">
        <f>IF(base!G49="","",base!G49)</f>
        <v>470123456</v>
      </c>
      <c r="H49" s="12" t="str">
        <f>IF(base!I49="","",base!I49)</f>
        <v>FLEX</v>
      </c>
      <c r="I49" s="12" t="str">
        <f>IF(base!S49="","",base!S49)</f>
        <v>Prueba 47</v>
      </c>
      <c r="J49" s="12" t="str">
        <f>IF(base!T49="","",base!T49)</f>
        <v>Calle 123
Piso 2</v>
      </c>
      <c r="K49" s="12" t="str">
        <f>IF(base!U49="","",base!U49)</f>
        <v/>
      </c>
      <c r="L49" s="12" t="str">
        <f>IF(base!Y49="","",base!Y49)</f>
        <v/>
      </c>
      <c r="M49" s="12" t="str">
        <f>IF(base!AH49="","",base!AH49)</f>
        <v/>
      </c>
      <c r="N49" s="12" t="str">
        <f>IF(base!AI49="","",base!AI49)</f>
        <v>34.072273</v>
      </c>
      <c r="O49" s="12">
        <f>IF(base!BA49="","",base!BA49)</f>
        <v>1875</v>
      </c>
      <c r="P49" s="13">
        <f>IF(base!BK49="","",base!BK49)</f>
        <v>46303.805902777778</v>
      </c>
      <c r="Q49" s="15" t="str">
        <f>IF(base!BS49="","",base!BS49)</f>
        <v/>
      </c>
    </row>
    <row r="50" spans="1:17" ht="30" x14ac:dyDescent="0.35">
      <c r="A50" s="14">
        <f>IF(base!A50="","",base!A50)</f>
        <v>6200048</v>
      </c>
      <c r="B50" s="13">
        <f>IF(base!BN50="","",base!BN50)</f>
        <v>46303.625</v>
      </c>
      <c r="C50" s="12" t="str">
        <f>IF(base!C50="","",base!C50)</f>
        <v>ZETABURGOS SRL</v>
      </c>
      <c r="D50" s="12" t="str">
        <f>IF(base!E50="","",base!E50)</f>
        <v>1RVT - 1° VISITA</v>
      </c>
      <c r="E50" s="12" t="str">
        <f>IF(base!BF50="","",base!BF50)</f>
        <v/>
      </c>
      <c r="F50" s="12" t="str">
        <f>IF(D50="","",IF(OR(ISNUMBER(SEARCH("VISITA",D50)),ISNUMBER(SEARCH("RUTA",D50)),ISNUMBER(SEARCH("ARRIB",D50)),ISNUMBER(SEARCH("MATRIZ",D50)),ISNUMBER(SEARCH("PENDIENTE",D50))),"VISITA COORDINADA CON EL CLIENTE","N/A"))</f>
        <v>VISITA COORDINADA CON EL CLIENTE</v>
      </c>
      <c r="G50" s="12" t="str">
        <f>IF(base!G50="","",base!G50)</f>
        <v>ABC001</v>
      </c>
      <c r="H50" s="12" t="str">
        <f>IF(base!I50="","",base!I50)</f>
        <v>SAMEDAY</v>
      </c>
      <c r="I50" s="12" t="str">
        <f>IF(base!S50="","",base!S50)</f>
        <v>Prueba 48</v>
      </c>
      <c r="J50" s="12" t="str">
        <f>IF(base!T50="","",base!T50)</f>
        <v>Calle 123
Piso 2</v>
      </c>
      <c r="K50" s="12" t="str">
        <f>IF(base!U50="","",base!U50)</f>
        <v/>
      </c>
      <c r="L50" s="12" t="str">
        <f>IF(base!Y50="","",base!Y50)</f>
        <v/>
      </c>
      <c r="M50" s="12" t="str">
        <f>IF(base!AH50="","",base!AH50)</f>
        <v/>
      </c>
      <c r="N50" s="12" t="str">
        <f>IF(base!AI50="","",base!AI50)</f>
        <v>34.072273</v>
      </c>
      <c r="O50" s="12">
        <f>IF(base!BA50="","",base!BA50)</f>
        <v>1875</v>
      </c>
      <c r="P50" s="13">
        <f>IF(base!BK50="","",base!BK50)</f>
        <v>46303.805902777778</v>
      </c>
      <c r="Q50" s="15" t="str">
        <f>IF(base!BS50="","",base!BS50)</f>
        <v/>
      </c>
    </row>
    <row r="51" spans="1:17" ht="30" x14ac:dyDescent="0.35">
      <c r="A51" s="14">
        <f>IF(base!A51="","",base!A51)</f>
        <v>6200049</v>
      </c>
      <c r="B51" s="13">
        <f>IF(base!BN51="","",base!BN51)</f>
        <v>46303.625</v>
      </c>
      <c r="C51" s="12" t="str">
        <f>IF(base!C51="","",base!C51)</f>
        <v>ZETABURGOS SRL</v>
      </c>
      <c r="D51" s="12" t="str">
        <f>IF(base!E51="","",base!E51)</f>
        <v>ENTREGADO</v>
      </c>
      <c r="E51" s="12" t="str">
        <f>IF(base!BF51="","",base!BF51)</f>
        <v/>
      </c>
      <c r="F51" s="12" t="str">
        <f>IF(D51="","",IF(OR(ISNUMBER(SEARCH("VISITA",D51)),ISNUMBER(SEARCH("RUTA",D51)),ISNUMBER(SEARCH("ARRIB",D51)),ISNUMBER(SEARCH("MATRIZ",D51)),ISNUMBER(SEARCH("PENDIENTE",D51))),"VISITA COORDINADA CON EL CLIENTE","N/A"))</f>
        <v>N/A</v>
      </c>
      <c r="G51" s="12" t="str">
        <f>IF(base!G51="","",base!G51)</f>
        <v>2000018857041302</v>
      </c>
      <c r="H51" s="12" t="str">
        <f>IF(base!I51="","",base!I51)</f>
        <v>FLEX</v>
      </c>
      <c r="I51" s="12" t="str">
        <f>IF(base!S51="","",base!S51)</f>
        <v>Prueba 49</v>
      </c>
      <c r="J51" s="12" t="str">
        <f>IF(base!T51="","",base!T51)</f>
        <v>Calle 123
Piso 2</v>
      </c>
      <c r="K51" s="12" t="str">
        <f>IF(base!U51="","",base!U51)</f>
        <v/>
      </c>
      <c r="L51" s="12" t="str">
        <f>IF(base!Y51="","",base!Y51)</f>
        <v/>
      </c>
      <c r="M51" s="12" t="str">
        <f>IF(base!AH51="","",base!AH51)</f>
        <v/>
      </c>
      <c r="N51" s="12" t="str">
        <f>IF(base!AI51="","",base!AI51)</f>
        <v>34.072273</v>
      </c>
      <c r="O51" s="12">
        <f>IF(base!BA51="","",base!BA51)</f>
        <v>1875</v>
      </c>
      <c r="P51" s="13">
        <f>IF(base!BK51="","",base!BK51)</f>
        <v>46303.805902777778</v>
      </c>
      <c r="Q51" s="15" t="str">
        <f>IF(base!BS51="","",base!BS51)</f>
        <v/>
      </c>
    </row>
    <row r="52" spans="1:17" ht="30" x14ac:dyDescent="0.35">
      <c r="A52" s="14">
        <f>IF(base!A52="","",base!A52)</f>
        <v>6200050</v>
      </c>
      <c r="B52" s="13">
        <f>IF(base!BN52="","",base!BN52)</f>
        <v>46303.625</v>
      </c>
      <c r="C52" s="12" t="str">
        <f>IF(base!C52="","",base!C52)</f>
        <v>ZETABURGOS SRL</v>
      </c>
      <c r="D52" s="12" t="str">
        <f>IF(base!E52="","",base!E52)</f>
        <v>REPROGRAMACIÓN</v>
      </c>
      <c r="E52" s="12" t="str">
        <f>IF(base!BF52="","",base!BF52)</f>
        <v/>
      </c>
      <c r="F52" s="12" t="str">
        <f>IF(D52="","",IF(OR(ISNUMBER(SEARCH("VISITA",D52)),ISNUMBER(SEARCH("RUTA",D52)),ISNUMBER(SEARCH("ARRIB",D52)),ISNUMBER(SEARCH("MATRIZ",D52)),ISNUMBER(SEARCH("PENDIENTE",D52))),"VISITA COORDINADA CON EL CLIENTE","N/A"))</f>
        <v>N/A</v>
      </c>
      <c r="G52" s="12" t="str">
        <f>IF(base!G52="","",base!G52)</f>
        <v>001234</v>
      </c>
      <c r="H52" s="12" t="str">
        <f>IF(base!I52="","",base!I52)</f>
        <v>FLEX</v>
      </c>
      <c r="I52" s="12" t="str">
        <f>IF(base!S52="","",base!S52)</f>
        <v>Prueba 50</v>
      </c>
      <c r="J52" s="12" t="str">
        <f>IF(base!T52="","",base!T52)</f>
        <v>Calle 123
Piso 2</v>
      </c>
      <c r="K52" s="12" t="str">
        <f>IF(base!U52="","",base!U52)</f>
        <v/>
      </c>
      <c r="L52" s="12" t="str">
        <f>IF(base!Y52="","",base!Y52)</f>
        <v/>
      </c>
      <c r="M52" s="12" t="str">
        <f>IF(base!AH52="","",base!AH52)</f>
        <v/>
      </c>
      <c r="N52" s="12" t="str">
        <f>IF(base!AI52="","",base!AI52)</f>
        <v>34.072273</v>
      </c>
      <c r="O52" s="12">
        <f>IF(base!BA52="","",base!BA52)</f>
        <v>1875</v>
      </c>
      <c r="P52" s="13">
        <f>IF(base!BK52="","",base!BK52)</f>
        <v>46303.805902777778</v>
      </c>
      <c r="Q52" s="15" t="str">
        <f>IF(base!BS52="","",base!BS52)</f>
        <v/>
      </c>
    </row>
    <row r="53" spans="1:17" ht="30" x14ac:dyDescent="0.35">
      <c r="A53" s="14">
        <f>IF(base!A53="","",base!A53)</f>
        <v>6200051</v>
      </c>
      <c r="B53" s="13">
        <f>IF(base!BN53="","",base!BN53)</f>
        <v>46303.625</v>
      </c>
      <c r="C53" s="12" t="str">
        <f>IF(base!C53="","",base!C53)</f>
        <v>ZETABURGOS SRL</v>
      </c>
      <c r="D53" s="12" t="str">
        <f>IF(base!E53="","",base!E53)</f>
        <v>1RVT - 1° VISITA</v>
      </c>
      <c r="E53" s="12" t="str">
        <f>IF(base!BF53="","",base!BF53)</f>
        <v/>
      </c>
      <c r="F53" s="12" t="str">
        <f>IF(D53="","",IF(OR(ISNUMBER(SEARCH("VISITA",D53)),ISNUMBER(SEARCH("RUTA",D53)),ISNUMBER(SEARCH("ARRIB",D53)),ISNUMBER(SEARCH("MATRIZ",D53)),ISNUMBER(SEARCH("PENDIENTE",D53))),"VISITA COORDINADA CON EL CLIENTE","N/A"))</f>
        <v>VISITA COORDINADA CON EL CLIENTE</v>
      </c>
      <c r="G53" s="12" t="str">
        <f>"#ABC"</f>
        <v>#ABC</v>
      </c>
      <c r="H53" s="12" t="str">
        <f>IF(base!I53="","",base!I53)</f>
        <v>SAMEDAY</v>
      </c>
      <c r="I53" s="12" t="str">
        <f>IF(base!S53="","",base!S53)</f>
        <v>Prueba 51</v>
      </c>
      <c r="J53" s="12" t="str">
        <f>IF(base!T53="","",base!T53)</f>
        <v>Calle 123
Piso 2</v>
      </c>
      <c r="K53" s="12" t="str">
        <f>IF(base!U53="","",base!U53)</f>
        <v/>
      </c>
      <c r="L53" s="12" t="str">
        <f>IF(base!Y53="","",base!Y53)</f>
        <v/>
      </c>
      <c r="M53" s="12" t="str">
        <f>IF(base!AH53="","",base!AH53)</f>
        <v/>
      </c>
      <c r="N53" s="12" t="str">
        <f>IF(base!AI53="","",base!AI53)</f>
        <v>34.072273</v>
      </c>
      <c r="O53" s="12">
        <f>IF(base!BA53="","",base!BA53)</f>
        <v>1875</v>
      </c>
      <c r="P53" s="13">
        <f>IF(base!BK53="","",base!BK53)</f>
        <v>46303.805902777778</v>
      </c>
      <c r="Q53" s="15" t="str">
        <f>IF(base!BS53="","",base!BS53)</f>
        <v/>
      </c>
    </row>
    <row r="54" spans="1:17" ht="30" x14ac:dyDescent="0.35">
      <c r="A54" s="14">
        <f>IF(base!A54="","",base!A54)</f>
        <v>6200052</v>
      </c>
      <c r="B54" s="13">
        <f>IF(base!BN54="","",base!BN54)</f>
        <v>46303.625</v>
      </c>
      <c r="C54" s="12" t="str">
        <f>IF(base!C54="","",base!C54)</f>
        <v>ZETABURGOS SRL</v>
      </c>
      <c r="D54" s="12" t="str">
        <f>IF(base!E54="","",base!E54)</f>
        <v>ENTREGADO</v>
      </c>
      <c r="E54" s="12" t="str">
        <f>IF(base!BF54="","",base!BF54)</f>
        <v/>
      </c>
      <c r="F54" s="12" t="str">
        <f>IF(D54="","",IF(OR(ISNUMBER(SEARCH("VISITA",D54)),ISNUMBER(SEARCH("RUTA",D54)),ISNUMBER(SEARCH("ARRIB",D54)),ISNUMBER(SEARCH("MATRIZ",D54)),ISNUMBER(SEARCH("PENDIENTE",D54))),"VISITA COORDINADA CON EL CLIENTE","N/A"))</f>
        <v>N/A</v>
      </c>
      <c r="G54" s="12">
        <f>IF(base!G54="","",base!G54)</f>
        <v>470123456</v>
      </c>
      <c r="H54" s="12" t="str">
        <f>IF(base!I54="","",base!I54)</f>
        <v>FLEX</v>
      </c>
      <c r="I54" s="12" t="str">
        <f>IF(base!S54="","",base!S54)</f>
        <v>Prueba 52</v>
      </c>
      <c r="J54" s="12" t="str">
        <f>IF(base!T54="","",base!T54)</f>
        <v>Calle 123
Piso 2</v>
      </c>
      <c r="K54" s="12" t="str">
        <f>IF(base!U54="","",base!U54)</f>
        <v/>
      </c>
      <c r="L54" s="12" t="str">
        <f>IF(base!Y54="","",base!Y54)</f>
        <v/>
      </c>
      <c r="M54" s="12" t="str">
        <f>IF(base!AH54="","",base!AH54)</f>
        <v/>
      </c>
      <c r="N54" s="12" t="str">
        <f>IF(base!AI54="","",base!AI54)</f>
        <v>34.072273</v>
      </c>
      <c r="O54" s="12">
        <f>IF(base!BA54="","",base!BA54)</f>
        <v>1875</v>
      </c>
      <c r="P54" s="13">
        <f>IF(base!BK54="","",base!BK54)</f>
        <v>46303.805902777778</v>
      </c>
      <c r="Q54" s="15" t="str">
        <f>IF(base!BS54="","",base!BS54)</f>
        <v/>
      </c>
    </row>
    <row r="55" spans="1:17" ht="30" x14ac:dyDescent="0.35">
      <c r="A55" s="14">
        <f>IF(base!A55="","",base!A55)</f>
        <v>6200053</v>
      </c>
      <c r="B55" s="13">
        <f>IF(base!BN55="","",base!BN55)</f>
        <v>46303.625</v>
      </c>
      <c r="C55" s="12" t="str">
        <f>IF(base!C55="","",base!C55)</f>
        <v>ZETABURGOS SRL</v>
      </c>
      <c r="D55" s="12" t="str">
        <f>IF(base!E55="","",base!E55)</f>
        <v>REPROGRAMACIÓN</v>
      </c>
      <c r="E55" s="12" t="str">
        <f>IF(base!BF55="","",base!BF55)</f>
        <v/>
      </c>
      <c r="F55" s="12" t="str">
        <f>IF(D55="","",IF(OR(ISNUMBER(SEARCH("VISITA",D55)),ISNUMBER(SEARCH("RUTA",D55)),ISNUMBER(SEARCH("ARRIB",D55)),ISNUMBER(SEARCH("MATRIZ",D55)),ISNUMBER(SEARCH("PENDIENTE",D55))),"VISITA COORDINADA CON EL CLIENTE","N/A"))</f>
        <v>N/A</v>
      </c>
      <c r="G55" s="12" t="str">
        <f>IF(base!G55="","",base!G55)</f>
        <v>ABC001</v>
      </c>
      <c r="H55" s="12" t="str">
        <f>IF(base!I55="","",base!I55)</f>
        <v>SAMEDAY</v>
      </c>
      <c r="I55" s="12" t="str">
        <f>IF(base!S55="","",base!S55)</f>
        <v>Prueba 53</v>
      </c>
      <c r="J55" s="12" t="str">
        <f>IF(base!T55="","",base!T55)</f>
        <v>Calle 123
Piso 2</v>
      </c>
      <c r="K55" s="12" t="str">
        <f>IF(base!U55="","",base!U55)</f>
        <v/>
      </c>
      <c r="L55" s="12" t="str">
        <f>IF(base!Y55="","",base!Y55)</f>
        <v/>
      </c>
      <c r="M55" s="12" t="str">
        <f>IF(base!AH55="","",base!AH55)</f>
        <v/>
      </c>
      <c r="N55" s="12" t="str">
        <f>IF(base!AI55="","",base!AI55)</f>
        <v>34.072273</v>
      </c>
      <c r="O55" s="12">
        <f>IF(base!BA55="","",base!BA55)</f>
        <v>1875</v>
      </c>
      <c r="P55" s="13">
        <f>IF(base!BK55="","",base!BK55)</f>
        <v>46303.805902777778</v>
      </c>
      <c r="Q55" s="15" t="str">
        <f>IF(base!BS55="","",base!BS55)</f>
        <v/>
      </c>
    </row>
    <row r="56" spans="1:17" ht="30" x14ac:dyDescent="0.35">
      <c r="A56" s="14">
        <f>IF(base!A56="","",base!A56)</f>
        <v>6200054</v>
      </c>
      <c r="B56" s="13">
        <f>IF(base!BN56="","",base!BN56)</f>
        <v>46303.625</v>
      </c>
      <c r="C56" s="12" t="str">
        <f>IF(base!C56="","",base!C56)</f>
        <v>ZETABURGOS SRL</v>
      </c>
      <c r="D56" s="12" t="str">
        <f>IF(base!E56="","",base!E56)</f>
        <v>1RVT - 1° VISITA</v>
      </c>
      <c r="E56" s="12" t="str">
        <f>IF(base!BF56="","",base!BF56)</f>
        <v/>
      </c>
      <c r="F56" s="12" t="str">
        <f>IF(D56="","",IF(OR(ISNUMBER(SEARCH("VISITA",D56)),ISNUMBER(SEARCH("RUTA",D56)),ISNUMBER(SEARCH("ARRIB",D56)),ISNUMBER(SEARCH("MATRIZ",D56)),ISNUMBER(SEARCH("PENDIENTE",D56))),"VISITA COORDINADA CON EL CLIENTE","N/A"))</f>
        <v>VISITA COORDINADA CON EL CLIENTE</v>
      </c>
      <c r="G56" s="12" t="str">
        <f>IF(base!G56="","",base!G56)</f>
        <v>2000018857041302</v>
      </c>
      <c r="H56" s="12" t="str">
        <f>IF(base!I56="","",base!I56)</f>
        <v>FLEX</v>
      </c>
      <c r="I56" s="12" t="str">
        <f>IF(base!S56="","",base!S56)</f>
        <v>Prueba 54</v>
      </c>
      <c r="J56" s="12" t="str">
        <f>IF(base!T56="","",base!T56)</f>
        <v>Calle 123
Piso 2</v>
      </c>
      <c r="K56" s="12" t="str">
        <f>IF(base!U56="","",base!U56)</f>
        <v/>
      </c>
      <c r="L56" s="12" t="str">
        <f>IF(base!Y56="","",base!Y56)</f>
        <v/>
      </c>
      <c r="M56" s="12" t="str">
        <f>IF(base!AH56="","",base!AH56)</f>
        <v/>
      </c>
      <c r="N56" s="12" t="str">
        <f>IF(base!AI56="","",base!AI56)</f>
        <v>34.072273</v>
      </c>
      <c r="O56" s="12">
        <f>IF(base!BA56="","",base!BA56)</f>
        <v>1875</v>
      </c>
      <c r="P56" s="13">
        <f>IF(base!BK56="","",base!BK56)</f>
        <v>46303.805902777778</v>
      </c>
      <c r="Q56" s="15" t="str">
        <f>IF(base!BS56="","",base!BS56)</f>
        <v/>
      </c>
    </row>
    <row r="57" spans="1:17" ht="30" x14ac:dyDescent="0.35">
      <c r="A57" s="14">
        <f>IF(base!A57="","",base!A57)</f>
        <v>6200055</v>
      </c>
      <c r="B57" s="13">
        <f>IF(base!BN57="","",base!BN57)</f>
        <v>46303.625</v>
      </c>
      <c r="C57" s="12" t="str">
        <f>IF(base!C57="","",base!C57)</f>
        <v>ZETABURGOS SRL</v>
      </c>
      <c r="D57" s="12" t="str">
        <f>IF(base!E57="","",base!E57)</f>
        <v>ENTREGADO</v>
      </c>
      <c r="E57" s="12" t="str">
        <f>IF(base!BF57="","",base!BF57)</f>
        <v/>
      </c>
      <c r="F57" s="12" t="str">
        <f>IF(D57="","",IF(OR(ISNUMBER(SEARCH("VISITA",D57)),ISNUMBER(SEARCH("RUTA",D57)),ISNUMBER(SEARCH("ARRIB",D57)),ISNUMBER(SEARCH("MATRIZ",D57)),ISNUMBER(SEARCH("PENDIENTE",D57))),"VISITA COORDINADA CON EL CLIENTE","N/A"))</f>
        <v>N/A</v>
      </c>
      <c r="G57" s="12" t="str">
        <f>IF(base!G57="","",base!G57)</f>
        <v>001234</v>
      </c>
      <c r="H57" s="12" t="str">
        <f>IF(base!I57="","",base!I57)</f>
        <v>FLEX</v>
      </c>
      <c r="I57" s="12" t="str">
        <f>IF(base!S57="","",base!S57)</f>
        <v>Prueba 55</v>
      </c>
      <c r="J57" s="12" t="str">
        <f>IF(base!T57="","",base!T57)</f>
        <v>Calle 123
Piso 2</v>
      </c>
      <c r="K57" s="12" t="str">
        <f>IF(base!U57="","",base!U57)</f>
        <v/>
      </c>
      <c r="L57" s="12" t="str">
        <f>IF(base!Y57="","",base!Y57)</f>
        <v/>
      </c>
      <c r="M57" s="12" t="str">
        <f>IF(base!AH57="","",base!AH57)</f>
        <v/>
      </c>
      <c r="N57" s="12" t="str">
        <f>IF(base!AI57="","",base!AI57)</f>
        <v>34.072273</v>
      </c>
      <c r="O57" s="12">
        <f>IF(base!BA57="","",base!BA57)</f>
        <v>1875</v>
      </c>
      <c r="P57" s="13">
        <f>IF(base!BK57="","",base!BK57)</f>
        <v>46303.805902777778</v>
      </c>
      <c r="Q57" s="15" t="str">
        <f>IF(base!BS57="","",base!BS57)</f>
        <v/>
      </c>
    </row>
    <row r="58" spans="1:17" ht="30" x14ac:dyDescent="0.35">
      <c r="A58" s="14">
        <f>IF(base!A58="","",base!A58)</f>
        <v>6200056</v>
      </c>
      <c r="B58" s="13">
        <f>IF(base!BN58="","",base!BN58)</f>
        <v>46303.625</v>
      </c>
      <c r="C58" s="12" t="str">
        <f>IF(base!C58="","",base!C58)</f>
        <v>ZETABURGOS SRL</v>
      </c>
      <c r="D58" s="12" t="str">
        <f>IF(base!E58="","",base!E58)</f>
        <v>REPROGRAMACIÓN</v>
      </c>
      <c r="E58" s="12" t="str">
        <f>IF(base!BF58="","",base!BF58)</f>
        <v/>
      </c>
      <c r="F58" s="12" t="str">
        <f>IF(D58="","",IF(OR(ISNUMBER(SEARCH("VISITA",D58)),ISNUMBER(SEARCH("RUTA",D58)),ISNUMBER(SEARCH("ARRIB",D58)),ISNUMBER(SEARCH("MATRIZ",D58)),ISNUMBER(SEARCH("PENDIENTE",D58))),"VISITA COORDINADA CON EL CLIENTE","N/A"))</f>
        <v>N/A</v>
      </c>
      <c r="G58" s="12" t="str">
        <f>"#ABC"</f>
        <v>#ABC</v>
      </c>
      <c r="H58" s="12" t="str">
        <f>IF(base!I58="","",base!I58)</f>
        <v>SAMEDAY</v>
      </c>
      <c r="I58" s="12" t="str">
        <f>IF(base!S58="","",base!S58)</f>
        <v>Prueba 56</v>
      </c>
      <c r="J58" s="12" t="str">
        <f>IF(base!T58="","",base!T58)</f>
        <v>Calle 123
Piso 2</v>
      </c>
      <c r="K58" s="12" t="str">
        <f>IF(base!U58="","",base!U58)</f>
        <v/>
      </c>
      <c r="L58" s="12" t="str">
        <f>IF(base!Y58="","",base!Y58)</f>
        <v/>
      </c>
      <c r="M58" s="12" t="str">
        <f>IF(base!AH58="","",base!AH58)</f>
        <v/>
      </c>
      <c r="N58" s="12" t="str">
        <f>IF(base!AI58="","",base!AI58)</f>
        <v>34.072273</v>
      </c>
      <c r="O58" s="12">
        <f>IF(base!BA58="","",base!BA58)</f>
        <v>1875</v>
      </c>
      <c r="P58" s="13">
        <f>IF(base!BK58="","",base!BK58)</f>
        <v>46303.805902777778</v>
      </c>
      <c r="Q58" s="15" t="str">
        <f>IF(base!BS58="","",base!BS58)</f>
        <v/>
      </c>
    </row>
    <row r="59" spans="1:17" ht="30" x14ac:dyDescent="0.35">
      <c r="A59" s="14">
        <f>IF(base!A59="","",base!A59)</f>
        <v>6200057</v>
      </c>
      <c r="B59" s="13">
        <f>IF(base!BN59="","",base!BN59)</f>
        <v>46303.625</v>
      </c>
      <c r="C59" s="12" t="str">
        <f>IF(base!C59="","",base!C59)</f>
        <v>ZETABURGOS SRL</v>
      </c>
      <c r="D59" s="12" t="str">
        <f>IF(base!E59="","",base!E59)</f>
        <v>1RVT - 1° VISITA</v>
      </c>
      <c r="E59" s="12" t="str">
        <f>IF(base!BF59="","",base!BF59)</f>
        <v/>
      </c>
      <c r="F59" s="12" t="str">
        <f>IF(D59="","",IF(OR(ISNUMBER(SEARCH("VISITA",D59)),ISNUMBER(SEARCH("RUTA",D59)),ISNUMBER(SEARCH("ARRIB",D59)),ISNUMBER(SEARCH("MATRIZ",D59)),ISNUMBER(SEARCH("PENDIENTE",D59))),"VISITA COORDINADA CON EL CLIENTE","N/A"))</f>
        <v>VISITA COORDINADA CON EL CLIENTE</v>
      </c>
      <c r="G59" s="12">
        <f>IF(base!G59="","",base!G59)</f>
        <v>470123456</v>
      </c>
      <c r="H59" s="12" t="str">
        <f>IF(base!I59="","",base!I59)</f>
        <v>FLEX</v>
      </c>
      <c r="I59" s="12" t="str">
        <f>IF(base!S59="","",base!S59)</f>
        <v>Prueba 57</v>
      </c>
      <c r="J59" s="12" t="str">
        <f>IF(base!T59="","",base!T59)</f>
        <v>Calle 123
Piso 2</v>
      </c>
      <c r="K59" s="12" t="str">
        <f>IF(base!U59="","",base!U59)</f>
        <v/>
      </c>
      <c r="L59" s="12" t="str">
        <f>IF(base!Y59="","",base!Y59)</f>
        <v/>
      </c>
      <c r="M59" s="12" t="str">
        <f>IF(base!AH59="","",base!AH59)</f>
        <v/>
      </c>
      <c r="N59" s="12" t="str">
        <f>IF(base!AI59="","",base!AI59)</f>
        <v>34.072273</v>
      </c>
      <c r="O59" s="12">
        <f>IF(base!BA59="","",base!BA59)</f>
        <v>1875</v>
      </c>
      <c r="P59" s="13">
        <f>IF(base!BK59="","",base!BK59)</f>
        <v>46303.805902777778</v>
      </c>
      <c r="Q59" s="15" t="str">
        <f>IF(base!BS59="","",base!BS59)</f>
        <v/>
      </c>
    </row>
    <row r="60" spans="1:17" ht="30" x14ac:dyDescent="0.35">
      <c r="A60" s="14">
        <f>IF(base!A60="","",base!A60)</f>
        <v>6200058</v>
      </c>
      <c r="B60" s="13">
        <f>IF(base!BN60="","",base!BN60)</f>
        <v>46303.625</v>
      </c>
      <c r="C60" s="12" t="str">
        <f>IF(base!C60="","",base!C60)</f>
        <v>ZETABURGOS SRL</v>
      </c>
      <c r="D60" s="12" t="str">
        <f>IF(base!E60="","",base!E60)</f>
        <v>ENTREGADO</v>
      </c>
      <c r="E60" s="12" t="str">
        <f>IF(base!BF60="","",base!BF60)</f>
        <v/>
      </c>
      <c r="F60" s="12" t="str">
        <f>IF(D60="","",IF(OR(ISNUMBER(SEARCH("VISITA",D60)),ISNUMBER(SEARCH("RUTA",D60)),ISNUMBER(SEARCH("ARRIB",D60)),ISNUMBER(SEARCH("MATRIZ",D60)),ISNUMBER(SEARCH("PENDIENTE",D60))),"VISITA COORDINADA CON EL CLIENTE","N/A"))</f>
        <v>N/A</v>
      </c>
      <c r="G60" s="12" t="str">
        <f>IF(base!G60="","",base!G60)</f>
        <v>ABC001</v>
      </c>
      <c r="H60" s="12" t="str">
        <f>IF(base!I60="","",base!I60)</f>
        <v>SAMEDAY</v>
      </c>
      <c r="I60" s="12" t="str">
        <f>IF(base!S60="","",base!S60)</f>
        <v>Prueba 58</v>
      </c>
      <c r="J60" s="12" t="str">
        <f>IF(base!T60="","",base!T60)</f>
        <v>Calle 123
Piso 2</v>
      </c>
      <c r="K60" s="12" t="str">
        <f>IF(base!U60="","",base!U60)</f>
        <v/>
      </c>
      <c r="L60" s="12" t="str">
        <f>IF(base!Y60="","",base!Y60)</f>
        <v/>
      </c>
      <c r="M60" s="12" t="str">
        <f>IF(base!AH60="","",base!AH60)</f>
        <v/>
      </c>
      <c r="N60" s="12" t="str">
        <f>IF(base!AI60="","",base!AI60)</f>
        <v>34.072273</v>
      </c>
      <c r="O60" s="12">
        <f>IF(base!BA60="","",base!BA60)</f>
        <v>1875</v>
      </c>
      <c r="P60" s="13">
        <f>IF(base!BK60="","",base!BK60)</f>
        <v>46303.805902777778</v>
      </c>
      <c r="Q60" s="15" t="str">
        <f>IF(base!BS60="","",base!BS60)</f>
        <v/>
      </c>
    </row>
    <row r="61" spans="1:17" ht="30" x14ac:dyDescent="0.35">
      <c r="A61" s="14">
        <f>IF(base!A61="","",base!A61)</f>
        <v>6200059</v>
      </c>
      <c r="B61" s="13">
        <f>IF(base!BN61="","",base!BN61)</f>
        <v>46303.625</v>
      </c>
      <c r="C61" s="12" t="str">
        <f>IF(base!C61="","",base!C61)</f>
        <v>ZETABURGOS SRL</v>
      </c>
      <c r="D61" s="12" t="str">
        <f>IF(base!E61="","",base!E61)</f>
        <v>REPROGRAMACIÓN</v>
      </c>
      <c r="E61" s="12" t="str">
        <f>IF(base!BF61="","",base!BF61)</f>
        <v/>
      </c>
      <c r="F61" s="12" t="str">
        <f>IF(D61="","",IF(OR(ISNUMBER(SEARCH("VISITA",D61)),ISNUMBER(SEARCH("RUTA",D61)),ISNUMBER(SEARCH("ARRIB",D61)),ISNUMBER(SEARCH("MATRIZ",D61)),ISNUMBER(SEARCH("PENDIENTE",D61))),"VISITA COORDINADA CON EL CLIENTE","N/A"))</f>
        <v>N/A</v>
      </c>
      <c r="G61" s="12" t="str">
        <f>IF(base!G61="","",base!G61)</f>
        <v>2000018857041302</v>
      </c>
      <c r="H61" s="12" t="str">
        <f>IF(base!I61="","",base!I61)</f>
        <v>FLEX</v>
      </c>
      <c r="I61" s="12" t="str">
        <f>IF(base!S61="","",base!S61)</f>
        <v>Prueba 59</v>
      </c>
      <c r="J61" s="12" t="str">
        <f>IF(base!T61="","",base!T61)</f>
        <v>Calle 123
Piso 2</v>
      </c>
      <c r="K61" s="12" t="str">
        <f>IF(base!U61="","",base!U61)</f>
        <v/>
      </c>
      <c r="L61" s="12" t="str">
        <f>IF(base!Y61="","",base!Y61)</f>
        <v/>
      </c>
      <c r="M61" s="12" t="str">
        <f>IF(base!AH61="","",base!AH61)</f>
        <v/>
      </c>
      <c r="N61" s="12" t="str">
        <f>IF(base!AI61="","",base!AI61)</f>
        <v>34.072273</v>
      </c>
      <c r="O61" s="12">
        <f>IF(base!BA61="","",base!BA61)</f>
        <v>1875</v>
      </c>
      <c r="P61" s="13">
        <f>IF(base!BK61="","",base!BK61)</f>
        <v>46303.805902777778</v>
      </c>
      <c r="Q61" s="15" t="str">
        <f>IF(base!BS61="","",base!BS61)</f>
        <v/>
      </c>
    </row>
    <row r="62" spans="1:17" ht="30" x14ac:dyDescent="0.35">
      <c r="A62" s="14">
        <f>IF(base!A62="","",base!A62)</f>
        <v>6200060</v>
      </c>
      <c r="B62" s="13">
        <f>IF(base!BN62="","",base!BN62)</f>
        <v>46303.625</v>
      </c>
      <c r="C62" s="12" t="str">
        <f>IF(base!C62="","",base!C62)</f>
        <v>ZETABURGOS SRL</v>
      </c>
      <c r="D62" s="12" t="str">
        <f>IF(base!E62="","",base!E62)</f>
        <v>1RVT - 1° VISITA</v>
      </c>
      <c r="E62" s="12" t="str">
        <f>IF(base!BF62="","",base!BF62)</f>
        <v/>
      </c>
      <c r="F62" s="12" t="str">
        <f>IF(D62="","",IF(OR(ISNUMBER(SEARCH("VISITA",D62)),ISNUMBER(SEARCH("RUTA",D62)),ISNUMBER(SEARCH("ARRIB",D62)),ISNUMBER(SEARCH("MATRIZ",D62)),ISNUMBER(SEARCH("PENDIENTE",D62))),"VISITA COORDINADA CON EL CLIENTE","N/A"))</f>
        <v>VISITA COORDINADA CON EL CLIENTE</v>
      </c>
      <c r="G62" s="12" t="str">
        <f>IF(base!G62="","",base!G62)</f>
        <v>001234</v>
      </c>
      <c r="H62" s="12" t="str">
        <f>IF(base!I62="","",base!I62)</f>
        <v>FLEX</v>
      </c>
      <c r="I62" s="12" t="str">
        <f>IF(base!S62="","",base!S62)</f>
        <v>Prueba 60</v>
      </c>
      <c r="J62" s="12" t="str">
        <f>IF(base!T62="","",base!T62)</f>
        <v>Calle 123
Piso 2</v>
      </c>
      <c r="K62" s="12" t="str">
        <f>IF(base!U62="","",base!U62)</f>
        <v/>
      </c>
      <c r="L62" s="12" t="str">
        <f>IF(base!Y62="","",base!Y62)</f>
        <v/>
      </c>
      <c r="M62" s="12" t="str">
        <f>IF(base!AH62="","",base!AH62)</f>
        <v/>
      </c>
      <c r="N62" s="12" t="str">
        <f>IF(base!AI62="","",base!AI62)</f>
        <v>34.072273</v>
      </c>
      <c r="O62" s="12">
        <f>IF(base!BA62="","",base!BA62)</f>
        <v>1875</v>
      </c>
      <c r="P62" s="13">
        <f>IF(base!BK62="","",base!BK62)</f>
        <v>46303.805902777778</v>
      </c>
      <c r="Q62" s="15" t="str">
        <f>IF(base!BS62="","",base!BS62)</f>
        <v/>
      </c>
    </row>
    <row r="63" spans="1:17" ht="30" x14ac:dyDescent="0.35">
      <c r="A63" s="14">
        <f>IF(base!A63="","",base!A63)</f>
        <v>6200061</v>
      </c>
      <c r="B63" s="13">
        <f>IF(base!BN63="","",base!BN63)</f>
        <v>46303.625</v>
      </c>
      <c r="C63" s="12" t="str">
        <f>IF(base!C63="","",base!C63)</f>
        <v>ZETABURGOS SRL</v>
      </c>
      <c r="D63" s="12" t="str">
        <f>IF(base!E63="","",base!E63)</f>
        <v>ENTREGADO</v>
      </c>
      <c r="E63" s="12" t="str">
        <f>IF(base!BF63="","",base!BF63)</f>
        <v/>
      </c>
      <c r="F63" s="12" t="str">
        <f>IF(D63="","",IF(OR(ISNUMBER(SEARCH("VISITA",D63)),ISNUMBER(SEARCH("RUTA",D63)),ISNUMBER(SEARCH("ARRIB",D63)),ISNUMBER(SEARCH("MATRIZ",D63)),ISNUMBER(SEARCH("PENDIENTE",D63))),"VISITA COORDINADA CON EL CLIENTE","N/A"))</f>
        <v>N/A</v>
      </c>
      <c r="G63" s="12" t="str">
        <f>"#ABC"</f>
        <v>#ABC</v>
      </c>
      <c r="H63" s="12" t="str">
        <f>IF(base!I63="","",base!I63)</f>
        <v>SAMEDAY</v>
      </c>
      <c r="I63" s="12" t="str">
        <f>IF(base!S63="","",base!S63)</f>
        <v>Prueba 61</v>
      </c>
      <c r="J63" s="12" t="str">
        <f>IF(base!T63="","",base!T63)</f>
        <v>Calle 123
Piso 2</v>
      </c>
      <c r="K63" s="12" t="str">
        <f>IF(base!U63="","",base!U63)</f>
        <v/>
      </c>
      <c r="L63" s="12" t="str">
        <f>IF(base!Y63="","",base!Y63)</f>
        <v/>
      </c>
      <c r="M63" s="12" t="str">
        <f>IF(base!AH63="","",base!AH63)</f>
        <v/>
      </c>
      <c r="N63" s="12" t="str">
        <f>IF(base!AI63="","",base!AI63)</f>
        <v>34.072273</v>
      </c>
      <c r="O63" s="12">
        <f>IF(base!BA63="","",base!BA63)</f>
        <v>1875</v>
      </c>
      <c r="P63" s="13">
        <f>IF(base!BK63="","",base!BK63)</f>
        <v>46303.805902777778</v>
      </c>
      <c r="Q63" s="15" t="str">
        <f>IF(base!BS63="","",base!BS63)</f>
        <v/>
      </c>
    </row>
    <row r="64" spans="1:17" ht="30" x14ac:dyDescent="0.35">
      <c r="A64" s="14">
        <f>IF(base!A64="","",base!A64)</f>
        <v>6200062</v>
      </c>
      <c r="B64" s="13">
        <f>IF(base!BN64="","",base!BN64)</f>
        <v>46303.625</v>
      </c>
      <c r="C64" s="12" t="str">
        <f>IF(base!C64="","",base!C64)</f>
        <v>ZETABURGOS SRL</v>
      </c>
      <c r="D64" s="12" t="str">
        <f>IF(base!E64="","",base!E64)</f>
        <v>REPROGRAMACIÓN</v>
      </c>
      <c r="E64" s="12" t="str">
        <f>IF(base!BF64="","",base!BF64)</f>
        <v/>
      </c>
      <c r="F64" s="12" t="str">
        <f>IF(D64="","",IF(OR(ISNUMBER(SEARCH("VISITA",D64)),ISNUMBER(SEARCH("RUTA",D64)),ISNUMBER(SEARCH("ARRIB",D64)),ISNUMBER(SEARCH("MATRIZ",D64)),ISNUMBER(SEARCH("PENDIENTE",D64))),"VISITA COORDINADA CON EL CLIENTE","N/A"))</f>
        <v>N/A</v>
      </c>
      <c r="G64" s="12">
        <f>IF(base!G64="","",base!G64)</f>
        <v>470123456</v>
      </c>
      <c r="H64" s="12" t="str">
        <f>IF(base!I64="","",base!I64)</f>
        <v>FLEX</v>
      </c>
      <c r="I64" s="12" t="str">
        <f>IF(base!S64="","",base!S64)</f>
        <v>Prueba 62</v>
      </c>
      <c r="J64" s="12" t="str">
        <f>IF(base!T64="","",base!T64)</f>
        <v>Calle 123
Piso 2</v>
      </c>
      <c r="K64" s="12" t="str">
        <f>IF(base!U64="","",base!U64)</f>
        <v/>
      </c>
      <c r="L64" s="12" t="str">
        <f>IF(base!Y64="","",base!Y64)</f>
        <v/>
      </c>
      <c r="M64" s="12" t="str">
        <f>IF(base!AH64="","",base!AH64)</f>
        <v/>
      </c>
      <c r="N64" s="12" t="str">
        <f>IF(base!AI64="","",base!AI64)</f>
        <v>34.072273</v>
      </c>
      <c r="O64" s="12">
        <f>IF(base!BA64="","",base!BA64)</f>
        <v>1875</v>
      </c>
      <c r="P64" s="13">
        <f>IF(base!BK64="","",base!BK64)</f>
        <v>46303.805902777778</v>
      </c>
      <c r="Q64" s="15" t="str">
        <f>IF(base!BS64="","",base!BS64)</f>
        <v/>
      </c>
    </row>
    <row r="65" spans="1:17" ht="30" x14ac:dyDescent="0.35">
      <c r="A65" s="14">
        <f>IF(base!A65="","",base!A65)</f>
        <v>6200063</v>
      </c>
      <c r="B65" s="13">
        <f>IF(base!BN65="","",base!BN65)</f>
        <v>46303.625</v>
      </c>
      <c r="C65" s="12" t="str">
        <f>IF(base!C65="","",base!C65)</f>
        <v>ZETABURGOS SRL</v>
      </c>
      <c r="D65" s="12" t="str">
        <f>IF(base!E65="","",base!E65)</f>
        <v>1RVT - 1° VISITA</v>
      </c>
      <c r="E65" s="12" t="str">
        <f>IF(base!BF65="","",base!BF65)</f>
        <v/>
      </c>
      <c r="F65" s="12" t="str">
        <f>IF(D65="","",IF(OR(ISNUMBER(SEARCH("VISITA",D65)),ISNUMBER(SEARCH("RUTA",D65)),ISNUMBER(SEARCH("ARRIB",D65)),ISNUMBER(SEARCH("MATRIZ",D65)),ISNUMBER(SEARCH("PENDIENTE",D65))),"VISITA COORDINADA CON EL CLIENTE","N/A"))</f>
        <v>VISITA COORDINADA CON EL CLIENTE</v>
      </c>
      <c r="G65" s="12" t="str">
        <f>IF(base!G65="","",base!G65)</f>
        <v>ABC001</v>
      </c>
      <c r="H65" s="12" t="str">
        <f>IF(base!I65="","",base!I65)</f>
        <v>SAMEDAY</v>
      </c>
      <c r="I65" s="12" t="str">
        <f>IF(base!S65="","",base!S65)</f>
        <v>Prueba 63</v>
      </c>
      <c r="J65" s="12" t="str">
        <f>IF(base!T65="","",base!T65)</f>
        <v>Calle 123
Piso 2</v>
      </c>
      <c r="K65" s="12" t="str">
        <f>IF(base!U65="","",base!U65)</f>
        <v/>
      </c>
      <c r="L65" s="12" t="str">
        <f>IF(base!Y65="","",base!Y65)</f>
        <v/>
      </c>
      <c r="M65" s="12" t="str">
        <f>IF(base!AH65="","",base!AH65)</f>
        <v/>
      </c>
      <c r="N65" s="12" t="str">
        <f>IF(base!AI65="","",base!AI65)</f>
        <v>34.072273</v>
      </c>
      <c r="O65" s="12">
        <f>IF(base!BA65="","",base!BA65)</f>
        <v>1875</v>
      </c>
      <c r="P65" s="13">
        <f>IF(base!BK65="","",base!BK65)</f>
        <v>46303.805902777778</v>
      </c>
      <c r="Q65" s="15" t="str">
        <f>IF(base!BS65="","",base!BS65)</f>
        <v/>
      </c>
    </row>
    <row r="66" spans="1:17" ht="30" x14ac:dyDescent="0.35">
      <c r="A66" s="14">
        <f>IF(base!A66="","",base!A66)</f>
        <v>6200064</v>
      </c>
      <c r="B66" s="13">
        <f>IF(base!BN66="","",base!BN66)</f>
        <v>46303.625</v>
      </c>
      <c r="C66" s="12" t="str">
        <f>IF(base!C66="","",base!C66)</f>
        <v>ZETABURGOS SRL</v>
      </c>
      <c r="D66" s="12" t="str">
        <f>IF(base!E66="","",base!E66)</f>
        <v>ENTREGADO</v>
      </c>
      <c r="E66" s="12" t="str">
        <f>IF(base!BF66="","",base!BF66)</f>
        <v/>
      </c>
      <c r="F66" s="12" t="str">
        <f>IF(D66="","",IF(OR(ISNUMBER(SEARCH("VISITA",D66)),ISNUMBER(SEARCH("RUTA",D66)),ISNUMBER(SEARCH("ARRIB",D66)),ISNUMBER(SEARCH("MATRIZ",D66)),ISNUMBER(SEARCH("PENDIENTE",D66))),"VISITA COORDINADA CON EL CLIENTE","N/A"))</f>
        <v>N/A</v>
      </c>
      <c r="G66" s="12" t="str">
        <f>IF(base!G66="","",base!G66)</f>
        <v>2000018857041302</v>
      </c>
      <c r="H66" s="12" t="str">
        <f>IF(base!I66="","",base!I66)</f>
        <v>FLEX</v>
      </c>
      <c r="I66" s="12" t="str">
        <f>IF(base!S66="","",base!S66)</f>
        <v>Prueba 64</v>
      </c>
      <c r="J66" s="12" t="str">
        <f>IF(base!T66="","",base!T66)</f>
        <v>Calle 123
Piso 2</v>
      </c>
      <c r="K66" s="12" t="str">
        <f>IF(base!U66="","",base!U66)</f>
        <v/>
      </c>
      <c r="L66" s="12" t="str">
        <f>IF(base!Y66="","",base!Y66)</f>
        <v/>
      </c>
      <c r="M66" s="12" t="str">
        <f>IF(base!AH66="","",base!AH66)</f>
        <v/>
      </c>
      <c r="N66" s="12" t="str">
        <f>IF(base!AI66="","",base!AI66)</f>
        <v>34.072273</v>
      </c>
      <c r="O66" s="12">
        <f>IF(base!BA66="","",base!BA66)</f>
        <v>1875</v>
      </c>
      <c r="P66" s="13">
        <f>IF(base!BK66="","",base!BK66)</f>
        <v>46303.805902777778</v>
      </c>
      <c r="Q66" s="15" t="str">
        <f>IF(base!BS66="","",base!BS66)</f>
        <v/>
      </c>
    </row>
    <row r="67" spans="1:17" ht="30" x14ac:dyDescent="0.35">
      <c r="A67" s="14">
        <f>IF(base!A67="","",base!A67)</f>
        <v>6200065</v>
      </c>
      <c r="B67" s="13">
        <f>IF(base!BN67="","",base!BN67)</f>
        <v>46303.625</v>
      </c>
      <c r="C67" s="12" t="str">
        <f>IF(base!C67="","",base!C67)</f>
        <v>ZETABURGOS SRL</v>
      </c>
      <c r="D67" s="12" t="str">
        <f>IF(base!E67="","",base!E67)</f>
        <v>REPROGRAMACIÓN</v>
      </c>
      <c r="E67" s="12" t="str">
        <f>IF(base!BF67="","",base!BF67)</f>
        <v/>
      </c>
      <c r="F67" s="12" t="str">
        <f>IF(D67="","",IF(OR(ISNUMBER(SEARCH("VISITA",D67)),ISNUMBER(SEARCH("RUTA",D67)),ISNUMBER(SEARCH("ARRIB",D67)),ISNUMBER(SEARCH("MATRIZ",D67)),ISNUMBER(SEARCH("PENDIENTE",D67))),"VISITA COORDINADA CON EL CLIENTE","N/A"))</f>
        <v>N/A</v>
      </c>
      <c r="G67" s="12" t="str">
        <f>IF(base!G67="","",base!G67)</f>
        <v>001234</v>
      </c>
      <c r="H67" s="12" t="str">
        <f>IF(base!I67="","",base!I67)</f>
        <v>FLEX</v>
      </c>
      <c r="I67" s="12" t="str">
        <f>IF(base!S67="","",base!S67)</f>
        <v>Prueba 65</v>
      </c>
      <c r="J67" s="12" t="str">
        <f>IF(base!T67="","",base!T67)</f>
        <v>Calle 123
Piso 2</v>
      </c>
      <c r="K67" s="12" t="str">
        <f>IF(base!U67="","",base!U67)</f>
        <v/>
      </c>
      <c r="L67" s="12" t="str">
        <f>IF(base!Y67="","",base!Y67)</f>
        <v/>
      </c>
      <c r="M67" s="12" t="str">
        <f>IF(base!AH67="","",base!AH67)</f>
        <v/>
      </c>
      <c r="N67" s="12" t="str">
        <f>IF(base!AI67="","",base!AI67)</f>
        <v>34.072273</v>
      </c>
      <c r="O67" s="12">
        <f>IF(base!BA67="","",base!BA67)</f>
        <v>1875</v>
      </c>
      <c r="P67" s="13">
        <f>IF(base!BK67="","",base!BK67)</f>
        <v>46303.805902777778</v>
      </c>
      <c r="Q67" s="15" t="str">
        <f>IF(base!BS67="","",base!BS67)</f>
        <v/>
      </c>
    </row>
    <row r="68" spans="1:17" ht="30" x14ac:dyDescent="0.35">
      <c r="A68" s="14">
        <f>IF(base!A68="","",base!A68)</f>
        <v>6200066</v>
      </c>
      <c r="B68" s="13">
        <f>IF(base!BN68="","",base!BN68)</f>
        <v>46303.625</v>
      </c>
      <c r="C68" s="12" t="str">
        <f>IF(base!C68="","",base!C68)</f>
        <v>ZETABURGOS SRL</v>
      </c>
      <c r="D68" s="12" t="str">
        <f>IF(base!E68="","",base!E68)</f>
        <v>1RVT - 1° VISITA</v>
      </c>
      <c r="E68" s="12" t="str">
        <f>IF(base!BF68="","",base!BF68)</f>
        <v/>
      </c>
      <c r="F68" s="12" t="str">
        <f>IF(D68="","",IF(OR(ISNUMBER(SEARCH("VISITA",D68)),ISNUMBER(SEARCH("RUTA",D68)),ISNUMBER(SEARCH("ARRIB",D68)),ISNUMBER(SEARCH("MATRIZ",D68)),ISNUMBER(SEARCH("PENDIENTE",D68))),"VISITA COORDINADA CON EL CLIENTE","N/A"))</f>
        <v>VISITA COORDINADA CON EL CLIENTE</v>
      </c>
      <c r="G68" s="12" t="str">
        <f>"#ABC"</f>
        <v>#ABC</v>
      </c>
      <c r="H68" s="12" t="str">
        <f>IF(base!I68="","",base!I68)</f>
        <v>SAMEDAY</v>
      </c>
      <c r="I68" s="12" t="str">
        <f>IF(base!S68="","",base!S68)</f>
        <v>Prueba 66</v>
      </c>
      <c r="J68" s="12" t="str">
        <f>IF(base!T68="","",base!T68)</f>
        <v>Calle 123
Piso 2</v>
      </c>
      <c r="K68" s="12" t="str">
        <f>IF(base!U68="","",base!U68)</f>
        <v/>
      </c>
      <c r="L68" s="12" t="str">
        <f>IF(base!Y68="","",base!Y68)</f>
        <v/>
      </c>
      <c r="M68" s="12" t="str">
        <f>IF(base!AH68="","",base!AH68)</f>
        <v/>
      </c>
      <c r="N68" s="12" t="str">
        <f>IF(base!AI68="","",base!AI68)</f>
        <v>34.072273</v>
      </c>
      <c r="O68" s="12">
        <f>IF(base!BA68="","",base!BA68)</f>
        <v>1875</v>
      </c>
      <c r="P68" s="13">
        <f>IF(base!BK68="","",base!BK68)</f>
        <v>46303.805902777778</v>
      </c>
      <c r="Q68" s="15" t="str">
        <f>IF(base!BS68="","",base!BS68)</f>
        <v/>
      </c>
    </row>
    <row r="69" spans="1:17" ht="30" x14ac:dyDescent="0.35">
      <c r="A69" s="14">
        <f>IF(base!A69="","",base!A69)</f>
        <v>6200067</v>
      </c>
      <c r="B69" s="13">
        <f>IF(base!BN69="","",base!BN69)</f>
        <v>46303.625</v>
      </c>
      <c r="C69" s="12" t="str">
        <f>IF(base!C69="","",base!C69)</f>
        <v>ZETABURGOS SRL</v>
      </c>
      <c r="D69" s="12" t="str">
        <f>IF(base!E69="","",base!E69)</f>
        <v>ENTREGADO</v>
      </c>
      <c r="E69" s="12" t="str">
        <f>IF(base!BF69="","",base!BF69)</f>
        <v/>
      </c>
      <c r="F69" s="12" t="str">
        <f>IF(D69="","",IF(OR(ISNUMBER(SEARCH("VISITA",D69)),ISNUMBER(SEARCH("RUTA",D69)),ISNUMBER(SEARCH("ARRIB",D69)),ISNUMBER(SEARCH("MATRIZ",D69)),ISNUMBER(SEARCH("PENDIENTE",D69))),"VISITA COORDINADA CON EL CLIENTE","N/A"))</f>
        <v>N/A</v>
      </c>
      <c r="G69" s="12">
        <f>IF(base!G69="","",base!G69)</f>
        <v>470123456</v>
      </c>
      <c r="H69" s="12" t="str">
        <f>IF(base!I69="","",base!I69)</f>
        <v>FLEX</v>
      </c>
      <c r="I69" s="12" t="str">
        <f>IF(base!S69="","",base!S69)</f>
        <v>Prueba 67</v>
      </c>
      <c r="J69" s="12" t="str">
        <f>IF(base!T69="","",base!T69)</f>
        <v>Calle 123
Piso 2</v>
      </c>
      <c r="K69" s="12" t="str">
        <f>IF(base!U69="","",base!U69)</f>
        <v/>
      </c>
      <c r="L69" s="12" t="str">
        <f>IF(base!Y69="","",base!Y69)</f>
        <v/>
      </c>
      <c r="M69" s="12" t="str">
        <f>IF(base!AH69="","",base!AH69)</f>
        <v/>
      </c>
      <c r="N69" s="12" t="str">
        <f>IF(base!AI69="","",base!AI69)</f>
        <v>34.072273</v>
      </c>
      <c r="O69" s="12">
        <f>IF(base!BA69="","",base!BA69)</f>
        <v>1875</v>
      </c>
      <c r="P69" s="13">
        <f>IF(base!BK69="","",base!BK69)</f>
        <v>46303.805902777778</v>
      </c>
      <c r="Q69" s="15" t="str">
        <f>IF(base!BS69="","",base!BS69)</f>
        <v/>
      </c>
    </row>
    <row r="70" spans="1:17" ht="30" x14ac:dyDescent="0.35">
      <c r="A70" s="14">
        <f>IF(base!A70="","",base!A70)</f>
        <v>6200068</v>
      </c>
      <c r="B70" s="13">
        <f>IF(base!BN70="","",base!BN70)</f>
        <v>46303.625</v>
      </c>
      <c r="C70" s="12" t="str">
        <f>IF(base!C70="","",base!C70)</f>
        <v>ZETABURGOS SRL</v>
      </c>
      <c r="D70" s="12" t="str">
        <f>IF(base!E70="","",base!E70)</f>
        <v>REPROGRAMACIÓN</v>
      </c>
      <c r="E70" s="12" t="str">
        <f>IF(base!BF70="","",base!BF70)</f>
        <v/>
      </c>
      <c r="F70" s="12" t="str">
        <f>IF(D70="","",IF(OR(ISNUMBER(SEARCH("VISITA",D70)),ISNUMBER(SEARCH("RUTA",D70)),ISNUMBER(SEARCH("ARRIB",D70)),ISNUMBER(SEARCH("MATRIZ",D70)),ISNUMBER(SEARCH("PENDIENTE",D70))),"VISITA COORDINADA CON EL CLIENTE","N/A"))</f>
        <v>N/A</v>
      </c>
      <c r="G70" s="12" t="str">
        <f>IF(base!G70="","",base!G70)</f>
        <v>ABC001</v>
      </c>
      <c r="H70" s="12" t="str">
        <f>IF(base!I70="","",base!I70)</f>
        <v>SAMEDAY</v>
      </c>
      <c r="I70" s="12" t="str">
        <f>IF(base!S70="","",base!S70)</f>
        <v>Prueba 68</v>
      </c>
      <c r="J70" s="12" t="str">
        <f>IF(base!T70="","",base!T70)</f>
        <v>Calle 123
Piso 2</v>
      </c>
      <c r="K70" s="12" t="str">
        <f>IF(base!U70="","",base!U70)</f>
        <v/>
      </c>
      <c r="L70" s="12" t="str">
        <f>IF(base!Y70="","",base!Y70)</f>
        <v/>
      </c>
      <c r="M70" s="12" t="str">
        <f>IF(base!AH70="","",base!AH70)</f>
        <v/>
      </c>
      <c r="N70" s="12" t="str">
        <f>IF(base!AI70="","",base!AI70)</f>
        <v>34.072273</v>
      </c>
      <c r="O70" s="12">
        <f>IF(base!BA70="","",base!BA70)</f>
        <v>1875</v>
      </c>
      <c r="P70" s="13">
        <f>IF(base!BK70="","",base!BK70)</f>
        <v>46303.805902777778</v>
      </c>
      <c r="Q70" s="15" t="str">
        <f>IF(base!BS70="","",base!BS70)</f>
        <v/>
      </c>
    </row>
    <row r="71" spans="1:17" ht="30" x14ac:dyDescent="0.35">
      <c r="A71" s="14">
        <f>IF(base!A71="","",base!A71)</f>
        <v>6200069</v>
      </c>
      <c r="B71" s="13">
        <f>IF(base!BN71="","",base!BN71)</f>
        <v>46303.625</v>
      </c>
      <c r="C71" s="12" t="str">
        <f>IF(base!C71="","",base!C71)</f>
        <v>ZETABURGOS SRL</v>
      </c>
      <c r="D71" s="12" t="str">
        <f>IF(base!E71="","",base!E71)</f>
        <v>1RVT - 1° VISITA</v>
      </c>
      <c r="E71" s="12" t="str">
        <f>IF(base!BF71="","",base!BF71)</f>
        <v/>
      </c>
      <c r="F71" s="12" t="str">
        <f>IF(D71="","",IF(OR(ISNUMBER(SEARCH("VISITA",D71)),ISNUMBER(SEARCH("RUTA",D71)),ISNUMBER(SEARCH("ARRIB",D71)),ISNUMBER(SEARCH("MATRIZ",D71)),ISNUMBER(SEARCH("PENDIENTE",D71))),"VISITA COORDINADA CON EL CLIENTE","N/A"))</f>
        <v>VISITA COORDINADA CON EL CLIENTE</v>
      </c>
      <c r="G71" s="12" t="str">
        <f>IF(base!G71="","",base!G71)</f>
        <v>2000018857041302</v>
      </c>
      <c r="H71" s="12" t="str">
        <f>IF(base!I71="","",base!I71)</f>
        <v>FLEX</v>
      </c>
      <c r="I71" s="12" t="str">
        <f>IF(base!S71="","",base!S71)</f>
        <v>Prueba 69</v>
      </c>
      <c r="J71" s="12" t="str">
        <f>IF(base!T71="","",base!T71)</f>
        <v>Calle 123
Piso 2</v>
      </c>
      <c r="K71" s="12" t="str">
        <f>IF(base!U71="","",base!U71)</f>
        <v/>
      </c>
      <c r="L71" s="12" t="str">
        <f>IF(base!Y71="","",base!Y71)</f>
        <v/>
      </c>
      <c r="M71" s="12" t="str">
        <f>IF(base!AH71="","",base!AH71)</f>
        <v/>
      </c>
      <c r="N71" s="12" t="str">
        <f>IF(base!AI71="","",base!AI71)</f>
        <v>34.072273</v>
      </c>
      <c r="O71" s="12">
        <f>IF(base!BA71="","",base!BA71)</f>
        <v>1875</v>
      </c>
      <c r="P71" s="13">
        <f>IF(base!BK71="","",base!BK71)</f>
        <v>46303.805902777778</v>
      </c>
      <c r="Q71" s="15" t="str">
        <f>IF(base!BS71="","",base!BS71)</f>
        <v/>
      </c>
    </row>
    <row r="72" spans="1:17" ht="30" x14ac:dyDescent="0.35">
      <c r="A72" s="14">
        <f>IF(base!A72="","",base!A72)</f>
        <v>6200070</v>
      </c>
      <c r="B72" s="13">
        <f>IF(base!BN72="","",base!BN72)</f>
        <v>46303.625</v>
      </c>
      <c r="C72" s="12" t="str">
        <f>IF(base!C72="","",base!C72)</f>
        <v>ZETABURGOS SRL</v>
      </c>
      <c r="D72" s="12" t="str">
        <f>IF(base!E72="","",base!E72)</f>
        <v>ENTREGADO</v>
      </c>
      <c r="E72" s="12" t="str">
        <f>IF(base!BF72="","",base!BF72)</f>
        <v/>
      </c>
      <c r="F72" s="12" t="str">
        <f>IF(D72="","",IF(OR(ISNUMBER(SEARCH("VISITA",D72)),ISNUMBER(SEARCH("RUTA",D72)),ISNUMBER(SEARCH("ARRIB",D72)),ISNUMBER(SEARCH("MATRIZ",D72)),ISNUMBER(SEARCH("PENDIENTE",D72))),"VISITA COORDINADA CON EL CLIENTE","N/A"))</f>
        <v>N/A</v>
      </c>
      <c r="G72" s="12" t="str">
        <f>IF(base!G72="","",base!G72)</f>
        <v>001234</v>
      </c>
      <c r="H72" s="12" t="str">
        <f>IF(base!I72="","",base!I72)</f>
        <v>FLEX</v>
      </c>
      <c r="I72" s="12" t="str">
        <f>IF(base!S72="","",base!S72)</f>
        <v>Prueba 70</v>
      </c>
      <c r="J72" s="12" t="str">
        <f>IF(base!T72="","",base!T72)</f>
        <v>Calle 123
Piso 2</v>
      </c>
      <c r="K72" s="12" t="str">
        <f>IF(base!U72="","",base!U72)</f>
        <v/>
      </c>
      <c r="L72" s="12" t="str">
        <f>IF(base!Y72="","",base!Y72)</f>
        <v/>
      </c>
      <c r="M72" s="12" t="str">
        <f>IF(base!AH72="","",base!AH72)</f>
        <v/>
      </c>
      <c r="N72" s="12" t="str">
        <f>IF(base!AI72="","",base!AI72)</f>
        <v>34.072273</v>
      </c>
      <c r="O72" s="12">
        <f>IF(base!BA72="","",base!BA72)</f>
        <v>1875</v>
      </c>
      <c r="P72" s="13">
        <f>IF(base!BK72="","",base!BK72)</f>
        <v>46303.805902777778</v>
      </c>
      <c r="Q72" s="15" t="str">
        <f>IF(base!BS72="","",base!BS72)</f>
        <v/>
      </c>
    </row>
    <row r="73" spans="1:17" ht="30" x14ac:dyDescent="0.35">
      <c r="A73" s="14">
        <f>IF(base!A73="","",base!A73)</f>
        <v>6200071</v>
      </c>
      <c r="B73" s="13">
        <f>IF(base!BN73="","",base!BN73)</f>
        <v>46303.625</v>
      </c>
      <c r="C73" s="12" t="str">
        <f>IF(base!C73="","",base!C73)</f>
        <v>ZETABURGOS SRL</v>
      </c>
      <c r="D73" s="12" t="str">
        <f>IF(base!E73="","",base!E73)</f>
        <v>REPROGRAMACIÓN</v>
      </c>
      <c r="E73" s="12" t="str">
        <f>IF(base!BF73="","",base!BF73)</f>
        <v/>
      </c>
      <c r="F73" s="12" t="str">
        <f>IF(D73="","",IF(OR(ISNUMBER(SEARCH("VISITA",D73)),ISNUMBER(SEARCH("RUTA",D73)),ISNUMBER(SEARCH("ARRIB",D73)),ISNUMBER(SEARCH("MATRIZ",D73)),ISNUMBER(SEARCH("PENDIENTE",D73))),"VISITA COORDINADA CON EL CLIENTE","N/A"))</f>
        <v>N/A</v>
      </c>
      <c r="G73" s="12" t="str">
        <f>"#ABC"</f>
        <v>#ABC</v>
      </c>
      <c r="H73" s="12" t="str">
        <f>IF(base!I73="","",base!I73)</f>
        <v>SAMEDAY</v>
      </c>
      <c r="I73" s="12" t="str">
        <f>IF(base!S73="","",base!S73)</f>
        <v>Prueba 71</v>
      </c>
      <c r="J73" s="12" t="str">
        <f>IF(base!T73="","",base!T73)</f>
        <v>Calle 123
Piso 2</v>
      </c>
      <c r="K73" s="12" t="str">
        <f>IF(base!U73="","",base!U73)</f>
        <v/>
      </c>
      <c r="L73" s="12" t="str">
        <f>IF(base!Y73="","",base!Y73)</f>
        <v/>
      </c>
      <c r="M73" s="12" t="str">
        <f>IF(base!AH73="","",base!AH73)</f>
        <v/>
      </c>
      <c r="N73" s="12" t="str">
        <f>IF(base!AI73="","",base!AI73)</f>
        <v>34.072273</v>
      </c>
      <c r="O73" s="12">
        <f>IF(base!BA73="","",base!BA73)</f>
        <v>1875</v>
      </c>
      <c r="P73" s="13">
        <f>IF(base!BK73="","",base!BK73)</f>
        <v>46303.805902777778</v>
      </c>
      <c r="Q73" s="15" t="str">
        <f>IF(base!BS73="","",base!BS73)</f>
        <v/>
      </c>
    </row>
    <row r="74" spans="1:17" ht="30" x14ac:dyDescent="0.35">
      <c r="A74" s="14">
        <f>IF(base!A74="","",base!A74)</f>
        <v>6200072</v>
      </c>
      <c r="B74" s="13">
        <f>IF(base!BN74="","",base!BN74)</f>
        <v>46303.625</v>
      </c>
      <c r="C74" s="12" t="str">
        <f>IF(base!C74="","",base!C74)</f>
        <v>ZETABURGOS SRL</v>
      </c>
      <c r="D74" s="12" t="str">
        <f>IF(base!E74="","",base!E74)</f>
        <v>1RVT - 1° VISITA</v>
      </c>
      <c r="E74" s="12" t="str">
        <f>IF(base!BF74="","",base!BF74)</f>
        <v/>
      </c>
      <c r="F74" s="12" t="str">
        <f>IF(D74="","",IF(OR(ISNUMBER(SEARCH("VISITA",D74)),ISNUMBER(SEARCH("RUTA",D74)),ISNUMBER(SEARCH("ARRIB",D74)),ISNUMBER(SEARCH("MATRIZ",D74)),ISNUMBER(SEARCH("PENDIENTE",D74))),"VISITA COORDINADA CON EL CLIENTE","N/A"))</f>
        <v>VISITA COORDINADA CON EL CLIENTE</v>
      </c>
      <c r="G74" s="12">
        <f>IF(base!G74="","",base!G74)</f>
        <v>470123456</v>
      </c>
      <c r="H74" s="12" t="str">
        <f>IF(base!I74="","",base!I74)</f>
        <v>FLEX</v>
      </c>
      <c r="I74" s="12" t="str">
        <f>IF(base!S74="","",base!S74)</f>
        <v>Prueba 72</v>
      </c>
      <c r="J74" s="12" t="str">
        <f>IF(base!T74="","",base!T74)</f>
        <v>Calle 123
Piso 2</v>
      </c>
      <c r="K74" s="12" t="str">
        <f>IF(base!U74="","",base!U74)</f>
        <v/>
      </c>
      <c r="L74" s="12" t="str">
        <f>IF(base!Y74="","",base!Y74)</f>
        <v/>
      </c>
      <c r="M74" s="12" t="str">
        <f>IF(base!AH74="","",base!AH74)</f>
        <v/>
      </c>
      <c r="N74" s="12" t="str">
        <f>IF(base!AI74="","",base!AI74)</f>
        <v>34.072273</v>
      </c>
      <c r="O74" s="12">
        <f>IF(base!BA74="","",base!BA74)</f>
        <v>1875</v>
      </c>
      <c r="P74" s="13">
        <f>IF(base!BK74="","",base!BK74)</f>
        <v>46303.805902777778</v>
      </c>
      <c r="Q74" s="15" t="str">
        <f>IF(base!BS74="","",base!BS74)</f>
        <v/>
      </c>
    </row>
    <row r="75" spans="1:17" ht="30" x14ac:dyDescent="0.35">
      <c r="A75" s="14">
        <f>IF(base!A75="","",base!A75)</f>
        <v>6200073</v>
      </c>
      <c r="B75" s="13">
        <f>IF(base!BN75="","",base!BN75)</f>
        <v>46303.625</v>
      </c>
      <c r="C75" s="12" t="str">
        <f>IF(base!C75="","",base!C75)</f>
        <v>ZETABURGOS SRL</v>
      </c>
      <c r="D75" s="12" t="str">
        <f>IF(base!E75="","",base!E75)</f>
        <v>ENTREGADO</v>
      </c>
      <c r="E75" s="12" t="str">
        <f>IF(base!BF75="","",base!BF75)</f>
        <v/>
      </c>
      <c r="F75" s="12" t="str">
        <f>IF(D75="","",IF(OR(ISNUMBER(SEARCH("VISITA",D75)),ISNUMBER(SEARCH("RUTA",D75)),ISNUMBER(SEARCH("ARRIB",D75)),ISNUMBER(SEARCH("MATRIZ",D75)),ISNUMBER(SEARCH("PENDIENTE",D75))),"VISITA COORDINADA CON EL CLIENTE","N/A"))</f>
        <v>N/A</v>
      </c>
      <c r="G75" s="12" t="str">
        <f>IF(base!G75="","",base!G75)</f>
        <v>ABC001</v>
      </c>
      <c r="H75" s="12" t="str">
        <f>IF(base!I75="","",base!I75)</f>
        <v>SAMEDAY</v>
      </c>
      <c r="I75" s="12" t="str">
        <f>IF(base!S75="","",base!S75)</f>
        <v>Prueba 73</v>
      </c>
      <c r="J75" s="12" t="str">
        <f>IF(base!T75="","",base!T75)</f>
        <v>Calle 123
Piso 2</v>
      </c>
      <c r="K75" s="12" t="str">
        <f>IF(base!U75="","",base!U75)</f>
        <v/>
      </c>
      <c r="L75" s="12" t="str">
        <f>IF(base!Y75="","",base!Y75)</f>
        <v/>
      </c>
      <c r="M75" s="12" t="str">
        <f>IF(base!AH75="","",base!AH75)</f>
        <v/>
      </c>
      <c r="N75" s="12" t="str">
        <f>IF(base!AI75="","",base!AI75)</f>
        <v>34.072273</v>
      </c>
      <c r="O75" s="12">
        <f>IF(base!BA75="","",base!BA75)</f>
        <v>1875</v>
      </c>
      <c r="P75" s="13">
        <f>IF(base!BK75="","",base!BK75)</f>
        <v>46303.805902777778</v>
      </c>
      <c r="Q75" s="15" t="str">
        <f>IF(base!BS75="","",base!BS75)</f>
        <v/>
      </c>
    </row>
    <row r="76" spans="1:17" ht="30" x14ac:dyDescent="0.35">
      <c r="A76" s="14">
        <f>IF(base!A76="","",base!A76)</f>
        <v>6200074</v>
      </c>
      <c r="B76" s="13">
        <f>IF(base!BN76="","",base!BN76)</f>
        <v>46303.625</v>
      </c>
      <c r="C76" s="12" t="str">
        <f>IF(base!C76="","",base!C76)</f>
        <v>ZETABURGOS SRL</v>
      </c>
      <c r="D76" s="12" t="str">
        <f>IF(base!E76="","",base!E76)</f>
        <v>REPROGRAMACIÓN</v>
      </c>
      <c r="E76" s="12" t="str">
        <f>IF(base!BF76="","",base!BF76)</f>
        <v/>
      </c>
      <c r="F76" s="12" t="str">
        <f>IF(D76="","",IF(OR(ISNUMBER(SEARCH("VISITA",D76)),ISNUMBER(SEARCH("RUTA",D76)),ISNUMBER(SEARCH("ARRIB",D76)),ISNUMBER(SEARCH("MATRIZ",D76)),ISNUMBER(SEARCH("PENDIENTE",D76))),"VISITA COORDINADA CON EL CLIENTE","N/A"))</f>
        <v>N/A</v>
      </c>
      <c r="G76" s="12" t="str">
        <f>IF(base!G76="","",base!G76)</f>
        <v>2000018857041302</v>
      </c>
      <c r="H76" s="12" t="str">
        <f>IF(base!I76="","",base!I76)</f>
        <v>FLEX</v>
      </c>
      <c r="I76" s="12" t="str">
        <f>IF(base!S76="","",base!S76)</f>
        <v>Prueba 74</v>
      </c>
      <c r="J76" s="12" t="str">
        <f>IF(base!T76="","",base!T76)</f>
        <v>Calle 123
Piso 2</v>
      </c>
      <c r="K76" s="12" t="str">
        <f>IF(base!U76="","",base!U76)</f>
        <v/>
      </c>
      <c r="L76" s="12" t="str">
        <f>IF(base!Y76="","",base!Y76)</f>
        <v/>
      </c>
      <c r="M76" s="12" t="str">
        <f>IF(base!AH76="","",base!AH76)</f>
        <v/>
      </c>
      <c r="N76" s="12" t="str">
        <f>IF(base!AI76="","",base!AI76)</f>
        <v>34.072273</v>
      </c>
      <c r="O76" s="12">
        <f>IF(base!BA76="","",base!BA76)</f>
        <v>1875</v>
      </c>
      <c r="P76" s="13">
        <f>IF(base!BK76="","",base!BK76)</f>
        <v>46303.805902777778</v>
      </c>
      <c r="Q76" s="15" t="str">
        <f>IF(base!BS76="","",base!BS76)</f>
        <v/>
      </c>
    </row>
    <row r="77" spans="1:17" ht="30" x14ac:dyDescent="0.35">
      <c r="A77" s="14">
        <f>IF(base!A77="","",base!A77)</f>
        <v>6200075</v>
      </c>
      <c r="B77" s="13">
        <f>IF(base!BN77="","",base!BN77)</f>
        <v>46303.625</v>
      </c>
      <c r="C77" s="12" t="str">
        <f>IF(base!C77="","",base!C77)</f>
        <v>ZETABURGOS SRL</v>
      </c>
      <c r="D77" s="12" t="str">
        <f>IF(base!E77="","",base!E77)</f>
        <v>1RVT - 1° VISITA</v>
      </c>
      <c r="E77" s="12" t="str">
        <f>IF(base!BF77="","",base!BF77)</f>
        <v/>
      </c>
      <c r="F77" s="12" t="str">
        <f>IF(D77="","",IF(OR(ISNUMBER(SEARCH("VISITA",D77)),ISNUMBER(SEARCH("RUTA",D77)),ISNUMBER(SEARCH("ARRIB",D77)),ISNUMBER(SEARCH("MATRIZ",D77)),ISNUMBER(SEARCH("PENDIENTE",D77))),"VISITA COORDINADA CON EL CLIENTE","N/A"))</f>
        <v>VISITA COORDINADA CON EL CLIENTE</v>
      </c>
      <c r="G77" s="12" t="str">
        <f>IF(base!G77="","",base!G77)</f>
        <v>001234</v>
      </c>
      <c r="H77" s="12" t="str">
        <f>IF(base!I77="","",base!I77)</f>
        <v>FLEX</v>
      </c>
      <c r="I77" s="12" t="str">
        <f>IF(base!S77="","",base!S77)</f>
        <v>Prueba 75</v>
      </c>
      <c r="J77" s="12" t="str">
        <f>IF(base!T77="","",base!T77)</f>
        <v>Calle 123
Piso 2</v>
      </c>
      <c r="K77" s="12" t="str">
        <f>IF(base!U77="","",base!U77)</f>
        <v/>
      </c>
      <c r="L77" s="12" t="str">
        <f>IF(base!Y77="","",base!Y77)</f>
        <v/>
      </c>
      <c r="M77" s="12" t="str">
        <f>IF(base!AH77="","",base!AH77)</f>
        <v/>
      </c>
      <c r="N77" s="12" t="str">
        <f>IF(base!AI77="","",base!AI77)</f>
        <v>34.072273</v>
      </c>
      <c r="O77" s="12">
        <f>IF(base!BA77="","",base!BA77)</f>
        <v>1875</v>
      </c>
      <c r="P77" s="13">
        <f>IF(base!BK77="","",base!BK77)</f>
        <v>46303.805902777778</v>
      </c>
      <c r="Q77" s="15" t="str">
        <f>IF(base!BS77="","",base!BS77)</f>
        <v/>
      </c>
    </row>
    <row r="78" spans="1:17" ht="30" x14ac:dyDescent="0.35">
      <c r="A78" s="14">
        <f>IF(base!A78="","",base!A78)</f>
        <v>6200076</v>
      </c>
      <c r="B78" s="13">
        <f>IF(base!BN78="","",base!BN78)</f>
        <v>46303.625</v>
      </c>
      <c r="C78" s="12" t="str">
        <f>IF(base!C78="","",base!C78)</f>
        <v>ZETABURGOS SRL</v>
      </c>
      <c r="D78" s="12" t="str">
        <f>IF(base!E78="","",base!E78)</f>
        <v>ENTREGADO</v>
      </c>
      <c r="E78" s="12" t="str">
        <f>IF(base!BF78="","",base!BF78)</f>
        <v/>
      </c>
      <c r="F78" s="12" t="str">
        <f>IF(D78="","",IF(OR(ISNUMBER(SEARCH("VISITA",D78)),ISNUMBER(SEARCH("RUTA",D78)),ISNUMBER(SEARCH("ARRIB",D78)),ISNUMBER(SEARCH("MATRIZ",D78)),ISNUMBER(SEARCH("PENDIENTE",D78))),"VISITA COORDINADA CON EL CLIENTE","N/A"))</f>
        <v>N/A</v>
      </c>
      <c r="G78" s="12" t="str">
        <f>"#ABC"</f>
        <v>#ABC</v>
      </c>
      <c r="H78" s="12" t="str">
        <f>IF(base!I78="","",base!I78)</f>
        <v>SAMEDAY</v>
      </c>
      <c r="I78" s="12" t="str">
        <f>IF(base!S78="","",base!S78)</f>
        <v>Prueba 76</v>
      </c>
      <c r="J78" s="12" t="str">
        <f>IF(base!T78="","",base!T78)</f>
        <v>Calle 123
Piso 2</v>
      </c>
      <c r="K78" s="12" t="str">
        <f>IF(base!U78="","",base!U78)</f>
        <v/>
      </c>
      <c r="L78" s="12" t="str">
        <f>IF(base!Y78="","",base!Y78)</f>
        <v/>
      </c>
      <c r="M78" s="12" t="str">
        <f>IF(base!AH78="","",base!AH78)</f>
        <v/>
      </c>
      <c r="N78" s="12" t="str">
        <f>IF(base!AI78="","",base!AI78)</f>
        <v>34.072273</v>
      </c>
      <c r="O78" s="12">
        <f>IF(base!BA78="","",base!BA78)</f>
        <v>1875</v>
      </c>
      <c r="P78" s="13">
        <f>IF(base!BK78="","",base!BK78)</f>
        <v>46303.805902777778</v>
      </c>
      <c r="Q78" s="15" t="str">
        <f>IF(base!BS78="","",base!BS78)</f>
        <v/>
      </c>
    </row>
    <row r="79" spans="1:17" ht="30" x14ac:dyDescent="0.35">
      <c r="A79" s="14">
        <f>IF(base!A79="","",base!A79)</f>
        <v>6200077</v>
      </c>
      <c r="B79" s="13">
        <f>IF(base!BN79="","",base!BN79)</f>
        <v>46303.625</v>
      </c>
      <c r="C79" s="12" t="str">
        <f>IF(base!C79="","",base!C79)</f>
        <v>ZETABURGOS SRL</v>
      </c>
      <c r="D79" s="12" t="str">
        <f>IF(base!E79="","",base!E79)</f>
        <v>REPROGRAMACIÓN</v>
      </c>
      <c r="E79" s="12" t="str">
        <f>IF(base!BF79="","",base!BF79)</f>
        <v/>
      </c>
      <c r="F79" s="12" t="str">
        <f>IF(D79="","",IF(OR(ISNUMBER(SEARCH("VISITA",D79)),ISNUMBER(SEARCH("RUTA",D79)),ISNUMBER(SEARCH("ARRIB",D79)),ISNUMBER(SEARCH("MATRIZ",D79)),ISNUMBER(SEARCH("PENDIENTE",D79))),"VISITA COORDINADA CON EL CLIENTE","N/A"))</f>
        <v>N/A</v>
      </c>
      <c r="G79" s="12">
        <f>IF(base!G79="","",base!G79)</f>
        <v>470123456</v>
      </c>
      <c r="H79" s="12" t="str">
        <f>IF(base!I79="","",base!I79)</f>
        <v>FLEX</v>
      </c>
      <c r="I79" s="12" t="str">
        <f>IF(base!S79="","",base!S79)</f>
        <v>Prueba 77</v>
      </c>
      <c r="J79" s="12" t="str">
        <f>IF(base!T79="","",base!T79)</f>
        <v>Calle 123
Piso 2</v>
      </c>
      <c r="K79" s="12" t="str">
        <f>IF(base!U79="","",base!U79)</f>
        <v/>
      </c>
      <c r="L79" s="12" t="str">
        <f>IF(base!Y79="","",base!Y79)</f>
        <v/>
      </c>
      <c r="M79" s="12" t="str">
        <f>IF(base!AH79="","",base!AH79)</f>
        <v/>
      </c>
      <c r="N79" s="12" t="str">
        <f>IF(base!AI79="","",base!AI79)</f>
        <v>34.072273</v>
      </c>
      <c r="O79" s="12">
        <f>IF(base!BA79="","",base!BA79)</f>
        <v>1875</v>
      </c>
      <c r="P79" s="13">
        <f>IF(base!BK79="","",base!BK79)</f>
        <v>46303.805902777778</v>
      </c>
      <c r="Q79" s="15" t="str">
        <f>IF(base!BS79="","",base!BS79)</f>
        <v/>
      </c>
    </row>
    <row r="80" spans="1:17" ht="30" x14ac:dyDescent="0.35">
      <c r="A80" s="14">
        <f>IF(base!A80="","",base!A80)</f>
        <v>6200078</v>
      </c>
      <c r="B80" s="13">
        <f>IF(base!BN80="","",base!BN80)</f>
        <v>46303.625</v>
      </c>
      <c r="C80" s="12" t="str">
        <f>IF(base!C80="","",base!C80)</f>
        <v>ZETABURGOS SRL</v>
      </c>
      <c r="D80" s="12" t="str">
        <f>IF(base!E80="","",base!E80)</f>
        <v>1RVT - 1° VISITA</v>
      </c>
      <c r="E80" s="12" t="str">
        <f>IF(base!BF80="","",base!BF80)</f>
        <v/>
      </c>
      <c r="F80" s="12" t="str">
        <f>IF(D80="","",IF(OR(ISNUMBER(SEARCH("VISITA",D80)),ISNUMBER(SEARCH("RUTA",D80)),ISNUMBER(SEARCH("ARRIB",D80)),ISNUMBER(SEARCH("MATRIZ",D80)),ISNUMBER(SEARCH("PENDIENTE",D80))),"VISITA COORDINADA CON EL CLIENTE","N/A"))</f>
        <v>VISITA COORDINADA CON EL CLIENTE</v>
      </c>
      <c r="G80" s="12" t="str">
        <f>IF(base!G80="","",base!G80)</f>
        <v>ABC001</v>
      </c>
      <c r="H80" s="12" t="str">
        <f>IF(base!I80="","",base!I80)</f>
        <v>SAMEDAY</v>
      </c>
      <c r="I80" s="12" t="str">
        <f>IF(base!S80="","",base!S80)</f>
        <v>Prueba 78</v>
      </c>
      <c r="J80" s="12" t="str">
        <f>IF(base!T80="","",base!T80)</f>
        <v>Calle 123
Piso 2</v>
      </c>
      <c r="K80" s="12" t="str">
        <f>IF(base!U80="","",base!U80)</f>
        <v/>
      </c>
      <c r="L80" s="12" t="str">
        <f>IF(base!Y80="","",base!Y80)</f>
        <v/>
      </c>
      <c r="M80" s="12" t="str">
        <f>IF(base!AH80="","",base!AH80)</f>
        <v/>
      </c>
      <c r="N80" s="12" t="str">
        <f>IF(base!AI80="","",base!AI80)</f>
        <v>34.072273</v>
      </c>
      <c r="O80" s="12">
        <f>IF(base!BA80="","",base!BA80)</f>
        <v>1875</v>
      </c>
      <c r="P80" s="13">
        <f>IF(base!BK80="","",base!BK80)</f>
        <v>46303.805902777778</v>
      </c>
      <c r="Q80" s="15" t="str">
        <f>IF(base!BS80="","",base!BS80)</f>
        <v/>
      </c>
    </row>
    <row r="81" spans="1:17" ht="30" x14ac:dyDescent="0.35">
      <c r="A81" s="14">
        <f>IF(base!A81="","",base!A81)</f>
        <v>6200079</v>
      </c>
      <c r="B81" s="13">
        <f>IF(base!BN81="","",base!BN81)</f>
        <v>46303.625</v>
      </c>
      <c r="C81" s="12" t="str">
        <f>IF(base!C81="","",base!C81)</f>
        <v>ZETABURGOS SRL</v>
      </c>
      <c r="D81" s="12" t="str">
        <f>IF(base!E81="","",base!E81)</f>
        <v>ENTREGADO</v>
      </c>
      <c r="E81" s="12" t="str">
        <f>IF(base!BF81="","",base!BF81)</f>
        <v/>
      </c>
      <c r="F81" s="12" t="str">
        <f>IF(D81="","",IF(OR(ISNUMBER(SEARCH("VISITA",D81)),ISNUMBER(SEARCH("RUTA",D81)),ISNUMBER(SEARCH("ARRIB",D81)),ISNUMBER(SEARCH("MATRIZ",D81)),ISNUMBER(SEARCH("PENDIENTE",D81))),"VISITA COORDINADA CON EL CLIENTE","N/A"))</f>
        <v>N/A</v>
      </c>
      <c r="G81" s="12" t="str">
        <f>IF(base!G81="","",base!G81)</f>
        <v>2000018857041302</v>
      </c>
      <c r="H81" s="12" t="str">
        <f>IF(base!I81="","",base!I81)</f>
        <v>FLEX</v>
      </c>
      <c r="I81" s="12" t="str">
        <f>IF(base!S81="","",base!S81)</f>
        <v>Prueba 79</v>
      </c>
      <c r="J81" s="12" t="str">
        <f>IF(base!T81="","",base!T81)</f>
        <v>Calle 123
Piso 2</v>
      </c>
      <c r="K81" s="12" t="str">
        <f>IF(base!U81="","",base!U81)</f>
        <v/>
      </c>
      <c r="L81" s="12" t="str">
        <f>IF(base!Y81="","",base!Y81)</f>
        <v/>
      </c>
      <c r="M81" s="12" t="str">
        <f>IF(base!AH81="","",base!AH81)</f>
        <v/>
      </c>
      <c r="N81" s="12" t="str">
        <f>IF(base!AI81="","",base!AI81)</f>
        <v>34.072273</v>
      </c>
      <c r="O81" s="12">
        <f>IF(base!BA81="","",base!BA81)</f>
        <v>1875</v>
      </c>
      <c r="P81" s="13">
        <f>IF(base!BK81="","",base!BK81)</f>
        <v>46303.805902777778</v>
      </c>
      <c r="Q81" s="15" t="str">
        <f>IF(base!BS81="","",base!BS81)</f>
        <v/>
      </c>
    </row>
    <row r="82" spans="1:17" ht="30" x14ac:dyDescent="0.35">
      <c r="A82" s="14">
        <f>IF(base!A82="","",base!A82)</f>
        <v>6200080</v>
      </c>
      <c r="B82" s="13">
        <f>IF(base!BN82="","",base!BN82)</f>
        <v>46303.625</v>
      </c>
      <c r="C82" s="12" t="str">
        <f>IF(base!C82="","",base!C82)</f>
        <v>ZETABURGOS SRL</v>
      </c>
      <c r="D82" s="12" t="str">
        <f>IF(base!E82="","",base!E82)</f>
        <v>REPROGRAMACIÓN</v>
      </c>
      <c r="E82" s="12" t="str">
        <f>IF(base!BF82="","",base!BF82)</f>
        <v/>
      </c>
      <c r="F82" s="12" t="str">
        <f>IF(D82="","",IF(OR(ISNUMBER(SEARCH("VISITA",D82)),ISNUMBER(SEARCH("RUTA",D82)),ISNUMBER(SEARCH("ARRIB",D82)),ISNUMBER(SEARCH("MATRIZ",D82)),ISNUMBER(SEARCH("PENDIENTE",D82))),"VISITA COORDINADA CON EL CLIENTE","N/A"))</f>
        <v>N/A</v>
      </c>
      <c r="G82" s="12" t="str">
        <f>IF(base!G82="","",base!G82)</f>
        <v>001234</v>
      </c>
      <c r="H82" s="12" t="str">
        <f>IF(base!I82="","",base!I82)</f>
        <v>FLEX</v>
      </c>
      <c r="I82" s="12" t="str">
        <f>IF(base!S82="","",base!S82)</f>
        <v>Prueba 80</v>
      </c>
      <c r="J82" s="12" t="str">
        <f>IF(base!T82="","",base!T82)</f>
        <v>Calle 123
Piso 2</v>
      </c>
      <c r="K82" s="12" t="str">
        <f>IF(base!U82="","",base!U82)</f>
        <v/>
      </c>
      <c r="L82" s="12" t="str">
        <f>IF(base!Y82="","",base!Y82)</f>
        <v/>
      </c>
      <c r="M82" s="12" t="str">
        <f>IF(base!AH82="","",base!AH82)</f>
        <v/>
      </c>
      <c r="N82" s="12" t="str">
        <f>IF(base!AI82="","",base!AI82)</f>
        <v>34.072273</v>
      </c>
      <c r="O82" s="12">
        <f>IF(base!BA82="","",base!BA82)</f>
        <v>1875</v>
      </c>
      <c r="P82" s="13">
        <f>IF(base!BK82="","",base!BK82)</f>
        <v>46303.805902777778</v>
      </c>
      <c r="Q82" s="15" t="str">
        <f>IF(base!BS82="","",base!BS82)</f>
        <v/>
      </c>
    </row>
    <row r="83" spans="1:17" ht="30" x14ac:dyDescent="0.35">
      <c r="A83" s="14">
        <f>IF(base!A83="","",base!A83)</f>
        <v>6200081</v>
      </c>
      <c r="B83" s="13">
        <f>IF(base!BN83="","",base!BN83)</f>
        <v>46303.625</v>
      </c>
      <c r="C83" s="12" t="str">
        <f>IF(base!C83="","",base!C83)</f>
        <v>ZETABURGOS SRL</v>
      </c>
      <c r="D83" s="12" t="str">
        <f>IF(base!E83="","",base!E83)</f>
        <v>1RVT - 1° VISITA</v>
      </c>
      <c r="E83" s="12" t="str">
        <f>IF(base!BF83="","",base!BF83)</f>
        <v/>
      </c>
      <c r="F83" s="12" t="str">
        <f>IF(D83="","",IF(OR(ISNUMBER(SEARCH("VISITA",D83)),ISNUMBER(SEARCH("RUTA",D83)),ISNUMBER(SEARCH("ARRIB",D83)),ISNUMBER(SEARCH("MATRIZ",D83)),ISNUMBER(SEARCH("PENDIENTE",D83))),"VISITA COORDINADA CON EL CLIENTE","N/A"))</f>
        <v>VISITA COORDINADA CON EL CLIENTE</v>
      </c>
      <c r="G83" s="12" t="str">
        <f>"#ABC"</f>
        <v>#ABC</v>
      </c>
      <c r="H83" s="12" t="str">
        <f>IF(base!I83="","",base!I83)</f>
        <v>SAMEDAY</v>
      </c>
      <c r="I83" s="12" t="str">
        <f>IF(base!S83="","",base!S83)</f>
        <v>Prueba 81</v>
      </c>
      <c r="J83" s="12" t="str">
        <f>IF(base!T83="","",base!T83)</f>
        <v>Calle 123
Piso 2</v>
      </c>
      <c r="K83" s="12" t="str">
        <f>IF(base!U83="","",base!U83)</f>
        <v/>
      </c>
      <c r="L83" s="12" t="str">
        <f>IF(base!Y83="","",base!Y83)</f>
        <v/>
      </c>
      <c r="M83" s="12" t="str">
        <f>IF(base!AH83="","",base!AH83)</f>
        <v/>
      </c>
      <c r="N83" s="12" t="str">
        <f>IF(base!AI83="","",base!AI83)</f>
        <v>34.072273</v>
      </c>
      <c r="O83" s="12">
        <f>IF(base!BA83="","",base!BA83)</f>
        <v>1875</v>
      </c>
      <c r="P83" s="13">
        <f>IF(base!BK83="","",base!BK83)</f>
        <v>46303.805902777778</v>
      </c>
      <c r="Q83" s="15" t="str">
        <f>IF(base!BS83="","",base!BS83)</f>
        <v/>
      </c>
    </row>
    <row r="84" spans="1:17" ht="30" x14ac:dyDescent="0.35">
      <c r="A84" s="14">
        <f>IF(base!A84="","",base!A84)</f>
        <v>6200082</v>
      </c>
      <c r="B84" s="13">
        <f>IF(base!BN84="","",base!BN84)</f>
        <v>46303.625</v>
      </c>
      <c r="C84" s="12" t="str">
        <f>IF(base!C84="","",base!C84)</f>
        <v>ZETABURGOS SRL</v>
      </c>
      <c r="D84" s="12" t="str">
        <f>IF(base!E84="","",base!E84)</f>
        <v>ENTREGADO</v>
      </c>
      <c r="E84" s="12" t="str">
        <f>IF(base!BF84="","",base!BF84)</f>
        <v/>
      </c>
      <c r="F84" s="12" t="str">
        <f>IF(D84="","",IF(OR(ISNUMBER(SEARCH("VISITA",D84)),ISNUMBER(SEARCH("RUTA",D84)),ISNUMBER(SEARCH("ARRIB",D84)),ISNUMBER(SEARCH("MATRIZ",D84)),ISNUMBER(SEARCH("PENDIENTE",D84))),"VISITA COORDINADA CON EL CLIENTE","N/A"))</f>
        <v>N/A</v>
      </c>
      <c r="G84" s="12">
        <f>IF(base!G84="","",base!G84)</f>
        <v>470123456</v>
      </c>
      <c r="H84" s="12" t="str">
        <f>IF(base!I84="","",base!I84)</f>
        <v>FLEX</v>
      </c>
      <c r="I84" s="12" t="str">
        <f>IF(base!S84="","",base!S84)</f>
        <v>Prueba 82</v>
      </c>
      <c r="J84" s="12" t="str">
        <f>IF(base!T84="","",base!T84)</f>
        <v>Calle 123
Piso 2</v>
      </c>
      <c r="K84" s="12" t="str">
        <f>IF(base!U84="","",base!U84)</f>
        <v/>
      </c>
      <c r="L84" s="12" t="str">
        <f>IF(base!Y84="","",base!Y84)</f>
        <v/>
      </c>
      <c r="M84" s="12" t="str">
        <f>IF(base!AH84="","",base!AH84)</f>
        <v/>
      </c>
      <c r="N84" s="12" t="str">
        <f>IF(base!AI84="","",base!AI84)</f>
        <v>34.072273</v>
      </c>
      <c r="O84" s="12">
        <f>IF(base!BA84="","",base!BA84)</f>
        <v>1875</v>
      </c>
      <c r="P84" s="13">
        <f>IF(base!BK84="","",base!BK84)</f>
        <v>46303.805902777778</v>
      </c>
      <c r="Q84" s="15" t="str">
        <f>IF(base!BS84="","",base!BS84)</f>
        <v/>
      </c>
    </row>
    <row r="85" spans="1:17" ht="30" x14ac:dyDescent="0.35">
      <c r="A85" s="14">
        <f>IF(base!A85="","",base!A85)</f>
        <v>6200083</v>
      </c>
      <c r="B85" s="13">
        <f>IF(base!BN85="","",base!BN85)</f>
        <v>46303.625</v>
      </c>
      <c r="C85" s="12" t="str">
        <f>IF(base!C85="","",base!C85)</f>
        <v>ZETABURGOS SRL</v>
      </c>
      <c r="D85" s="12" t="str">
        <f>IF(base!E85="","",base!E85)</f>
        <v>REPROGRAMACIÓN</v>
      </c>
      <c r="E85" s="12" t="str">
        <f>IF(base!BF85="","",base!BF85)</f>
        <v/>
      </c>
      <c r="F85" s="12" t="str">
        <f>IF(D85="","",IF(OR(ISNUMBER(SEARCH("VISITA",D85)),ISNUMBER(SEARCH("RUTA",D85)),ISNUMBER(SEARCH("ARRIB",D85)),ISNUMBER(SEARCH("MATRIZ",D85)),ISNUMBER(SEARCH("PENDIENTE",D85))),"VISITA COORDINADA CON EL CLIENTE","N/A"))</f>
        <v>N/A</v>
      </c>
      <c r="G85" s="12" t="str">
        <f>IF(base!G85="","",base!G85)</f>
        <v>ABC001</v>
      </c>
      <c r="H85" s="12" t="str">
        <f>IF(base!I85="","",base!I85)</f>
        <v>SAMEDAY</v>
      </c>
      <c r="I85" s="12" t="str">
        <f>IF(base!S85="","",base!S85)</f>
        <v>Prueba 83</v>
      </c>
      <c r="J85" s="12" t="str">
        <f>IF(base!T85="","",base!T85)</f>
        <v>Calle 123
Piso 2</v>
      </c>
      <c r="K85" s="12" t="str">
        <f>IF(base!U85="","",base!U85)</f>
        <v/>
      </c>
      <c r="L85" s="12" t="str">
        <f>IF(base!Y85="","",base!Y85)</f>
        <v/>
      </c>
      <c r="M85" s="12" t="str">
        <f>IF(base!AH85="","",base!AH85)</f>
        <v/>
      </c>
      <c r="N85" s="12" t="str">
        <f>IF(base!AI85="","",base!AI85)</f>
        <v>34.072273</v>
      </c>
      <c r="O85" s="12">
        <f>IF(base!BA85="","",base!BA85)</f>
        <v>1875</v>
      </c>
      <c r="P85" s="13">
        <f>IF(base!BK85="","",base!BK85)</f>
        <v>46303.805902777778</v>
      </c>
      <c r="Q85" s="15" t="str">
        <f>IF(base!BS85="","",base!BS85)</f>
        <v/>
      </c>
    </row>
    <row r="86" spans="1:17" ht="30" x14ac:dyDescent="0.35">
      <c r="A86" s="14">
        <f>IF(base!A86="","",base!A86)</f>
        <v>6200084</v>
      </c>
      <c r="B86" s="13">
        <f>IF(base!BN86="","",base!BN86)</f>
        <v>46303.625</v>
      </c>
      <c r="C86" s="12" t="str">
        <f>IF(base!C86="","",base!C86)</f>
        <v>ZETABURGOS SRL</v>
      </c>
      <c r="D86" s="12" t="str">
        <f>IF(base!E86="","",base!E86)</f>
        <v>1RVT - 1° VISITA</v>
      </c>
      <c r="E86" s="12" t="str">
        <f>IF(base!BF86="","",base!BF86)</f>
        <v/>
      </c>
      <c r="F86" s="12" t="str">
        <f>IF(D86="","",IF(OR(ISNUMBER(SEARCH("VISITA",D86)),ISNUMBER(SEARCH("RUTA",D86)),ISNUMBER(SEARCH("ARRIB",D86)),ISNUMBER(SEARCH("MATRIZ",D86)),ISNUMBER(SEARCH("PENDIENTE",D86))),"VISITA COORDINADA CON EL CLIENTE","N/A"))</f>
        <v>VISITA COORDINADA CON EL CLIENTE</v>
      </c>
      <c r="G86" s="12" t="str">
        <f>IF(base!G86="","",base!G86)</f>
        <v>2000018857041302</v>
      </c>
      <c r="H86" s="12" t="str">
        <f>IF(base!I86="","",base!I86)</f>
        <v>FLEX</v>
      </c>
      <c r="I86" s="12" t="str">
        <f>IF(base!S86="","",base!S86)</f>
        <v>Prueba 84</v>
      </c>
      <c r="J86" s="12" t="str">
        <f>IF(base!T86="","",base!T86)</f>
        <v>Calle 123
Piso 2</v>
      </c>
      <c r="K86" s="12" t="str">
        <f>IF(base!U86="","",base!U86)</f>
        <v/>
      </c>
      <c r="L86" s="12" t="str">
        <f>IF(base!Y86="","",base!Y86)</f>
        <v/>
      </c>
      <c r="M86" s="12" t="str">
        <f>IF(base!AH86="","",base!AH86)</f>
        <v/>
      </c>
      <c r="N86" s="12" t="str">
        <f>IF(base!AI86="","",base!AI86)</f>
        <v>34.072273</v>
      </c>
      <c r="O86" s="12">
        <f>IF(base!BA86="","",base!BA86)</f>
        <v>1875</v>
      </c>
      <c r="P86" s="13">
        <f>IF(base!BK86="","",base!BK86)</f>
        <v>46303.805902777778</v>
      </c>
      <c r="Q86" s="15" t="str">
        <f>IF(base!BS86="","",base!BS86)</f>
        <v/>
      </c>
    </row>
    <row r="87" spans="1:17" ht="30" x14ac:dyDescent="0.35">
      <c r="A87" s="14">
        <f>IF(base!A87="","",base!A87)</f>
        <v>6200085</v>
      </c>
      <c r="B87" s="13">
        <f>IF(base!BN87="","",base!BN87)</f>
        <v>46303.625</v>
      </c>
      <c r="C87" s="12" t="str">
        <f>IF(base!C87="","",base!C87)</f>
        <v>ZETABURGOS SRL</v>
      </c>
      <c r="D87" s="12" t="str">
        <f>IF(base!E87="","",base!E87)</f>
        <v>ENTREGADO</v>
      </c>
      <c r="E87" s="12" t="str">
        <f>IF(base!BF87="","",base!BF87)</f>
        <v/>
      </c>
      <c r="F87" s="12" t="str">
        <f>IF(D87="","",IF(OR(ISNUMBER(SEARCH("VISITA",D87)),ISNUMBER(SEARCH("RUTA",D87)),ISNUMBER(SEARCH("ARRIB",D87)),ISNUMBER(SEARCH("MATRIZ",D87)),ISNUMBER(SEARCH("PENDIENTE",D87))),"VISITA COORDINADA CON EL CLIENTE","N/A"))</f>
        <v>N/A</v>
      </c>
      <c r="G87" s="12" t="str">
        <f>IF(base!G87="","",base!G87)</f>
        <v>001234</v>
      </c>
      <c r="H87" s="12" t="str">
        <f>IF(base!I87="","",base!I87)</f>
        <v>FLEX</v>
      </c>
      <c r="I87" s="12" t="str">
        <f>IF(base!S87="","",base!S87)</f>
        <v>Prueba 85</v>
      </c>
      <c r="J87" s="12" t="str">
        <f>IF(base!T87="","",base!T87)</f>
        <v>Calle 123
Piso 2</v>
      </c>
      <c r="K87" s="12" t="str">
        <f>IF(base!U87="","",base!U87)</f>
        <v/>
      </c>
      <c r="L87" s="12" t="str">
        <f>IF(base!Y87="","",base!Y87)</f>
        <v/>
      </c>
      <c r="M87" s="12" t="str">
        <f>IF(base!AH87="","",base!AH87)</f>
        <v/>
      </c>
      <c r="N87" s="12" t="str">
        <f>IF(base!AI87="","",base!AI87)</f>
        <v>34.072273</v>
      </c>
      <c r="O87" s="12">
        <f>IF(base!BA87="","",base!BA87)</f>
        <v>1875</v>
      </c>
      <c r="P87" s="13">
        <f>IF(base!BK87="","",base!BK87)</f>
        <v>46303.805902777778</v>
      </c>
      <c r="Q87" s="15" t="str">
        <f>IF(base!BS87="","",base!BS87)</f>
        <v/>
      </c>
    </row>
    <row r="88" spans="1:17" ht="30" x14ac:dyDescent="0.35">
      <c r="A88" s="14">
        <f>IF(base!A88="","",base!A88)</f>
        <v>6200086</v>
      </c>
      <c r="B88" s="13">
        <f>IF(base!BN88="","",base!BN88)</f>
        <v>46303.625</v>
      </c>
      <c r="C88" s="12" t="str">
        <f>IF(base!C88="","",base!C88)</f>
        <v>ZETABURGOS SRL</v>
      </c>
      <c r="D88" s="12" t="str">
        <f>IF(base!E88="","",base!E88)</f>
        <v>REPROGRAMACIÓN</v>
      </c>
      <c r="E88" s="12" t="str">
        <f>IF(base!BF88="","",base!BF88)</f>
        <v/>
      </c>
      <c r="F88" s="12" t="str">
        <f>IF(D88="","",IF(OR(ISNUMBER(SEARCH("VISITA",D88)),ISNUMBER(SEARCH("RUTA",D88)),ISNUMBER(SEARCH("ARRIB",D88)),ISNUMBER(SEARCH("MATRIZ",D88)),ISNUMBER(SEARCH("PENDIENTE",D88))),"VISITA COORDINADA CON EL CLIENTE","N/A"))</f>
        <v>N/A</v>
      </c>
      <c r="G88" s="12" t="str">
        <f>"#ABC"</f>
        <v>#ABC</v>
      </c>
      <c r="H88" s="12" t="str">
        <f>IF(base!I88="","",base!I88)</f>
        <v>SAMEDAY</v>
      </c>
      <c r="I88" s="12" t="str">
        <f>IF(base!S88="","",base!S88)</f>
        <v>Prueba 86</v>
      </c>
      <c r="J88" s="12" t="str">
        <f>IF(base!T88="","",base!T88)</f>
        <v>Calle 123
Piso 2</v>
      </c>
      <c r="K88" s="12" t="str">
        <f>IF(base!U88="","",base!U88)</f>
        <v/>
      </c>
      <c r="L88" s="12" t="str">
        <f>IF(base!Y88="","",base!Y88)</f>
        <v/>
      </c>
      <c r="M88" s="12" t="str">
        <f>IF(base!AH88="","",base!AH88)</f>
        <v/>
      </c>
      <c r="N88" s="12" t="str">
        <f>IF(base!AI88="","",base!AI88)</f>
        <v>34.072273</v>
      </c>
      <c r="O88" s="12">
        <f>IF(base!BA88="","",base!BA88)</f>
        <v>1875</v>
      </c>
      <c r="P88" s="13">
        <f>IF(base!BK88="","",base!BK88)</f>
        <v>46303.805902777778</v>
      </c>
      <c r="Q88" s="15" t="str">
        <f>IF(base!BS88="","",base!BS88)</f>
        <v/>
      </c>
    </row>
    <row r="89" spans="1:17" ht="30" x14ac:dyDescent="0.35">
      <c r="A89" s="14">
        <f>IF(base!A89="","",base!A89)</f>
        <v>6200087</v>
      </c>
      <c r="B89" s="13">
        <f>IF(base!BN89="","",base!BN89)</f>
        <v>46303.625</v>
      </c>
      <c r="C89" s="12" t="str">
        <f>IF(base!C89="","",base!C89)</f>
        <v>ZETABURGOS SRL</v>
      </c>
      <c r="D89" s="12" t="str">
        <f>IF(base!E89="","",base!E89)</f>
        <v>1RVT - 1° VISITA</v>
      </c>
      <c r="E89" s="12" t="str">
        <f>IF(base!BF89="","",base!BF89)</f>
        <v/>
      </c>
      <c r="F89" s="12" t="str">
        <f>IF(D89="","",IF(OR(ISNUMBER(SEARCH("VISITA",D89)),ISNUMBER(SEARCH("RUTA",D89)),ISNUMBER(SEARCH("ARRIB",D89)),ISNUMBER(SEARCH("MATRIZ",D89)),ISNUMBER(SEARCH("PENDIENTE",D89))),"VISITA COORDINADA CON EL CLIENTE","N/A"))</f>
        <v>VISITA COORDINADA CON EL CLIENTE</v>
      </c>
      <c r="G89" s="12">
        <f>IF(base!G89="","",base!G89)</f>
        <v>470123456</v>
      </c>
      <c r="H89" s="12" t="str">
        <f>IF(base!I89="","",base!I89)</f>
        <v>FLEX</v>
      </c>
      <c r="I89" s="12" t="str">
        <f>IF(base!S89="","",base!S89)</f>
        <v>Prueba 87</v>
      </c>
      <c r="J89" s="12" t="str">
        <f>IF(base!T89="","",base!T89)</f>
        <v>Calle 123
Piso 2</v>
      </c>
      <c r="K89" s="12" t="str">
        <f>IF(base!U89="","",base!U89)</f>
        <v/>
      </c>
      <c r="L89" s="12" t="str">
        <f>IF(base!Y89="","",base!Y89)</f>
        <v/>
      </c>
      <c r="M89" s="12" t="str">
        <f>IF(base!AH89="","",base!AH89)</f>
        <v/>
      </c>
      <c r="N89" s="12" t="str">
        <f>IF(base!AI89="","",base!AI89)</f>
        <v>34.072273</v>
      </c>
      <c r="O89" s="12">
        <f>IF(base!BA89="","",base!BA89)</f>
        <v>1875</v>
      </c>
      <c r="P89" s="13">
        <f>IF(base!BK89="","",base!BK89)</f>
        <v>46303.805902777778</v>
      </c>
      <c r="Q89" s="15" t="str">
        <f>IF(base!BS89="","",base!BS89)</f>
        <v/>
      </c>
    </row>
    <row r="90" spans="1:17" ht="30" x14ac:dyDescent="0.35">
      <c r="A90" s="14">
        <f>IF(base!A90="","",base!A90)</f>
        <v>6200088</v>
      </c>
      <c r="B90" s="13">
        <f>IF(base!BN90="","",base!BN90)</f>
        <v>46303.625</v>
      </c>
      <c r="C90" s="12" t="str">
        <f>IF(base!C90="","",base!C90)</f>
        <v>ZETABURGOS SRL</v>
      </c>
      <c r="D90" s="12" t="str">
        <f>IF(base!E90="","",base!E90)</f>
        <v>ENTREGADO</v>
      </c>
      <c r="E90" s="12" t="str">
        <f>IF(base!BF90="","",base!BF90)</f>
        <v/>
      </c>
      <c r="F90" s="12" t="str">
        <f>IF(D90="","",IF(OR(ISNUMBER(SEARCH("VISITA",D90)),ISNUMBER(SEARCH("RUTA",D90)),ISNUMBER(SEARCH("ARRIB",D90)),ISNUMBER(SEARCH("MATRIZ",D90)),ISNUMBER(SEARCH("PENDIENTE",D90))),"VISITA COORDINADA CON EL CLIENTE","N/A"))</f>
        <v>N/A</v>
      </c>
      <c r="G90" s="12" t="str">
        <f>IF(base!G90="","",base!G90)</f>
        <v>ABC001</v>
      </c>
      <c r="H90" s="12" t="str">
        <f>IF(base!I90="","",base!I90)</f>
        <v>SAMEDAY</v>
      </c>
      <c r="I90" s="12" t="str">
        <f>IF(base!S90="","",base!S90)</f>
        <v>Prueba 88</v>
      </c>
      <c r="J90" s="12" t="str">
        <f>IF(base!T90="","",base!T90)</f>
        <v>Calle 123
Piso 2</v>
      </c>
      <c r="K90" s="12" t="str">
        <f>IF(base!U90="","",base!U90)</f>
        <v/>
      </c>
      <c r="L90" s="12" t="str">
        <f>IF(base!Y90="","",base!Y90)</f>
        <v/>
      </c>
      <c r="M90" s="12" t="str">
        <f>IF(base!AH90="","",base!AH90)</f>
        <v/>
      </c>
      <c r="N90" s="12" t="str">
        <f>IF(base!AI90="","",base!AI90)</f>
        <v>34.072273</v>
      </c>
      <c r="O90" s="12">
        <f>IF(base!BA90="","",base!BA90)</f>
        <v>1875</v>
      </c>
      <c r="P90" s="13">
        <f>IF(base!BK90="","",base!BK90)</f>
        <v>46303.805902777778</v>
      </c>
      <c r="Q90" s="15" t="str">
        <f>IF(base!BS90="","",base!BS90)</f>
        <v/>
      </c>
    </row>
    <row r="91" spans="1:17" ht="30" x14ac:dyDescent="0.35">
      <c r="A91" s="14">
        <f>IF(base!A91="","",base!A91)</f>
        <v>6200089</v>
      </c>
      <c r="B91" s="13">
        <f>IF(base!BN91="","",base!BN91)</f>
        <v>46303.625</v>
      </c>
      <c r="C91" s="12" t="str">
        <f>IF(base!C91="","",base!C91)</f>
        <v>ZETABURGOS SRL</v>
      </c>
      <c r="D91" s="12" t="str">
        <f>IF(base!E91="","",base!E91)</f>
        <v>REPROGRAMACIÓN</v>
      </c>
      <c r="E91" s="12" t="str">
        <f>IF(base!BF91="","",base!BF91)</f>
        <v/>
      </c>
      <c r="F91" s="12" t="str">
        <f>IF(D91="","",IF(OR(ISNUMBER(SEARCH("VISITA",D91)),ISNUMBER(SEARCH("RUTA",D91)),ISNUMBER(SEARCH("ARRIB",D91)),ISNUMBER(SEARCH("MATRIZ",D91)),ISNUMBER(SEARCH("PENDIENTE",D91))),"VISITA COORDINADA CON EL CLIENTE","N/A"))</f>
        <v>N/A</v>
      </c>
      <c r="G91" s="12" t="str">
        <f>IF(base!G91="","",base!G91)</f>
        <v>2000018857041302</v>
      </c>
      <c r="H91" s="12" t="str">
        <f>IF(base!I91="","",base!I91)</f>
        <v>FLEX</v>
      </c>
      <c r="I91" s="12" t="str">
        <f>IF(base!S91="","",base!S91)</f>
        <v>Prueba 89</v>
      </c>
      <c r="J91" s="12" t="str">
        <f>IF(base!T91="","",base!T91)</f>
        <v>Calle 123
Piso 2</v>
      </c>
      <c r="K91" s="12" t="str">
        <f>IF(base!U91="","",base!U91)</f>
        <v/>
      </c>
      <c r="L91" s="12" t="str">
        <f>IF(base!Y91="","",base!Y91)</f>
        <v/>
      </c>
      <c r="M91" s="12" t="str">
        <f>IF(base!AH91="","",base!AH91)</f>
        <v/>
      </c>
      <c r="N91" s="12" t="str">
        <f>IF(base!AI91="","",base!AI91)</f>
        <v>34.072273</v>
      </c>
      <c r="O91" s="12">
        <f>IF(base!BA91="","",base!BA91)</f>
        <v>1875</v>
      </c>
      <c r="P91" s="13">
        <f>IF(base!BK91="","",base!BK91)</f>
        <v>46303.805902777778</v>
      </c>
      <c r="Q91" s="15" t="str">
        <f>IF(base!BS91="","",base!BS91)</f>
        <v/>
      </c>
    </row>
    <row r="92" spans="1:17" ht="30" x14ac:dyDescent="0.35">
      <c r="A92" s="14">
        <f>IF(base!A92="","",base!A92)</f>
        <v>6200090</v>
      </c>
      <c r="B92" s="13">
        <f>IF(base!BN92="","",base!BN92)</f>
        <v>46303.625</v>
      </c>
      <c r="C92" s="12" t="str">
        <f>IF(base!C92="","",base!C92)</f>
        <v>ZETABURGOS SRL</v>
      </c>
      <c r="D92" s="12" t="str">
        <f>IF(base!E92="","",base!E92)</f>
        <v>1RVT - 1° VISITA</v>
      </c>
      <c r="E92" s="12" t="str">
        <f>IF(base!BF92="","",base!BF92)</f>
        <v/>
      </c>
      <c r="F92" s="12" t="str">
        <f>IF(D92="","",IF(OR(ISNUMBER(SEARCH("VISITA",D92)),ISNUMBER(SEARCH("RUTA",D92)),ISNUMBER(SEARCH("ARRIB",D92)),ISNUMBER(SEARCH("MATRIZ",D92)),ISNUMBER(SEARCH("PENDIENTE",D92))),"VISITA COORDINADA CON EL CLIENTE","N/A"))</f>
        <v>VISITA COORDINADA CON EL CLIENTE</v>
      </c>
      <c r="G92" s="12" t="str">
        <f>IF(base!G92="","",base!G92)</f>
        <v>001234</v>
      </c>
      <c r="H92" s="12" t="str">
        <f>IF(base!I92="","",base!I92)</f>
        <v>FLEX</v>
      </c>
      <c r="I92" s="12" t="str">
        <f>IF(base!S92="","",base!S92)</f>
        <v>Prueba 90</v>
      </c>
      <c r="J92" s="12" t="str">
        <f>IF(base!T92="","",base!T92)</f>
        <v>Calle 123
Piso 2</v>
      </c>
      <c r="K92" s="12" t="str">
        <f>IF(base!U92="","",base!U92)</f>
        <v/>
      </c>
      <c r="L92" s="12" t="str">
        <f>IF(base!Y92="","",base!Y92)</f>
        <v/>
      </c>
      <c r="M92" s="12" t="str">
        <f>IF(base!AH92="","",base!AH92)</f>
        <v/>
      </c>
      <c r="N92" s="12" t="str">
        <f>IF(base!AI92="","",base!AI92)</f>
        <v>34.072273</v>
      </c>
      <c r="O92" s="12">
        <f>IF(base!BA92="","",base!BA92)</f>
        <v>1875</v>
      </c>
      <c r="P92" s="13">
        <f>IF(base!BK92="","",base!BK92)</f>
        <v>46303.805902777778</v>
      </c>
      <c r="Q92" s="15" t="str">
        <f>IF(base!BS92="","",base!BS92)</f>
        <v/>
      </c>
    </row>
    <row r="93" spans="1:17" ht="30" x14ac:dyDescent="0.35">
      <c r="A93" s="14">
        <f>IF(base!A93="","",base!A93)</f>
        <v>6200091</v>
      </c>
      <c r="B93" s="13">
        <f>IF(base!BN93="","",base!BN93)</f>
        <v>46303.625</v>
      </c>
      <c r="C93" s="12" t="str">
        <f>IF(base!C93="","",base!C93)</f>
        <v>ZETABURGOS SRL</v>
      </c>
      <c r="D93" s="12" t="str">
        <f>IF(base!E93="","",base!E93)</f>
        <v>ENTREGADO</v>
      </c>
      <c r="E93" s="12" t="str">
        <f>IF(base!BF93="","",base!BF93)</f>
        <v/>
      </c>
      <c r="F93" s="12" t="str">
        <f>IF(D93="","",IF(OR(ISNUMBER(SEARCH("VISITA",D93)),ISNUMBER(SEARCH("RUTA",D93)),ISNUMBER(SEARCH("ARRIB",D93)),ISNUMBER(SEARCH("MATRIZ",D93)),ISNUMBER(SEARCH("PENDIENTE",D93))),"VISITA COORDINADA CON EL CLIENTE","N/A"))</f>
        <v>N/A</v>
      </c>
      <c r="G93" s="12" t="str">
        <f>"#ABC"</f>
        <v>#ABC</v>
      </c>
      <c r="H93" s="12" t="str">
        <f>IF(base!I93="","",base!I93)</f>
        <v>SAMEDAY</v>
      </c>
      <c r="I93" s="12" t="str">
        <f>IF(base!S93="","",base!S93)</f>
        <v>Prueba 91</v>
      </c>
      <c r="J93" s="12" t="str">
        <f>IF(base!T93="","",base!T93)</f>
        <v>Calle 123
Piso 2</v>
      </c>
      <c r="K93" s="12" t="str">
        <f>IF(base!U93="","",base!U93)</f>
        <v/>
      </c>
      <c r="L93" s="12" t="str">
        <f>IF(base!Y93="","",base!Y93)</f>
        <v/>
      </c>
      <c r="M93" s="12" t="str">
        <f>IF(base!AH93="","",base!AH93)</f>
        <v/>
      </c>
      <c r="N93" s="12" t="str">
        <f>IF(base!AI93="","",base!AI93)</f>
        <v>34.072273</v>
      </c>
      <c r="O93" s="12">
        <f>IF(base!BA93="","",base!BA93)</f>
        <v>1875</v>
      </c>
      <c r="P93" s="13">
        <f>IF(base!BK93="","",base!BK93)</f>
        <v>46303.805902777778</v>
      </c>
      <c r="Q93" s="15" t="str">
        <f>IF(base!BS93="","",base!BS93)</f>
        <v/>
      </c>
    </row>
    <row r="94" spans="1:17" ht="30" x14ac:dyDescent="0.35">
      <c r="A94" s="14">
        <f>IF(base!A94="","",base!A94)</f>
        <v>6200092</v>
      </c>
      <c r="B94" s="13">
        <f>IF(base!BN94="","",base!BN94)</f>
        <v>46303.625</v>
      </c>
      <c r="C94" s="12" t="str">
        <f>IF(base!C94="","",base!C94)</f>
        <v>ZETABURGOS SRL</v>
      </c>
      <c r="D94" s="12" t="str">
        <f>IF(base!E94="","",base!E94)</f>
        <v>REPROGRAMACIÓN</v>
      </c>
      <c r="E94" s="12" t="str">
        <f>IF(base!BF94="","",base!BF94)</f>
        <v/>
      </c>
      <c r="F94" s="12" t="str">
        <f>IF(D94="","",IF(OR(ISNUMBER(SEARCH("VISITA",D94)),ISNUMBER(SEARCH("RUTA",D94)),ISNUMBER(SEARCH("ARRIB",D94)),ISNUMBER(SEARCH("MATRIZ",D94)),ISNUMBER(SEARCH("PENDIENTE",D94))),"VISITA COORDINADA CON EL CLIENTE","N/A"))</f>
        <v>N/A</v>
      </c>
      <c r="G94" s="12">
        <f>IF(base!G94="","",base!G94)</f>
        <v>470123456</v>
      </c>
      <c r="H94" s="12" t="str">
        <f>IF(base!I94="","",base!I94)</f>
        <v>FLEX</v>
      </c>
      <c r="I94" s="12" t="str">
        <f>IF(base!S94="","",base!S94)</f>
        <v>Prueba 92</v>
      </c>
      <c r="J94" s="12" t="str">
        <f>IF(base!T94="","",base!T94)</f>
        <v>Calle 123
Piso 2</v>
      </c>
      <c r="K94" s="12" t="str">
        <f>IF(base!U94="","",base!U94)</f>
        <v/>
      </c>
      <c r="L94" s="12" t="str">
        <f>IF(base!Y94="","",base!Y94)</f>
        <v/>
      </c>
      <c r="M94" s="12" t="str">
        <f>IF(base!AH94="","",base!AH94)</f>
        <v/>
      </c>
      <c r="N94" s="12" t="str">
        <f>IF(base!AI94="","",base!AI94)</f>
        <v>34.072273</v>
      </c>
      <c r="O94" s="12">
        <f>IF(base!BA94="","",base!BA94)</f>
        <v>1875</v>
      </c>
      <c r="P94" s="13">
        <f>IF(base!BK94="","",base!BK94)</f>
        <v>46303.805902777778</v>
      </c>
      <c r="Q94" s="15" t="str">
        <f>IF(base!BS94="","",base!BS94)</f>
        <v/>
      </c>
    </row>
    <row r="95" spans="1:17" ht="30" x14ac:dyDescent="0.35">
      <c r="A95" s="14">
        <f>IF(base!A95="","",base!A95)</f>
        <v>6200093</v>
      </c>
      <c r="B95" s="13">
        <f>IF(base!BN95="","",base!BN95)</f>
        <v>46303.625</v>
      </c>
      <c r="C95" s="12" t="str">
        <f>IF(base!C95="","",base!C95)</f>
        <v>ZETABURGOS SRL</v>
      </c>
      <c r="D95" s="12" t="str">
        <f>IF(base!E95="","",base!E95)</f>
        <v>1RVT - 1° VISITA</v>
      </c>
      <c r="E95" s="12" t="str">
        <f>IF(base!BF95="","",base!BF95)</f>
        <v/>
      </c>
      <c r="F95" s="12" t="str">
        <f>IF(D95="","",IF(OR(ISNUMBER(SEARCH("VISITA",D95)),ISNUMBER(SEARCH("RUTA",D95)),ISNUMBER(SEARCH("ARRIB",D95)),ISNUMBER(SEARCH("MATRIZ",D95)),ISNUMBER(SEARCH("PENDIENTE",D95))),"VISITA COORDINADA CON EL CLIENTE","N/A"))</f>
        <v>VISITA COORDINADA CON EL CLIENTE</v>
      </c>
      <c r="G95" s="12" t="str">
        <f>IF(base!G95="","",base!G95)</f>
        <v>ABC001</v>
      </c>
      <c r="H95" s="12" t="str">
        <f>IF(base!I95="","",base!I95)</f>
        <v>SAMEDAY</v>
      </c>
      <c r="I95" s="12" t="str">
        <f>IF(base!S95="","",base!S95)</f>
        <v>Prueba 93</v>
      </c>
      <c r="J95" s="12" t="str">
        <f>IF(base!T95="","",base!T95)</f>
        <v>Calle 123
Piso 2</v>
      </c>
      <c r="K95" s="12" t="str">
        <f>IF(base!U95="","",base!U95)</f>
        <v/>
      </c>
      <c r="L95" s="12" t="str">
        <f>IF(base!Y95="","",base!Y95)</f>
        <v/>
      </c>
      <c r="M95" s="12" t="str">
        <f>IF(base!AH95="","",base!AH95)</f>
        <v/>
      </c>
      <c r="N95" s="12" t="str">
        <f>IF(base!AI95="","",base!AI95)</f>
        <v>34.072273</v>
      </c>
      <c r="O95" s="12">
        <f>IF(base!BA95="","",base!BA95)</f>
        <v>1875</v>
      </c>
      <c r="P95" s="13">
        <f>IF(base!BK95="","",base!BK95)</f>
        <v>46303.805902777778</v>
      </c>
      <c r="Q95" s="15" t="str">
        <f>IF(base!BS95="","",base!BS95)</f>
        <v/>
      </c>
    </row>
    <row r="96" spans="1:17" ht="30" x14ac:dyDescent="0.35">
      <c r="A96" s="14">
        <f>IF(base!A96="","",base!A96)</f>
        <v>6200094</v>
      </c>
      <c r="B96" s="13">
        <f>IF(base!BN96="","",base!BN96)</f>
        <v>46303.625</v>
      </c>
      <c r="C96" s="12" t="str">
        <f>IF(base!C96="","",base!C96)</f>
        <v>ZETABURGOS SRL</v>
      </c>
      <c r="D96" s="12" t="str">
        <f>IF(base!E96="","",base!E96)</f>
        <v>ENTREGADO</v>
      </c>
      <c r="E96" s="12" t="str">
        <f>IF(base!BF96="","",base!BF96)</f>
        <v/>
      </c>
      <c r="F96" s="12" t="str">
        <f>IF(D96="","",IF(OR(ISNUMBER(SEARCH("VISITA",D96)),ISNUMBER(SEARCH("RUTA",D96)),ISNUMBER(SEARCH("ARRIB",D96)),ISNUMBER(SEARCH("MATRIZ",D96)),ISNUMBER(SEARCH("PENDIENTE",D96))),"VISITA COORDINADA CON EL CLIENTE","N/A"))</f>
        <v>N/A</v>
      </c>
      <c r="G96" s="12" t="str">
        <f>IF(base!G96="","",base!G96)</f>
        <v>2000018857041302</v>
      </c>
      <c r="H96" s="12" t="str">
        <f>IF(base!I96="","",base!I96)</f>
        <v>FLEX</v>
      </c>
      <c r="I96" s="12" t="str">
        <f>IF(base!S96="","",base!S96)</f>
        <v>Prueba 94</v>
      </c>
      <c r="J96" s="12" t="str">
        <f>IF(base!T96="","",base!T96)</f>
        <v>Calle 123
Piso 2</v>
      </c>
      <c r="K96" s="12" t="str">
        <f>IF(base!U96="","",base!U96)</f>
        <v/>
      </c>
      <c r="L96" s="12" t="str">
        <f>IF(base!Y96="","",base!Y96)</f>
        <v/>
      </c>
      <c r="M96" s="12" t="str">
        <f>IF(base!AH96="","",base!AH96)</f>
        <v/>
      </c>
      <c r="N96" s="12" t="str">
        <f>IF(base!AI96="","",base!AI96)</f>
        <v>34.072273</v>
      </c>
      <c r="O96" s="12">
        <f>IF(base!BA96="","",base!BA96)</f>
        <v>1875</v>
      </c>
      <c r="P96" s="13">
        <f>IF(base!BK96="","",base!BK96)</f>
        <v>46303.805902777778</v>
      </c>
      <c r="Q96" s="15" t="str">
        <f>IF(base!BS96="","",base!BS96)</f>
        <v/>
      </c>
    </row>
    <row r="97" spans="1:17" ht="30" x14ac:dyDescent="0.35">
      <c r="A97" s="14">
        <f>IF(base!A97="","",base!A97)</f>
        <v>6200095</v>
      </c>
      <c r="B97" s="13">
        <f>IF(base!BN97="","",base!BN97)</f>
        <v>46303.625</v>
      </c>
      <c r="C97" s="12" t="str">
        <f>IF(base!C97="","",base!C97)</f>
        <v>ZETABURGOS SRL</v>
      </c>
      <c r="D97" s="12" t="str">
        <f>IF(base!E97="","",base!E97)</f>
        <v>REPROGRAMACIÓN</v>
      </c>
      <c r="E97" s="12" t="str">
        <f>IF(base!BF97="","",base!BF97)</f>
        <v/>
      </c>
      <c r="F97" s="12" t="str">
        <f>IF(D97="","",IF(OR(ISNUMBER(SEARCH("VISITA",D97)),ISNUMBER(SEARCH("RUTA",D97)),ISNUMBER(SEARCH("ARRIB",D97)),ISNUMBER(SEARCH("MATRIZ",D97)),ISNUMBER(SEARCH("PENDIENTE",D97))),"VISITA COORDINADA CON EL CLIENTE","N/A"))</f>
        <v>N/A</v>
      </c>
      <c r="G97" s="12" t="str">
        <f>IF(base!G97="","",base!G97)</f>
        <v>001234</v>
      </c>
      <c r="H97" s="12" t="str">
        <f>IF(base!I97="","",base!I97)</f>
        <v>FLEX</v>
      </c>
      <c r="I97" s="12" t="str">
        <f>IF(base!S97="","",base!S97)</f>
        <v>Prueba 95</v>
      </c>
      <c r="J97" s="12" t="str">
        <f>IF(base!T97="","",base!T97)</f>
        <v>Calle 123
Piso 2</v>
      </c>
      <c r="K97" s="12" t="str">
        <f>IF(base!U97="","",base!U97)</f>
        <v/>
      </c>
      <c r="L97" s="12" t="str">
        <f>IF(base!Y97="","",base!Y97)</f>
        <v/>
      </c>
      <c r="M97" s="12" t="str">
        <f>IF(base!AH97="","",base!AH97)</f>
        <v/>
      </c>
      <c r="N97" s="12" t="str">
        <f>IF(base!AI97="","",base!AI97)</f>
        <v>34.072273</v>
      </c>
      <c r="O97" s="12">
        <f>IF(base!BA97="","",base!BA97)</f>
        <v>1875</v>
      </c>
      <c r="P97" s="13">
        <f>IF(base!BK97="","",base!BK97)</f>
        <v>46303.805902777778</v>
      </c>
      <c r="Q97" s="15" t="str">
        <f>IF(base!BS97="","",base!BS97)</f>
        <v/>
      </c>
    </row>
    <row r="98" spans="1:17" ht="30" x14ac:dyDescent="0.35">
      <c r="A98" s="14">
        <f>IF(base!A98="","",base!A98)</f>
        <v>6200096</v>
      </c>
      <c r="B98" s="13">
        <f>IF(base!BN98="","",base!BN98)</f>
        <v>46303.625</v>
      </c>
      <c r="C98" s="12" t="str">
        <f>IF(base!C98="","",base!C98)</f>
        <v>ZETABURGOS SRL</v>
      </c>
      <c r="D98" s="12" t="str">
        <f>IF(base!E98="","",base!E98)</f>
        <v>1RVT - 1° VISITA</v>
      </c>
      <c r="E98" s="12" t="str">
        <f>IF(base!BF98="","",base!BF98)</f>
        <v/>
      </c>
      <c r="F98" s="12" t="str">
        <f>IF(D98="","",IF(OR(ISNUMBER(SEARCH("VISITA",D98)),ISNUMBER(SEARCH("RUTA",D98)),ISNUMBER(SEARCH("ARRIB",D98)),ISNUMBER(SEARCH("MATRIZ",D98)),ISNUMBER(SEARCH("PENDIENTE",D98))),"VISITA COORDINADA CON EL CLIENTE","N/A"))</f>
        <v>VISITA COORDINADA CON EL CLIENTE</v>
      </c>
      <c r="G98" s="12" t="str">
        <f>"#ABC"</f>
        <v>#ABC</v>
      </c>
      <c r="H98" s="12" t="str">
        <f>IF(base!I98="","",base!I98)</f>
        <v>SAMEDAY</v>
      </c>
      <c r="I98" s="12" t="str">
        <f>IF(base!S98="","",base!S98)</f>
        <v>Prueba 96</v>
      </c>
      <c r="J98" s="12" t="str">
        <f>IF(base!T98="","",base!T98)</f>
        <v>Calle 123
Piso 2</v>
      </c>
      <c r="K98" s="12" t="str">
        <f>IF(base!U98="","",base!U98)</f>
        <v/>
      </c>
      <c r="L98" s="12" t="str">
        <f>IF(base!Y98="","",base!Y98)</f>
        <v/>
      </c>
      <c r="M98" s="12" t="str">
        <f>IF(base!AH98="","",base!AH98)</f>
        <v/>
      </c>
      <c r="N98" s="12" t="str">
        <f>IF(base!AI98="","",base!AI98)</f>
        <v>34.072273</v>
      </c>
      <c r="O98" s="12">
        <f>IF(base!BA98="","",base!BA98)</f>
        <v>1875</v>
      </c>
      <c r="P98" s="13">
        <f>IF(base!BK98="","",base!BK98)</f>
        <v>46303.805902777778</v>
      </c>
      <c r="Q98" s="15" t="str">
        <f>IF(base!BS98="","",base!BS98)</f>
        <v/>
      </c>
    </row>
    <row r="99" spans="1:17" ht="30" x14ac:dyDescent="0.35">
      <c r="A99" s="14">
        <f>IF(base!A99="","",base!A99)</f>
        <v>6200097</v>
      </c>
      <c r="B99" s="13">
        <f>IF(base!BN99="","",base!BN99)</f>
        <v>46303.625</v>
      </c>
      <c r="C99" s="12" t="str">
        <f>IF(base!C99="","",base!C99)</f>
        <v>ZETABURGOS SRL</v>
      </c>
      <c r="D99" s="12" t="str">
        <f>IF(base!E99="","",base!E99)</f>
        <v>ENTREGADO</v>
      </c>
      <c r="E99" s="12" t="str">
        <f>IF(base!BF99="","",base!BF99)</f>
        <v/>
      </c>
      <c r="F99" s="12" t="str">
        <f>IF(D99="","",IF(OR(ISNUMBER(SEARCH("VISITA",D99)),ISNUMBER(SEARCH("RUTA",D99)),ISNUMBER(SEARCH("ARRIB",D99)),ISNUMBER(SEARCH("MATRIZ",D99)),ISNUMBER(SEARCH("PENDIENTE",D99))),"VISITA COORDINADA CON EL CLIENTE","N/A"))</f>
        <v>N/A</v>
      </c>
      <c r="G99" s="12">
        <f>IF(base!G99="","",base!G99)</f>
        <v>470123456</v>
      </c>
      <c r="H99" s="12" t="str">
        <f>IF(base!I99="","",base!I99)</f>
        <v>FLEX</v>
      </c>
      <c r="I99" s="12" t="str">
        <f>IF(base!S99="","",base!S99)</f>
        <v>Prueba 97</v>
      </c>
      <c r="J99" s="12" t="str">
        <f>IF(base!T99="","",base!T99)</f>
        <v>Calle 123
Piso 2</v>
      </c>
      <c r="K99" s="12" t="str">
        <f>IF(base!U99="","",base!U99)</f>
        <v/>
      </c>
      <c r="L99" s="12" t="str">
        <f>IF(base!Y99="","",base!Y99)</f>
        <v/>
      </c>
      <c r="M99" s="12" t="str">
        <f>IF(base!AH99="","",base!AH99)</f>
        <v/>
      </c>
      <c r="N99" s="12" t="str">
        <f>IF(base!AI99="","",base!AI99)</f>
        <v>34.072273</v>
      </c>
      <c r="O99" s="12">
        <f>IF(base!BA99="","",base!BA99)</f>
        <v>1875</v>
      </c>
      <c r="P99" s="13">
        <f>IF(base!BK99="","",base!BK99)</f>
        <v>46303.805902777778</v>
      </c>
      <c r="Q99" s="15" t="str">
        <f>IF(base!BS99="","",base!BS99)</f>
        <v/>
      </c>
    </row>
    <row r="100" spans="1:17" ht="30" x14ac:dyDescent="0.35">
      <c r="A100" s="14">
        <f>IF(base!A100="","",base!A100)</f>
        <v>6200098</v>
      </c>
      <c r="B100" s="13">
        <f>IF(base!BN100="","",base!BN100)</f>
        <v>46303.625</v>
      </c>
      <c r="C100" s="12" t="str">
        <f>IF(base!C100="","",base!C100)</f>
        <v>ZETABURGOS SRL</v>
      </c>
      <c r="D100" s="12" t="str">
        <f>IF(base!E100="","",base!E100)</f>
        <v>REPROGRAMACIÓN</v>
      </c>
      <c r="E100" s="12" t="str">
        <f>IF(base!BF100="","",base!BF100)</f>
        <v/>
      </c>
      <c r="F100" s="12" t="str">
        <f>IF(D100="","",IF(OR(ISNUMBER(SEARCH("VISITA",D100)),ISNUMBER(SEARCH("RUTA",D100)),ISNUMBER(SEARCH("ARRIB",D100)),ISNUMBER(SEARCH("MATRIZ",D100)),ISNUMBER(SEARCH("PENDIENTE",D100))),"VISITA COORDINADA CON EL CLIENTE","N/A"))</f>
        <v>N/A</v>
      </c>
      <c r="G100" s="12" t="str">
        <f>IF(base!G100="","",base!G100)</f>
        <v>ABC001</v>
      </c>
      <c r="H100" s="12" t="str">
        <f>IF(base!I100="","",base!I100)</f>
        <v>SAMEDAY</v>
      </c>
      <c r="I100" s="12" t="str">
        <f>IF(base!S100="","",base!S100)</f>
        <v>Prueba 98</v>
      </c>
      <c r="J100" s="12" t="str">
        <f>IF(base!T100="","",base!T100)</f>
        <v>Calle 123
Piso 2</v>
      </c>
      <c r="K100" s="12" t="str">
        <f>IF(base!U100="","",base!U100)</f>
        <v/>
      </c>
      <c r="L100" s="12" t="str">
        <f>IF(base!Y100="","",base!Y100)</f>
        <v/>
      </c>
      <c r="M100" s="12" t="str">
        <f>IF(base!AH100="","",base!AH100)</f>
        <v/>
      </c>
      <c r="N100" s="12" t="str">
        <f>IF(base!AI100="","",base!AI100)</f>
        <v>34.072273</v>
      </c>
      <c r="O100" s="12">
        <f>IF(base!BA100="","",base!BA100)</f>
        <v>1875</v>
      </c>
      <c r="P100" s="13">
        <f>IF(base!BK100="","",base!BK100)</f>
        <v>46303.805902777778</v>
      </c>
      <c r="Q100" s="15" t="str">
        <f>IF(base!BS100="","",base!BS100)</f>
        <v/>
      </c>
    </row>
    <row r="101" spans="1:17" ht="30" x14ac:dyDescent="0.35">
      <c r="A101" s="14">
        <f>IF(base!A101="","",base!A101)</f>
        <v>6200099</v>
      </c>
      <c r="B101" s="13">
        <f>IF(base!BN101="","",base!BN101)</f>
        <v>46303.625</v>
      </c>
      <c r="C101" s="12" t="str">
        <f>IF(base!C101="","",base!C101)</f>
        <v>ZETABURGOS SRL</v>
      </c>
      <c r="D101" s="12" t="str">
        <f>IF(base!E101="","",base!E101)</f>
        <v>1RVT - 1° VISITA</v>
      </c>
      <c r="E101" s="12" t="str">
        <f>IF(base!BF101="","",base!BF101)</f>
        <v/>
      </c>
      <c r="F101" s="12" t="str">
        <f>IF(D101="","",IF(OR(ISNUMBER(SEARCH("VISITA",D101)),ISNUMBER(SEARCH("RUTA",D101)),ISNUMBER(SEARCH("ARRIB",D101)),ISNUMBER(SEARCH("MATRIZ",D101)),ISNUMBER(SEARCH("PENDIENTE",D101))),"VISITA COORDINADA CON EL CLIENTE","N/A"))</f>
        <v>VISITA COORDINADA CON EL CLIENTE</v>
      </c>
      <c r="G101" s="12" t="str">
        <f>IF(base!G101="","",base!G101)</f>
        <v>2000018857041302</v>
      </c>
      <c r="H101" s="12" t="str">
        <f>IF(base!I101="","",base!I101)</f>
        <v>FLEX</v>
      </c>
      <c r="I101" s="12" t="str">
        <f>IF(base!S101="","",base!S101)</f>
        <v>Prueba 99</v>
      </c>
      <c r="J101" s="12" t="str">
        <f>IF(base!T101="","",base!T101)</f>
        <v>Calle 123
Piso 2</v>
      </c>
      <c r="K101" s="12" t="str">
        <f>IF(base!U101="","",base!U101)</f>
        <v/>
      </c>
      <c r="L101" s="12" t="str">
        <f>IF(base!Y101="","",base!Y101)</f>
        <v/>
      </c>
      <c r="M101" s="12" t="str">
        <f>IF(base!AH101="","",base!AH101)</f>
        <v/>
      </c>
      <c r="N101" s="12" t="str">
        <f>IF(base!AI101="","",base!AI101)</f>
        <v>34.072273</v>
      </c>
      <c r="O101" s="12">
        <f>IF(base!BA101="","",base!BA101)</f>
        <v>1875</v>
      </c>
      <c r="P101" s="13">
        <f>IF(base!BK101="","",base!BK101)</f>
        <v>46303.805902777778</v>
      </c>
      <c r="Q101" s="15" t="str">
        <f>IF(base!BS101="","",base!BS101)</f>
        <v/>
      </c>
    </row>
    <row r="102" spans="1:17" ht="30" x14ac:dyDescent="0.35">
      <c r="A102" s="14">
        <f>IF(base!A102="","",base!A102)</f>
        <v>6200100</v>
      </c>
      <c r="B102" s="13">
        <f>IF(base!BN102="","",base!BN102)</f>
        <v>46303.625</v>
      </c>
      <c r="C102" s="12" t="str">
        <f>IF(base!C102="","",base!C102)</f>
        <v>ZETABURGOS SRL</v>
      </c>
      <c r="D102" s="12" t="str">
        <f>IF(base!E102="","",base!E102)</f>
        <v>ENTREGADO</v>
      </c>
      <c r="E102" s="12" t="str">
        <f>IF(base!BF102="","",base!BF102)</f>
        <v/>
      </c>
      <c r="F102" s="12" t="str">
        <f>IF(D102="","",IF(OR(ISNUMBER(SEARCH("VISITA",D102)),ISNUMBER(SEARCH("RUTA",D102)),ISNUMBER(SEARCH("ARRIB",D102)),ISNUMBER(SEARCH("MATRIZ",D102)),ISNUMBER(SEARCH("PENDIENTE",D102))),"VISITA COORDINADA CON EL CLIENTE","N/A"))</f>
        <v>N/A</v>
      </c>
      <c r="G102" s="12" t="str">
        <f>IF(base!G102="","",base!G102)</f>
        <v>001234</v>
      </c>
      <c r="H102" s="12" t="str">
        <f>IF(base!I102="","",base!I102)</f>
        <v>FLEX</v>
      </c>
      <c r="I102" s="12" t="str">
        <f>IF(base!S102="","",base!S102)</f>
        <v>Prueba 100</v>
      </c>
      <c r="J102" s="12" t="str">
        <f>IF(base!T102="","",base!T102)</f>
        <v>Calle 123
Piso 2</v>
      </c>
      <c r="K102" s="12" t="str">
        <f>IF(base!U102="","",base!U102)</f>
        <v/>
      </c>
      <c r="L102" s="12" t="str">
        <f>IF(base!Y102="","",base!Y102)</f>
        <v/>
      </c>
      <c r="M102" s="12" t="str">
        <f>IF(base!AH102="","",base!AH102)</f>
        <v/>
      </c>
      <c r="N102" s="12" t="str">
        <f>IF(base!AI102="","",base!AI102)</f>
        <v>34.072273</v>
      </c>
      <c r="O102" s="12">
        <f>IF(base!BA102="","",base!BA102)</f>
        <v>1875</v>
      </c>
      <c r="P102" s="13">
        <f>IF(base!BK102="","",base!BK102)</f>
        <v>46303.805902777778</v>
      </c>
      <c r="Q102" s="15" t="str">
        <f>IF(base!BS102="","",base!BS102)</f>
        <v/>
      </c>
    </row>
    <row r="103" spans="1:17" ht="30" x14ac:dyDescent="0.35">
      <c r="A103" s="14">
        <f>IF(base!A103="","",base!A103)</f>
        <v>6200101</v>
      </c>
      <c r="B103" s="13">
        <f>IF(base!BN103="","",base!BN103)</f>
        <v>46303.625</v>
      </c>
      <c r="C103" s="12" t="str">
        <f>IF(base!C103="","",base!C103)</f>
        <v>ZETABURGOS SRL</v>
      </c>
      <c r="D103" s="12" t="str">
        <f>IF(base!E103="","",base!E103)</f>
        <v>REPROGRAMACIÓN</v>
      </c>
      <c r="E103" s="12" t="str">
        <f>IF(base!BF103="","",base!BF103)</f>
        <v/>
      </c>
      <c r="F103" s="12" t="str">
        <f>IF(D103="","",IF(OR(ISNUMBER(SEARCH("VISITA",D103)),ISNUMBER(SEARCH("RUTA",D103)),ISNUMBER(SEARCH("ARRIB",D103)),ISNUMBER(SEARCH("MATRIZ",D103)),ISNUMBER(SEARCH("PENDIENTE",D103))),"VISITA COORDINADA CON EL CLIENTE","N/A"))</f>
        <v>N/A</v>
      </c>
      <c r="G103" s="12" t="str">
        <f>"#ABC"</f>
        <v>#ABC</v>
      </c>
      <c r="H103" s="12" t="str">
        <f>IF(base!I103="","",base!I103)</f>
        <v>SAMEDAY</v>
      </c>
      <c r="I103" s="12" t="str">
        <f>IF(base!S103="","",base!S103)</f>
        <v>Prueba 101</v>
      </c>
      <c r="J103" s="12" t="str">
        <f>IF(base!T103="","",base!T103)</f>
        <v>Calle 123
Piso 2</v>
      </c>
      <c r="K103" s="12" t="str">
        <f>IF(base!U103="","",base!U103)</f>
        <v/>
      </c>
      <c r="L103" s="12" t="str">
        <f>IF(base!Y103="","",base!Y103)</f>
        <v/>
      </c>
      <c r="M103" s="12" t="str">
        <f>IF(base!AH103="","",base!AH103)</f>
        <v/>
      </c>
      <c r="N103" s="12" t="str">
        <f>IF(base!AI103="","",base!AI103)</f>
        <v>34.072273</v>
      </c>
      <c r="O103" s="12">
        <f>IF(base!BA103="","",base!BA103)</f>
        <v>1875</v>
      </c>
      <c r="P103" s="13">
        <f>IF(base!BK103="","",base!BK103)</f>
        <v>46303.805902777778</v>
      </c>
      <c r="Q103" s="15" t="str">
        <f>IF(base!BS103="","",base!BS103)</f>
        <v/>
      </c>
    </row>
    <row r="104" spans="1:17" ht="30" x14ac:dyDescent="0.35">
      <c r="A104" s="14">
        <f>IF(base!A104="","",base!A104)</f>
        <v>6200102</v>
      </c>
      <c r="B104" s="13">
        <f>IF(base!BN104="","",base!BN104)</f>
        <v>46303.625</v>
      </c>
      <c r="C104" s="12" t="str">
        <f>IF(base!C104="","",base!C104)</f>
        <v>ZETABURGOS SRL</v>
      </c>
      <c r="D104" s="12" t="str">
        <f>IF(base!E104="","",base!E104)</f>
        <v>1RVT - 1° VISITA</v>
      </c>
      <c r="E104" s="12" t="str">
        <f>IF(base!BF104="","",base!BF104)</f>
        <v/>
      </c>
      <c r="F104" s="12" t="str">
        <f>IF(D104="","",IF(OR(ISNUMBER(SEARCH("VISITA",D104)),ISNUMBER(SEARCH("RUTA",D104)),ISNUMBER(SEARCH("ARRIB",D104)),ISNUMBER(SEARCH("MATRIZ",D104)),ISNUMBER(SEARCH("PENDIENTE",D104))),"VISITA COORDINADA CON EL CLIENTE","N/A"))</f>
        <v>VISITA COORDINADA CON EL CLIENTE</v>
      </c>
      <c r="G104" s="12">
        <f>IF(base!G104="","",base!G104)</f>
        <v>470123456</v>
      </c>
      <c r="H104" s="12" t="str">
        <f>IF(base!I104="","",base!I104)</f>
        <v>FLEX</v>
      </c>
      <c r="I104" s="12" t="str">
        <f>IF(base!S104="","",base!S104)</f>
        <v>Prueba 102</v>
      </c>
      <c r="J104" s="12" t="str">
        <f>IF(base!T104="","",base!T104)</f>
        <v>Calle 123
Piso 2</v>
      </c>
      <c r="K104" s="12" t="str">
        <f>IF(base!U104="","",base!U104)</f>
        <v/>
      </c>
      <c r="L104" s="12" t="str">
        <f>IF(base!Y104="","",base!Y104)</f>
        <v/>
      </c>
      <c r="M104" s="12" t="str">
        <f>IF(base!AH104="","",base!AH104)</f>
        <v/>
      </c>
      <c r="N104" s="12" t="str">
        <f>IF(base!AI104="","",base!AI104)</f>
        <v>34.072273</v>
      </c>
      <c r="O104" s="12">
        <f>IF(base!BA104="","",base!BA104)</f>
        <v>1875</v>
      </c>
      <c r="P104" s="13">
        <f>IF(base!BK104="","",base!BK104)</f>
        <v>46303.805902777778</v>
      </c>
      <c r="Q104" s="15" t="str">
        <f>IF(base!BS104="","",base!BS104)</f>
        <v/>
      </c>
    </row>
    <row r="105" spans="1:17" ht="30" x14ac:dyDescent="0.35">
      <c r="A105" s="14">
        <f>IF(base!A105="","",base!A105)</f>
        <v>6200103</v>
      </c>
      <c r="B105" s="13">
        <f>IF(base!BN105="","",base!BN105)</f>
        <v>46303.625</v>
      </c>
      <c r="C105" s="12" t="str">
        <f>IF(base!C105="","",base!C105)</f>
        <v>ZETABURGOS SRL</v>
      </c>
      <c r="D105" s="12" t="str">
        <f>IF(base!E105="","",base!E105)</f>
        <v>ENTREGADO</v>
      </c>
      <c r="E105" s="12" t="str">
        <f>IF(base!BF105="","",base!BF105)</f>
        <v/>
      </c>
      <c r="F105" s="12" t="str">
        <f>IF(D105="","",IF(OR(ISNUMBER(SEARCH("VISITA",D105)),ISNUMBER(SEARCH("RUTA",D105)),ISNUMBER(SEARCH("ARRIB",D105)),ISNUMBER(SEARCH("MATRIZ",D105)),ISNUMBER(SEARCH("PENDIENTE",D105))),"VISITA COORDINADA CON EL CLIENTE","N/A"))</f>
        <v>N/A</v>
      </c>
      <c r="G105" s="12" t="str">
        <f>IF(base!G105="","",base!G105)</f>
        <v>ABC001</v>
      </c>
      <c r="H105" s="12" t="str">
        <f>IF(base!I105="","",base!I105)</f>
        <v>SAMEDAY</v>
      </c>
      <c r="I105" s="12" t="str">
        <f>IF(base!S105="","",base!S105)</f>
        <v>Prueba 103</v>
      </c>
      <c r="J105" s="12" t="str">
        <f>IF(base!T105="","",base!T105)</f>
        <v>Calle 123
Piso 2</v>
      </c>
      <c r="K105" s="12" t="str">
        <f>IF(base!U105="","",base!U105)</f>
        <v/>
      </c>
      <c r="L105" s="12" t="str">
        <f>IF(base!Y105="","",base!Y105)</f>
        <v/>
      </c>
      <c r="M105" s="12" t="str">
        <f>IF(base!AH105="","",base!AH105)</f>
        <v/>
      </c>
      <c r="N105" s="12" t="str">
        <f>IF(base!AI105="","",base!AI105)</f>
        <v>34.072273</v>
      </c>
      <c r="O105" s="12">
        <f>IF(base!BA105="","",base!BA105)</f>
        <v>1875</v>
      </c>
      <c r="P105" s="13">
        <f>IF(base!BK105="","",base!BK105)</f>
        <v>46303.805902777778</v>
      </c>
      <c r="Q105" s="15" t="str">
        <f>IF(base!BS105="","",base!BS105)</f>
        <v/>
      </c>
    </row>
    <row r="106" spans="1:17" ht="30" x14ac:dyDescent="0.35">
      <c r="A106" s="14">
        <f>IF(base!A106="","",base!A106)</f>
        <v>6200104</v>
      </c>
      <c r="B106" s="13">
        <f>IF(base!BN106="","",base!BN106)</f>
        <v>46303.625</v>
      </c>
      <c r="C106" s="12" t="str">
        <f>IF(base!C106="","",base!C106)</f>
        <v>ZETABURGOS SRL</v>
      </c>
      <c r="D106" s="12" t="str">
        <f>IF(base!E106="","",base!E106)</f>
        <v>REPROGRAMACIÓN</v>
      </c>
      <c r="E106" s="12" t="str">
        <f>IF(base!BF106="","",base!BF106)</f>
        <v/>
      </c>
      <c r="F106" s="12" t="str">
        <f>IF(D106="","",IF(OR(ISNUMBER(SEARCH("VISITA",D106)),ISNUMBER(SEARCH("RUTA",D106)),ISNUMBER(SEARCH("ARRIB",D106)),ISNUMBER(SEARCH("MATRIZ",D106)),ISNUMBER(SEARCH("PENDIENTE",D106))),"VISITA COORDINADA CON EL CLIENTE","N/A"))</f>
        <v>N/A</v>
      </c>
      <c r="G106" s="12" t="str">
        <f>IF(base!G106="","",base!G106)</f>
        <v>2000018857041302</v>
      </c>
      <c r="H106" s="12" t="str">
        <f>IF(base!I106="","",base!I106)</f>
        <v>FLEX</v>
      </c>
      <c r="I106" s="12" t="str">
        <f>IF(base!S106="","",base!S106)</f>
        <v>Prueba 104</v>
      </c>
      <c r="J106" s="12" t="str">
        <f>IF(base!T106="","",base!T106)</f>
        <v>Calle 123
Piso 2</v>
      </c>
      <c r="K106" s="12" t="str">
        <f>IF(base!U106="","",base!U106)</f>
        <v/>
      </c>
      <c r="L106" s="12" t="str">
        <f>IF(base!Y106="","",base!Y106)</f>
        <v/>
      </c>
      <c r="M106" s="12" t="str">
        <f>IF(base!AH106="","",base!AH106)</f>
        <v/>
      </c>
      <c r="N106" s="12" t="str">
        <f>IF(base!AI106="","",base!AI106)</f>
        <v>34.072273</v>
      </c>
      <c r="O106" s="12">
        <f>IF(base!BA106="","",base!BA106)</f>
        <v>1875</v>
      </c>
      <c r="P106" s="13">
        <f>IF(base!BK106="","",base!BK106)</f>
        <v>46303.805902777778</v>
      </c>
      <c r="Q106" s="15" t="str">
        <f>IF(base!BS106="","",base!BS106)</f>
        <v/>
      </c>
    </row>
    <row r="107" spans="1:17" ht="30" x14ac:dyDescent="0.35">
      <c r="A107" s="14">
        <f>IF(base!A107="","",base!A107)</f>
        <v>6200105</v>
      </c>
      <c r="B107" s="13">
        <f>IF(base!BN107="","",base!BN107)</f>
        <v>46303.625</v>
      </c>
      <c r="C107" s="12" t="str">
        <f>IF(base!C107="","",base!C107)</f>
        <v>ZETABURGOS SRL</v>
      </c>
      <c r="D107" s="12" t="str">
        <f>IF(base!E107="","",base!E107)</f>
        <v>1RVT - 1° VISITA</v>
      </c>
      <c r="E107" s="12" t="str">
        <f>IF(base!BF107="","",base!BF107)</f>
        <v/>
      </c>
      <c r="F107" s="12" t="str">
        <f>IF(D107="","",IF(OR(ISNUMBER(SEARCH("VISITA",D107)),ISNUMBER(SEARCH("RUTA",D107)),ISNUMBER(SEARCH("ARRIB",D107)),ISNUMBER(SEARCH("MATRIZ",D107)),ISNUMBER(SEARCH("PENDIENTE",D107))),"VISITA COORDINADA CON EL CLIENTE","N/A"))</f>
        <v>VISITA COORDINADA CON EL CLIENTE</v>
      </c>
      <c r="G107" s="12" t="str">
        <f>IF(base!G107="","",base!G107)</f>
        <v>001234</v>
      </c>
      <c r="H107" s="12" t="str">
        <f>IF(base!I107="","",base!I107)</f>
        <v>FLEX</v>
      </c>
      <c r="I107" s="12" t="str">
        <f>IF(base!S107="","",base!S107)</f>
        <v>Prueba 105</v>
      </c>
      <c r="J107" s="12" t="str">
        <f>IF(base!T107="","",base!T107)</f>
        <v>Calle 123
Piso 2</v>
      </c>
      <c r="K107" s="12" t="str">
        <f>IF(base!U107="","",base!U107)</f>
        <v/>
      </c>
      <c r="L107" s="12" t="str">
        <f>IF(base!Y107="","",base!Y107)</f>
        <v/>
      </c>
      <c r="M107" s="12" t="str">
        <f>IF(base!AH107="","",base!AH107)</f>
        <v/>
      </c>
      <c r="N107" s="12" t="str">
        <f>IF(base!AI107="","",base!AI107)</f>
        <v>34.072273</v>
      </c>
      <c r="O107" s="12">
        <f>IF(base!BA107="","",base!BA107)</f>
        <v>1875</v>
      </c>
      <c r="P107" s="13">
        <f>IF(base!BK107="","",base!BK107)</f>
        <v>46303.805902777778</v>
      </c>
      <c r="Q107" s="15" t="str">
        <f>IF(base!BS107="","",base!BS107)</f>
        <v/>
      </c>
    </row>
    <row r="108" spans="1:17" ht="30" x14ac:dyDescent="0.35">
      <c r="A108" s="14">
        <f>IF(base!A108="","",base!A108)</f>
        <v>6200106</v>
      </c>
      <c r="B108" s="13">
        <f>IF(base!BN108="","",base!BN108)</f>
        <v>46303.625</v>
      </c>
      <c r="C108" s="12" t="str">
        <f>IF(base!C108="","",base!C108)</f>
        <v>ZETABURGOS SRL</v>
      </c>
      <c r="D108" s="12" t="str">
        <f>IF(base!E108="","",base!E108)</f>
        <v>ENTREGADO</v>
      </c>
      <c r="E108" s="12" t="str">
        <f>IF(base!BF108="","",base!BF108)</f>
        <v/>
      </c>
      <c r="F108" s="12" t="str">
        <f>IF(D108="","",IF(OR(ISNUMBER(SEARCH("VISITA",D108)),ISNUMBER(SEARCH("RUTA",D108)),ISNUMBER(SEARCH("ARRIB",D108)),ISNUMBER(SEARCH("MATRIZ",D108)),ISNUMBER(SEARCH("PENDIENTE",D108))),"VISITA COORDINADA CON EL CLIENTE","N/A"))</f>
        <v>N/A</v>
      </c>
      <c r="G108" s="12" t="str">
        <f>"#ABC"</f>
        <v>#ABC</v>
      </c>
      <c r="H108" s="12" t="str">
        <f>IF(base!I108="","",base!I108)</f>
        <v>SAMEDAY</v>
      </c>
      <c r="I108" s="12" t="str">
        <f>IF(base!S108="","",base!S108)</f>
        <v>Prueba 106</v>
      </c>
      <c r="J108" s="12" t="str">
        <f>IF(base!T108="","",base!T108)</f>
        <v>Calle 123
Piso 2</v>
      </c>
      <c r="K108" s="12" t="str">
        <f>IF(base!U108="","",base!U108)</f>
        <v/>
      </c>
      <c r="L108" s="12" t="str">
        <f>IF(base!Y108="","",base!Y108)</f>
        <v/>
      </c>
      <c r="M108" s="12" t="str">
        <f>IF(base!AH108="","",base!AH108)</f>
        <v/>
      </c>
      <c r="N108" s="12" t="str">
        <f>IF(base!AI108="","",base!AI108)</f>
        <v>34.072273</v>
      </c>
      <c r="O108" s="12">
        <f>IF(base!BA108="","",base!BA108)</f>
        <v>1875</v>
      </c>
      <c r="P108" s="13">
        <f>IF(base!BK108="","",base!BK108)</f>
        <v>46303.805902777778</v>
      </c>
      <c r="Q108" s="15" t="str">
        <f>IF(base!BS108="","",base!BS108)</f>
        <v/>
      </c>
    </row>
    <row r="109" spans="1:17" ht="30" x14ac:dyDescent="0.35">
      <c r="A109" s="14">
        <f>IF(base!A109="","",base!A109)</f>
        <v>6200107</v>
      </c>
      <c r="B109" s="13">
        <f>IF(base!BN109="","",base!BN109)</f>
        <v>46303.625</v>
      </c>
      <c r="C109" s="12" t="str">
        <f>IF(base!C109="","",base!C109)</f>
        <v>ZETABURGOS SRL</v>
      </c>
      <c r="D109" s="12" t="str">
        <f>IF(base!E109="","",base!E109)</f>
        <v>REPROGRAMACIÓN</v>
      </c>
      <c r="E109" s="12" t="str">
        <f>IF(base!BF109="","",base!BF109)</f>
        <v/>
      </c>
      <c r="F109" s="12" t="str">
        <f>IF(D109="","",IF(OR(ISNUMBER(SEARCH("VISITA",D109)),ISNUMBER(SEARCH("RUTA",D109)),ISNUMBER(SEARCH("ARRIB",D109)),ISNUMBER(SEARCH("MATRIZ",D109)),ISNUMBER(SEARCH("PENDIENTE",D109))),"VISITA COORDINADA CON EL CLIENTE","N/A"))</f>
        <v>N/A</v>
      </c>
      <c r="G109" s="12">
        <f>IF(base!G109="","",base!G109)</f>
        <v>470123456</v>
      </c>
      <c r="H109" s="12" t="str">
        <f>IF(base!I109="","",base!I109)</f>
        <v>FLEX</v>
      </c>
      <c r="I109" s="12" t="str">
        <f>IF(base!S109="","",base!S109)</f>
        <v>Prueba 107</v>
      </c>
      <c r="J109" s="12" t="str">
        <f>IF(base!T109="","",base!T109)</f>
        <v>Calle 123
Piso 2</v>
      </c>
      <c r="K109" s="12" t="str">
        <f>IF(base!U109="","",base!U109)</f>
        <v/>
      </c>
      <c r="L109" s="12" t="str">
        <f>IF(base!Y109="","",base!Y109)</f>
        <v/>
      </c>
      <c r="M109" s="12" t="str">
        <f>IF(base!AH109="","",base!AH109)</f>
        <v/>
      </c>
      <c r="N109" s="12" t="str">
        <f>IF(base!AI109="","",base!AI109)</f>
        <v>34.072273</v>
      </c>
      <c r="O109" s="12">
        <f>IF(base!BA109="","",base!BA109)</f>
        <v>1875</v>
      </c>
      <c r="P109" s="13">
        <f>IF(base!BK109="","",base!BK109)</f>
        <v>46303.805902777778</v>
      </c>
      <c r="Q109" s="15" t="str">
        <f>IF(base!BS109="","",base!BS109)</f>
        <v/>
      </c>
    </row>
    <row r="110" spans="1:17" ht="30" x14ac:dyDescent="0.35">
      <c r="A110" s="14">
        <f>IF(base!A110="","",base!A110)</f>
        <v>6200108</v>
      </c>
      <c r="B110" s="13">
        <f>IF(base!BN110="","",base!BN110)</f>
        <v>46303.625</v>
      </c>
      <c r="C110" s="12" t="str">
        <f>IF(base!C110="","",base!C110)</f>
        <v>ZETABURGOS SRL</v>
      </c>
      <c r="D110" s="12" t="str">
        <f>IF(base!E110="","",base!E110)</f>
        <v>1RVT - 1° VISITA</v>
      </c>
      <c r="E110" s="12" t="str">
        <f>IF(base!BF110="","",base!BF110)</f>
        <v/>
      </c>
      <c r="F110" s="12" t="str">
        <f>IF(D110="","",IF(OR(ISNUMBER(SEARCH("VISITA",D110)),ISNUMBER(SEARCH("RUTA",D110)),ISNUMBER(SEARCH("ARRIB",D110)),ISNUMBER(SEARCH("MATRIZ",D110)),ISNUMBER(SEARCH("PENDIENTE",D110))),"VISITA COORDINADA CON EL CLIENTE","N/A"))</f>
        <v>VISITA COORDINADA CON EL CLIENTE</v>
      </c>
      <c r="G110" s="12" t="str">
        <f>IF(base!G110="","",base!G110)</f>
        <v>ABC001</v>
      </c>
      <c r="H110" s="12" t="str">
        <f>IF(base!I110="","",base!I110)</f>
        <v>SAMEDAY</v>
      </c>
      <c r="I110" s="12" t="str">
        <f>IF(base!S110="","",base!S110)</f>
        <v>Prueba 108</v>
      </c>
      <c r="J110" s="12" t="str">
        <f>IF(base!T110="","",base!T110)</f>
        <v>Calle 123
Piso 2</v>
      </c>
      <c r="K110" s="12" t="str">
        <f>IF(base!U110="","",base!U110)</f>
        <v/>
      </c>
      <c r="L110" s="12" t="str">
        <f>IF(base!Y110="","",base!Y110)</f>
        <v/>
      </c>
      <c r="M110" s="12" t="str">
        <f>IF(base!AH110="","",base!AH110)</f>
        <v/>
      </c>
      <c r="N110" s="12" t="str">
        <f>IF(base!AI110="","",base!AI110)</f>
        <v>34.072273</v>
      </c>
      <c r="O110" s="12">
        <f>IF(base!BA110="","",base!BA110)</f>
        <v>1875</v>
      </c>
      <c r="P110" s="13">
        <f>IF(base!BK110="","",base!BK110)</f>
        <v>46303.805902777778</v>
      </c>
      <c r="Q110" s="15" t="str">
        <f>IF(base!BS110="","",base!BS110)</f>
        <v/>
      </c>
    </row>
    <row r="111" spans="1:17" ht="30" x14ac:dyDescent="0.35">
      <c r="A111" s="14">
        <f>IF(base!A111="","",base!A111)</f>
        <v>6200109</v>
      </c>
      <c r="B111" s="13">
        <f>IF(base!BN111="","",base!BN111)</f>
        <v>46303.625</v>
      </c>
      <c r="C111" s="12" t="str">
        <f>IF(base!C111="","",base!C111)</f>
        <v>ZETABURGOS SRL</v>
      </c>
      <c r="D111" s="12" t="str">
        <f>IF(base!E111="","",base!E111)</f>
        <v>ENTREGADO</v>
      </c>
      <c r="E111" s="12" t="str">
        <f>IF(base!BF111="","",base!BF111)</f>
        <v/>
      </c>
      <c r="F111" s="12" t="str">
        <f>IF(D111="","",IF(OR(ISNUMBER(SEARCH("VISITA",D111)),ISNUMBER(SEARCH("RUTA",D111)),ISNUMBER(SEARCH("ARRIB",D111)),ISNUMBER(SEARCH("MATRIZ",D111)),ISNUMBER(SEARCH("PENDIENTE",D111))),"VISITA COORDINADA CON EL CLIENTE","N/A"))</f>
        <v>N/A</v>
      </c>
      <c r="G111" s="12" t="str">
        <f>IF(base!G111="","",base!G111)</f>
        <v>2000018857041302</v>
      </c>
      <c r="H111" s="12" t="str">
        <f>IF(base!I111="","",base!I111)</f>
        <v>FLEX</v>
      </c>
      <c r="I111" s="12" t="str">
        <f>IF(base!S111="","",base!S111)</f>
        <v>Prueba 109</v>
      </c>
      <c r="J111" s="12" t="str">
        <f>IF(base!T111="","",base!T111)</f>
        <v>Calle 123
Piso 2</v>
      </c>
      <c r="K111" s="12" t="str">
        <f>IF(base!U111="","",base!U111)</f>
        <v/>
      </c>
      <c r="L111" s="12" t="str">
        <f>IF(base!Y111="","",base!Y111)</f>
        <v/>
      </c>
      <c r="M111" s="12" t="str">
        <f>IF(base!AH111="","",base!AH111)</f>
        <v/>
      </c>
      <c r="N111" s="12" t="str">
        <f>IF(base!AI111="","",base!AI111)</f>
        <v>34.072273</v>
      </c>
      <c r="O111" s="12">
        <f>IF(base!BA111="","",base!BA111)</f>
        <v>1875</v>
      </c>
      <c r="P111" s="13">
        <f>IF(base!BK111="","",base!BK111)</f>
        <v>46303.805902777778</v>
      </c>
      <c r="Q111" s="15" t="str">
        <f>IF(base!BS111="","",base!BS111)</f>
        <v/>
      </c>
    </row>
    <row r="112" spans="1:17" ht="30" x14ac:dyDescent="0.35">
      <c r="A112" s="14">
        <f>IF(base!A112="","",base!A112)</f>
        <v>6200110</v>
      </c>
      <c r="B112" s="13">
        <f>IF(base!BN112="","",base!BN112)</f>
        <v>46303.625</v>
      </c>
      <c r="C112" s="12" t="str">
        <f>IF(base!C112="","",base!C112)</f>
        <v>ZETABURGOS SRL</v>
      </c>
      <c r="D112" s="12" t="str">
        <f>IF(base!E112="","",base!E112)</f>
        <v>REPROGRAMACIÓN</v>
      </c>
      <c r="E112" s="12" t="str">
        <f>IF(base!BF112="","",base!BF112)</f>
        <v/>
      </c>
      <c r="F112" s="12" t="str">
        <f>IF(D112="","",IF(OR(ISNUMBER(SEARCH("VISITA",D112)),ISNUMBER(SEARCH("RUTA",D112)),ISNUMBER(SEARCH("ARRIB",D112)),ISNUMBER(SEARCH("MATRIZ",D112)),ISNUMBER(SEARCH("PENDIENTE",D112))),"VISITA COORDINADA CON EL CLIENTE","N/A"))</f>
        <v>N/A</v>
      </c>
      <c r="G112" s="12" t="str">
        <f>IF(base!G112="","",base!G112)</f>
        <v>001234</v>
      </c>
      <c r="H112" s="12" t="str">
        <f>IF(base!I112="","",base!I112)</f>
        <v>FLEX</v>
      </c>
      <c r="I112" s="12" t="str">
        <f>IF(base!S112="","",base!S112)</f>
        <v>Prueba 110</v>
      </c>
      <c r="J112" s="12" t="str">
        <f>IF(base!T112="","",base!T112)</f>
        <v>Calle 123
Piso 2</v>
      </c>
      <c r="K112" s="12" t="str">
        <f>IF(base!U112="","",base!U112)</f>
        <v/>
      </c>
      <c r="L112" s="12" t="str">
        <f>IF(base!Y112="","",base!Y112)</f>
        <v/>
      </c>
      <c r="M112" s="12" t="str">
        <f>IF(base!AH112="","",base!AH112)</f>
        <v/>
      </c>
      <c r="N112" s="12" t="str">
        <f>IF(base!AI112="","",base!AI112)</f>
        <v>34.072273</v>
      </c>
      <c r="O112" s="12">
        <f>IF(base!BA112="","",base!BA112)</f>
        <v>1875</v>
      </c>
      <c r="P112" s="13">
        <f>IF(base!BK112="","",base!BK112)</f>
        <v>46303.805902777778</v>
      </c>
      <c r="Q112" s="15" t="str">
        <f>IF(base!BS112="","",base!BS112)</f>
        <v/>
      </c>
    </row>
    <row r="113" spans="1:17" ht="30" x14ac:dyDescent="0.35">
      <c r="A113" s="14">
        <f>IF(base!A113="","",base!A113)</f>
        <v>6200111</v>
      </c>
      <c r="B113" s="13">
        <f>IF(base!BN113="","",base!BN113)</f>
        <v>46303.625</v>
      </c>
      <c r="C113" s="12" t="str">
        <f>IF(base!C113="","",base!C113)</f>
        <v>ZETABURGOS SRL</v>
      </c>
      <c r="D113" s="12" t="str">
        <f>IF(base!E113="","",base!E113)</f>
        <v>1RVT - 1° VISITA</v>
      </c>
      <c r="E113" s="12" t="str">
        <f>IF(base!BF113="","",base!BF113)</f>
        <v/>
      </c>
      <c r="F113" s="12" t="str">
        <f>IF(D113="","",IF(OR(ISNUMBER(SEARCH("VISITA",D113)),ISNUMBER(SEARCH("RUTA",D113)),ISNUMBER(SEARCH("ARRIB",D113)),ISNUMBER(SEARCH("MATRIZ",D113)),ISNUMBER(SEARCH("PENDIENTE",D113))),"VISITA COORDINADA CON EL CLIENTE","N/A"))</f>
        <v>VISITA COORDINADA CON EL CLIENTE</v>
      </c>
      <c r="G113" s="12" t="str">
        <f>"#ABC"</f>
        <v>#ABC</v>
      </c>
      <c r="H113" s="12" t="str">
        <f>IF(base!I113="","",base!I113)</f>
        <v>SAMEDAY</v>
      </c>
      <c r="I113" s="12" t="str">
        <f>IF(base!S113="","",base!S113)</f>
        <v>Prueba 111</v>
      </c>
      <c r="J113" s="12" t="str">
        <f>IF(base!T113="","",base!T113)</f>
        <v>Calle 123
Piso 2</v>
      </c>
      <c r="K113" s="12" t="str">
        <f>IF(base!U113="","",base!U113)</f>
        <v/>
      </c>
      <c r="L113" s="12" t="str">
        <f>IF(base!Y113="","",base!Y113)</f>
        <v/>
      </c>
      <c r="M113" s="12" t="str">
        <f>IF(base!AH113="","",base!AH113)</f>
        <v/>
      </c>
      <c r="N113" s="12" t="str">
        <f>IF(base!AI113="","",base!AI113)</f>
        <v>34.072273</v>
      </c>
      <c r="O113" s="12">
        <f>IF(base!BA113="","",base!BA113)</f>
        <v>1875</v>
      </c>
      <c r="P113" s="13">
        <f>IF(base!BK113="","",base!BK113)</f>
        <v>46303.805902777778</v>
      </c>
      <c r="Q113" s="15" t="str">
        <f>IF(base!BS113="","",base!BS113)</f>
        <v/>
      </c>
    </row>
    <row r="114" spans="1:17" ht="30" x14ac:dyDescent="0.35">
      <c r="A114" s="14">
        <f>IF(base!A114="","",base!A114)</f>
        <v>6200112</v>
      </c>
      <c r="B114" s="13">
        <f>IF(base!BN114="","",base!BN114)</f>
        <v>46303.625</v>
      </c>
      <c r="C114" s="12" t="str">
        <f>IF(base!C114="","",base!C114)</f>
        <v>ZETABURGOS SRL</v>
      </c>
      <c r="D114" s="12" t="str">
        <f>IF(base!E114="","",base!E114)</f>
        <v>ENTREGADO</v>
      </c>
      <c r="E114" s="12" t="str">
        <f>IF(base!BF114="","",base!BF114)</f>
        <v/>
      </c>
      <c r="F114" s="12" t="str">
        <f>IF(D114="","",IF(OR(ISNUMBER(SEARCH("VISITA",D114)),ISNUMBER(SEARCH("RUTA",D114)),ISNUMBER(SEARCH("ARRIB",D114)),ISNUMBER(SEARCH("MATRIZ",D114)),ISNUMBER(SEARCH("PENDIENTE",D114))),"VISITA COORDINADA CON EL CLIENTE","N/A"))</f>
        <v>N/A</v>
      </c>
      <c r="G114" s="12">
        <f>IF(base!G114="","",base!G114)</f>
        <v>470123456</v>
      </c>
      <c r="H114" s="12" t="str">
        <f>IF(base!I114="","",base!I114)</f>
        <v>FLEX</v>
      </c>
      <c r="I114" s="12" t="str">
        <f>IF(base!S114="","",base!S114)</f>
        <v>Prueba 112</v>
      </c>
      <c r="J114" s="12" t="str">
        <f>IF(base!T114="","",base!T114)</f>
        <v>Calle 123
Piso 2</v>
      </c>
      <c r="K114" s="12" t="str">
        <f>IF(base!U114="","",base!U114)</f>
        <v/>
      </c>
      <c r="L114" s="12" t="str">
        <f>IF(base!Y114="","",base!Y114)</f>
        <v/>
      </c>
      <c r="M114" s="12" t="str">
        <f>IF(base!AH114="","",base!AH114)</f>
        <v/>
      </c>
      <c r="N114" s="12" t="str">
        <f>IF(base!AI114="","",base!AI114)</f>
        <v>34.072273</v>
      </c>
      <c r="O114" s="12">
        <f>IF(base!BA114="","",base!BA114)</f>
        <v>1875</v>
      </c>
      <c r="P114" s="13">
        <f>IF(base!BK114="","",base!BK114)</f>
        <v>46303.805902777778</v>
      </c>
      <c r="Q114" s="15" t="str">
        <f>IF(base!BS114="","",base!BS114)</f>
        <v/>
      </c>
    </row>
    <row r="115" spans="1:17" ht="30" x14ac:dyDescent="0.35">
      <c r="A115" s="14">
        <f>IF(base!A115="","",base!A115)</f>
        <v>6200113</v>
      </c>
      <c r="B115" s="13">
        <f>IF(base!BN115="","",base!BN115)</f>
        <v>46303.625</v>
      </c>
      <c r="C115" s="12" t="str">
        <f>IF(base!C115="","",base!C115)</f>
        <v>ZETABURGOS SRL</v>
      </c>
      <c r="D115" s="12" t="str">
        <f>IF(base!E115="","",base!E115)</f>
        <v>REPROGRAMACIÓN</v>
      </c>
      <c r="E115" s="12" t="str">
        <f>IF(base!BF115="","",base!BF115)</f>
        <v/>
      </c>
      <c r="F115" s="12" t="str">
        <f>IF(D115="","",IF(OR(ISNUMBER(SEARCH("VISITA",D115)),ISNUMBER(SEARCH("RUTA",D115)),ISNUMBER(SEARCH("ARRIB",D115)),ISNUMBER(SEARCH("MATRIZ",D115)),ISNUMBER(SEARCH("PENDIENTE",D115))),"VISITA COORDINADA CON EL CLIENTE","N/A"))</f>
        <v>N/A</v>
      </c>
      <c r="G115" s="12" t="str">
        <f>IF(base!G115="","",base!G115)</f>
        <v>ABC001</v>
      </c>
      <c r="H115" s="12" t="str">
        <f>IF(base!I115="","",base!I115)</f>
        <v>SAMEDAY</v>
      </c>
      <c r="I115" s="12" t="str">
        <f>IF(base!S115="","",base!S115)</f>
        <v>Prueba 113</v>
      </c>
      <c r="J115" s="12" t="str">
        <f>IF(base!T115="","",base!T115)</f>
        <v>Calle 123
Piso 2</v>
      </c>
      <c r="K115" s="12" t="str">
        <f>IF(base!U115="","",base!U115)</f>
        <v/>
      </c>
      <c r="L115" s="12" t="str">
        <f>IF(base!Y115="","",base!Y115)</f>
        <v/>
      </c>
      <c r="M115" s="12" t="str">
        <f>IF(base!AH115="","",base!AH115)</f>
        <v/>
      </c>
      <c r="N115" s="12" t="str">
        <f>IF(base!AI115="","",base!AI115)</f>
        <v>34.072273</v>
      </c>
      <c r="O115" s="12">
        <f>IF(base!BA115="","",base!BA115)</f>
        <v>1875</v>
      </c>
      <c r="P115" s="13">
        <f>IF(base!BK115="","",base!BK115)</f>
        <v>46303.805902777778</v>
      </c>
      <c r="Q115" s="15" t="str">
        <f>IF(base!BS115="","",base!BS115)</f>
        <v/>
      </c>
    </row>
    <row r="116" spans="1:17" ht="30" x14ac:dyDescent="0.35">
      <c r="A116" s="14">
        <f>IF(base!A116="","",base!A116)</f>
        <v>6200114</v>
      </c>
      <c r="B116" s="13">
        <f>IF(base!BN116="","",base!BN116)</f>
        <v>46303.625</v>
      </c>
      <c r="C116" s="12" t="str">
        <f>IF(base!C116="","",base!C116)</f>
        <v>ZETABURGOS SRL</v>
      </c>
      <c r="D116" s="12" t="str">
        <f>IF(base!E116="","",base!E116)</f>
        <v>1RVT - 1° VISITA</v>
      </c>
      <c r="E116" s="12" t="str">
        <f>IF(base!BF116="","",base!BF116)</f>
        <v/>
      </c>
      <c r="F116" s="12" t="str">
        <f>IF(D116="","",IF(OR(ISNUMBER(SEARCH("VISITA",D116)),ISNUMBER(SEARCH("RUTA",D116)),ISNUMBER(SEARCH("ARRIB",D116)),ISNUMBER(SEARCH("MATRIZ",D116)),ISNUMBER(SEARCH("PENDIENTE",D116))),"VISITA COORDINADA CON EL CLIENTE","N/A"))</f>
        <v>VISITA COORDINADA CON EL CLIENTE</v>
      </c>
      <c r="G116" s="12" t="str">
        <f>IF(base!G116="","",base!G116)</f>
        <v>2000018857041302</v>
      </c>
      <c r="H116" s="12" t="str">
        <f>IF(base!I116="","",base!I116)</f>
        <v>FLEX</v>
      </c>
      <c r="I116" s="12" t="str">
        <f>IF(base!S116="","",base!S116)</f>
        <v>Prueba 114</v>
      </c>
      <c r="J116" s="12" t="str">
        <f>IF(base!T116="","",base!T116)</f>
        <v>Calle 123
Piso 2</v>
      </c>
      <c r="K116" s="12" t="str">
        <f>IF(base!U116="","",base!U116)</f>
        <v/>
      </c>
      <c r="L116" s="12" t="str">
        <f>IF(base!Y116="","",base!Y116)</f>
        <v/>
      </c>
      <c r="M116" s="12" t="str">
        <f>IF(base!AH116="","",base!AH116)</f>
        <v/>
      </c>
      <c r="N116" s="12" t="str">
        <f>IF(base!AI116="","",base!AI116)</f>
        <v>34.072273</v>
      </c>
      <c r="O116" s="12">
        <f>IF(base!BA116="","",base!BA116)</f>
        <v>1875</v>
      </c>
      <c r="P116" s="13">
        <f>IF(base!BK116="","",base!BK116)</f>
        <v>46303.805902777778</v>
      </c>
      <c r="Q116" s="15" t="str">
        <f>IF(base!BS116="","",base!BS116)</f>
        <v/>
      </c>
    </row>
    <row r="117" spans="1:17" ht="30" x14ac:dyDescent="0.35">
      <c r="A117" s="14">
        <f>IF(base!A117="","",base!A117)</f>
        <v>6200115</v>
      </c>
      <c r="B117" s="13">
        <f>IF(base!BN117="","",base!BN117)</f>
        <v>46303.625</v>
      </c>
      <c r="C117" s="12" t="str">
        <f>IF(base!C117="","",base!C117)</f>
        <v>ZETABURGOS SRL</v>
      </c>
      <c r="D117" s="12" t="str">
        <f>IF(base!E117="","",base!E117)</f>
        <v>ENTREGADO</v>
      </c>
      <c r="E117" s="12" t="str">
        <f>IF(base!BF117="","",base!BF117)</f>
        <v/>
      </c>
      <c r="F117" s="12" t="str">
        <f>IF(D117="","",IF(OR(ISNUMBER(SEARCH("VISITA",D117)),ISNUMBER(SEARCH("RUTA",D117)),ISNUMBER(SEARCH("ARRIB",D117)),ISNUMBER(SEARCH("MATRIZ",D117)),ISNUMBER(SEARCH("PENDIENTE",D117))),"VISITA COORDINADA CON EL CLIENTE","N/A"))</f>
        <v>N/A</v>
      </c>
      <c r="G117" s="12" t="str">
        <f>IF(base!G117="","",base!G117)</f>
        <v>001234</v>
      </c>
      <c r="H117" s="12" t="str">
        <f>IF(base!I117="","",base!I117)</f>
        <v>FLEX</v>
      </c>
      <c r="I117" s="12" t="str">
        <f>IF(base!S117="","",base!S117)</f>
        <v>Prueba 115</v>
      </c>
      <c r="J117" s="12" t="str">
        <f>IF(base!T117="","",base!T117)</f>
        <v>Calle 123
Piso 2</v>
      </c>
      <c r="K117" s="12" t="str">
        <f>IF(base!U117="","",base!U117)</f>
        <v/>
      </c>
      <c r="L117" s="12" t="str">
        <f>IF(base!Y117="","",base!Y117)</f>
        <v/>
      </c>
      <c r="M117" s="12" t="str">
        <f>IF(base!AH117="","",base!AH117)</f>
        <v/>
      </c>
      <c r="N117" s="12" t="str">
        <f>IF(base!AI117="","",base!AI117)</f>
        <v>34.072273</v>
      </c>
      <c r="O117" s="12">
        <f>IF(base!BA117="","",base!BA117)</f>
        <v>1875</v>
      </c>
      <c r="P117" s="13">
        <f>IF(base!BK117="","",base!BK117)</f>
        <v>46303.805902777778</v>
      </c>
      <c r="Q117" s="15" t="str">
        <f>IF(base!BS117="","",base!BS117)</f>
        <v/>
      </c>
    </row>
    <row r="118" spans="1:17" ht="30" x14ac:dyDescent="0.35">
      <c r="A118" s="14">
        <f>IF(base!A118="","",base!A118)</f>
        <v>6200116</v>
      </c>
      <c r="B118" s="13">
        <f>IF(base!BN118="","",base!BN118)</f>
        <v>46303.625</v>
      </c>
      <c r="C118" s="12" t="str">
        <f>IF(base!C118="","",base!C118)</f>
        <v>ZETABURGOS SRL</v>
      </c>
      <c r="D118" s="12" t="str">
        <f>IF(base!E118="","",base!E118)</f>
        <v>REPROGRAMACIÓN</v>
      </c>
      <c r="E118" s="12" t="str">
        <f>IF(base!BF118="","",base!BF118)</f>
        <v/>
      </c>
      <c r="F118" s="12" t="str">
        <f>IF(D118="","",IF(OR(ISNUMBER(SEARCH("VISITA",D118)),ISNUMBER(SEARCH("RUTA",D118)),ISNUMBER(SEARCH("ARRIB",D118)),ISNUMBER(SEARCH("MATRIZ",D118)),ISNUMBER(SEARCH("PENDIENTE",D118))),"VISITA COORDINADA CON EL CLIENTE","N/A"))</f>
        <v>N/A</v>
      </c>
      <c r="G118" s="12" t="str">
        <f>"#ABC"</f>
        <v>#ABC</v>
      </c>
      <c r="H118" s="12" t="str">
        <f>IF(base!I118="","",base!I118)</f>
        <v>SAMEDAY</v>
      </c>
      <c r="I118" s="12" t="str">
        <f>IF(base!S118="","",base!S118)</f>
        <v>Prueba 116</v>
      </c>
      <c r="J118" s="12" t="str">
        <f>IF(base!T118="","",base!T118)</f>
        <v>Calle 123
Piso 2</v>
      </c>
      <c r="K118" s="12" t="str">
        <f>IF(base!U118="","",base!U118)</f>
        <v/>
      </c>
      <c r="L118" s="12" t="str">
        <f>IF(base!Y118="","",base!Y118)</f>
        <v/>
      </c>
      <c r="M118" s="12" t="str">
        <f>IF(base!AH118="","",base!AH118)</f>
        <v/>
      </c>
      <c r="N118" s="12" t="str">
        <f>IF(base!AI118="","",base!AI118)</f>
        <v>34.072273</v>
      </c>
      <c r="O118" s="12">
        <f>IF(base!BA118="","",base!BA118)</f>
        <v>1875</v>
      </c>
      <c r="P118" s="13">
        <f>IF(base!BK118="","",base!BK118)</f>
        <v>46303.805902777778</v>
      </c>
      <c r="Q118" s="15" t="str">
        <f>IF(base!BS118="","",base!BS118)</f>
        <v/>
      </c>
    </row>
    <row r="119" spans="1:17" ht="30" x14ac:dyDescent="0.35">
      <c r="A119" s="14">
        <f>IF(base!A119="","",base!A119)</f>
        <v>6200117</v>
      </c>
      <c r="B119" s="13">
        <f>IF(base!BN119="","",base!BN119)</f>
        <v>46303.625</v>
      </c>
      <c r="C119" s="12" t="str">
        <f>IF(base!C119="","",base!C119)</f>
        <v>ZETABURGOS SRL</v>
      </c>
      <c r="D119" s="12" t="str">
        <f>IF(base!E119="","",base!E119)</f>
        <v>1RVT - 1° VISITA</v>
      </c>
      <c r="E119" s="12" t="str">
        <f>IF(base!BF119="","",base!BF119)</f>
        <v/>
      </c>
      <c r="F119" s="12" t="str">
        <f>IF(D119="","",IF(OR(ISNUMBER(SEARCH("VISITA",D119)),ISNUMBER(SEARCH("RUTA",D119)),ISNUMBER(SEARCH("ARRIB",D119)),ISNUMBER(SEARCH("MATRIZ",D119)),ISNUMBER(SEARCH("PENDIENTE",D119))),"VISITA COORDINADA CON EL CLIENTE","N/A"))</f>
        <v>VISITA COORDINADA CON EL CLIENTE</v>
      </c>
      <c r="G119" s="12">
        <f>IF(base!G119="","",base!G119)</f>
        <v>470123456</v>
      </c>
      <c r="H119" s="12" t="str">
        <f>IF(base!I119="","",base!I119)</f>
        <v>FLEX</v>
      </c>
      <c r="I119" s="12" t="str">
        <f>IF(base!S119="","",base!S119)</f>
        <v>Prueba 117</v>
      </c>
      <c r="J119" s="12" t="str">
        <f>IF(base!T119="","",base!T119)</f>
        <v>Calle 123
Piso 2</v>
      </c>
      <c r="K119" s="12" t="str">
        <f>IF(base!U119="","",base!U119)</f>
        <v/>
      </c>
      <c r="L119" s="12" t="str">
        <f>IF(base!Y119="","",base!Y119)</f>
        <v/>
      </c>
      <c r="M119" s="12" t="str">
        <f>IF(base!AH119="","",base!AH119)</f>
        <v/>
      </c>
      <c r="N119" s="12" t="str">
        <f>IF(base!AI119="","",base!AI119)</f>
        <v>34.072273</v>
      </c>
      <c r="O119" s="12">
        <f>IF(base!BA119="","",base!BA119)</f>
        <v>1875</v>
      </c>
      <c r="P119" s="13">
        <f>IF(base!BK119="","",base!BK119)</f>
        <v>46303.805902777778</v>
      </c>
      <c r="Q119" s="15" t="str">
        <f>IF(base!BS119="","",base!BS119)</f>
        <v/>
      </c>
    </row>
    <row r="120" spans="1:17" ht="30" x14ac:dyDescent="0.35">
      <c r="A120" s="14">
        <f>IF(base!A120="","",base!A120)</f>
        <v>6200118</v>
      </c>
      <c r="B120" s="13">
        <f>IF(base!BN120="","",base!BN120)</f>
        <v>46303.625</v>
      </c>
      <c r="C120" s="12" t="str">
        <f>IF(base!C120="","",base!C120)</f>
        <v>ZETABURGOS SRL</v>
      </c>
      <c r="D120" s="12" t="str">
        <f>IF(base!E120="","",base!E120)</f>
        <v>ENTREGADO</v>
      </c>
      <c r="E120" s="12" t="str">
        <f>IF(base!BF120="","",base!BF120)</f>
        <v/>
      </c>
      <c r="F120" s="12" t="str">
        <f>IF(D120="","",IF(OR(ISNUMBER(SEARCH("VISITA",D120)),ISNUMBER(SEARCH("RUTA",D120)),ISNUMBER(SEARCH("ARRIB",D120)),ISNUMBER(SEARCH("MATRIZ",D120)),ISNUMBER(SEARCH("PENDIENTE",D120))),"VISITA COORDINADA CON EL CLIENTE","N/A"))</f>
        <v>N/A</v>
      </c>
      <c r="G120" s="12" t="str">
        <f>IF(base!G120="","",base!G120)</f>
        <v>ABC001</v>
      </c>
      <c r="H120" s="12" t="str">
        <f>IF(base!I120="","",base!I120)</f>
        <v>SAMEDAY</v>
      </c>
      <c r="I120" s="12" t="str">
        <f>IF(base!S120="","",base!S120)</f>
        <v>Prueba 118</v>
      </c>
      <c r="J120" s="12" t="str">
        <f>IF(base!T120="","",base!T120)</f>
        <v>Calle 123
Piso 2</v>
      </c>
      <c r="K120" s="12" t="str">
        <f>IF(base!U120="","",base!U120)</f>
        <v/>
      </c>
      <c r="L120" s="12" t="str">
        <f>IF(base!Y120="","",base!Y120)</f>
        <v/>
      </c>
      <c r="M120" s="12" t="str">
        <f>IF(base!AH120="","",base!AH120)</f>
        <v/>
      </c>
      <c r="N120" s="12" t="str">
        <f>IF(base!AI120="","",base!AI120)</f>
        <v>34.072273</v>
      </c>
      <c r="O120" s="12">
        <f>IF(base!BA120="","",base!BA120)</f>
        <v>1875</v>
      </c>
      <c r="P120" s="13">
        <f>IF(base!BK120="","",base!BK120)</f>
        <v>46303.805902777778</v>
      </c>
      <c r="Q120" s="15" t="str">
        <f>IF(base!BS120="","",base!BS120)</f>
        <v/>
      </c>
    </row>
    <row r="121" spans="1:17" ht="30" x14ac:dyDescent="0.35">
      <c r="A121" s="14">
        <f>IF(base!A121="","",base!A121)</f>
        <v>6200119</v>
      </c>
      <c r="B121" s="13">
        <f>IF(base!BN121="","",base!BN121)</f>
        <v>46303.625</v>
      </c>
      <c r="C121" s="12" t="str">
        <f>IF(base!C121="","",base!C121)</f>
        <v>ZETABURGOS SRL</v>
      </c>
      <c r="D121" s="12" t="str">
        <f>IF(base!E121="","",base!E121)</f>
        <v>REPROGRAMACIÓN</v>
      </c>
      <c r="E121" s="12" t="str">
        <f>IF(base!BF121="","",base!BF121)</f>
        <v/>
      </c>
      <c r="F121" s="12" t="str">
        <f>IF(D121="","",IF(OR(ISNUMBER(SEARCH("VISITA",D121)),ISNUMBER(SEARCH("RUTA",D121)),ISNUMBER(SEARCH("ARRIB",D121)),ISNUMBER(SEARCH("MATRIZ",D121)),ISNUMBER(SEARCH("PENDIENTE",D121))),"VISITA COORDINADA CON EL CLIENTE","N/A"))</f>
        <v>N/A</v>
      </c>
      <c r="G121" s="12" t="str">
        <f>IF(base!G121="","",base!G121)</f>
        <v>2000018857041302</v>
      </c>
      <c r="H121" s="12" t="str">
        <f>IF(base!I121="","",base!I121)</f>
        <v>FLEX</v>
      </c>
      <c r="I121" s="12" t="str">
        <f>IF(base!S121="","",base!S121)</f>
        <v>Prueba 119</v>
      </c>
      <c r="J121" s="12" t="str">
        <f>IF(base!T121="","",base!T121)</f>
        <v>Calle 123
Piso 2</v>
      </c>
      <c r="K121" s="12" t="str">
        <f>IF(base!U121="","",base!U121)</f>
        <v/>
      </c>
      <c r="L121" s="12" t="str">
        <f>IF(base!Y121="","",base!Y121)</f>
        <v/>
      </c>
      <c r="M121" s="12" t="str">
        <f>IF(base!AH121="","",base!AH121)</f>
        <v/>
      </c>
      <c r="N121" s="12" t="str">
        <f>IF(base!AI121="","",base!AI121)</f>
        <v>34.072273</v>
      </c>
      <c r="O121" s="12">
        <f>IF(base!BA121="","",base!BA121)</f>
        <v>1875</v>
      </c>
      <c r="P121" s="13">
        <f>IF(base!BK121="","",base!BK121)</f>
        <v>46303.805902777778</v>
      </c>
      <c r="Q121" s="15" t="str">
        <f>IF(base!BS121="","",base!BS121)</f>
        <v/>
      </c>
    </row>
    <row r="122" spans="1:17" ht="30" x14ac:dyDescent="0.35">
      <c r="A122" s="14">
        <f>IF(base!A122="","",base!A122)</f>
        <v>6200120</v>
      </c>
      <c r="B122" s="13">
        <f>IF(base!BN122="","",base!BN122)</f>
        <v>46303.625</v>
      </c>
      <c r="C122" s="12" t="str">
        <f>IF(base!C122="","",base!C122)</f>
        <v>ZETABURGOS SRL</v>
      </c>
      <c r="D122" s="12" t="str">
        <f>IF(base!E122="","",base!E122)</f>
        <v>1RVT - 1° VISITA</v>
      </c>
      <c r="E122" s="12" t="str">
        <f>IF(base!BF122="","",base!BF122)</f>
        <v/>
      </c>
      <c r="F122" s="12" t="str">
        <f>IF(D122="","",IF(OR(ISNUMBER(SEARCH("VISITA",D122)),ISNUMBER(SEARCH("RUTA",D122)),ISNUMBER(SEARCH("ARRIB",D122)),ISNUMBER(SEARCH("MATRIZ",D122)),ISNUMBER(SEARCH("PENDIENTE",D122))),"VISITA COORDINADA CON EL CLIENTE","N/A"))</f>
        <v>VISITA COORDINADA CON EL CLIENTE</v>
      </c>
      <c r="G122" s="12" t="str">
        <f>IF(base!G122="","",base!G122)</f>
        <v>001234</v>
      </c>
      <c r="H122" s="12" t="str">
        <f>IF(base!I122="","",base!I122)</f>
        <v>FLEX</v>
      </c>
      <c r="I122" s="12" t="str">
        <f>IF(base!S122="","",base!S122)</f>
        <v>Prueba 120</v>
      </c>
      <c r="J122" s="12" t="str">
        <f>IF(base!T122="","",base!T122)</f>
        <v>Calle 123
Piso 2</v>
      </c>
      <c r="K122" s="12" t="str">
        <f>IF(base!U122="","",base!U122)</f>
        <v/>
      </c>
      <c r="L122" s="12" t="str">
        <f>IF(base!Y122="","",base!Y122)</f>
        <v/>
      </c>
      <c r="M122" s="12" t="str">
        <f>IF(base!AH122="","",base!AH122)</f>
        <v/>
      </c>
      <c r="N122" s="12" t="str">
        <f>IF(base!AI122="","",base!AI122)</f>
        <v>34.072273</v>
      </c>
      <c r="O122" s="12">
        <f>IF(base!BA122="","",base!BA122)</f>
        <v>1875</v>
      </c>
      <c r="P122" s="13">
        <f>IF(base!BK122="","",base!BK122)</f>
        <v>46303.805902777778</v>
      </c>
      <c r="Q122" s="15" t="str">
        <f>IF(base!BS122="","",base!BS122)</f>
        <v/>
      </c>
    </row>
    <row r="123" spans="1:17" ht="30" x14ac:dyDescent="0.35">
      <c r="A123" s="14">
        <f>IF(base!A123="","",base!A123)</f>
        <v>6200121</v>
      </c>
      <c r="B123" s="13">
        <f>IF(base!BN123="","",base!BN123)</f>
        <v>46303.625</v>
      </c>
      <c r="C123" s="12" t="str">
        <f>IF(base!C123="","",base!C123)</f>
        <v>ZETABURGOS SRL</v>
      </c>
      <c r="D123" s="12" t="str">
        <f>IF(base!E123="","",base!E123)</f>
        <v>ENTREGADO</v>
      </c>
      <c r="E123" s="12" t="str">
        <f>IF(base!BF123="","",base!BF123)</f>
        <v/>
      </c>
      <c r="F123" s="12" t="str">
        <f>IF(D123="","",IF(OR(ISNUMBER(SEARCH("VISITA",D123)),ISNUMBER(SEARCH("RUTA",D123)),ISNUMBER(SEARCH("ARRIB",D123)),ISNUMBER(SEARCH("MATRIZ",D123)),ISNUMBER(SEARCH("PENDIENTE",D123))),"VISITA COORDINADA CON EL CLIENTE","N/A"))</f>
        <v>N/A</v>
      </c>
      <c r="G123" s="12" t="str">
        <f>"#ABC"</f>
        <v>#ABC</v>
      </c>
      <c r="H123" s="12" t="str">
        <f>IF(base!I123="","",base!I123)</f>
        <v>SAMEDAY</v>
      </c>
      <c r="I123" s="12" t="str">
        <f>IF(base!S123="","",base!S123)</f>
        <v>Prueba 121</v>
      </c>
      <c r="J123" s="12" t="str">
        <f>IF(base!T123="","",base!T123)</f>
        <v>Calle 123
Piso 2</v>
      </c>
      <c r="K123" s="12" t="str">
        <f>IF(base!U123="","",base!U123)</f>
        <v/>
      </c>
      <c r="L123" s="12" t="str">
        <f>IF(base!Y123="","",base!Y123)</f>
        <v/>
      </c>
      <c r="M123" s="12" t="str">
        <f>IF(base!AH123="","",base!AH123)</f>
        <v/>
      </c>
      <c r="N123" s="12" t="str">
        <f>IF(base!AI123="","",base!AI123)</f>
        <v>34.072273</v>
      </c>
      <c r="O123" s="12">
        <f>IF(base!BA123="","",base!BA123)</f>
        <v>1875</v>
      </c>
      <c r="P123" s="13">
        <f>IF(base!BK123="","",base!BK123)</f>
        <v>46303.805902777778</v>
      </c>
      <c r="Q123" s="15" t="str">
        <f>IF(base!BS123="","",base!BS123)</f>
        <v/>
      </c>
    </row>
    <row r="124" spans="1:17" ht="30" x14ac:dyDescent="0.35">
      <c r="A124" s="14">
        <f>IF(base!A124="","",base!A124)</f>
        <v>6200122</v>
      </c>
      <c r="B124" s="13">
        <f>IF(base!BN124="","",base!BN124)</f>
        <v>46303.625</v>
      </c>
      <c r="C124" s="12" t="str">
        <f>IF(base!C124="","",base!C124)</f>
        <v>ZETABURGOS SRL</v>
      </c>
      <c r="D124" s="12" t="str">
        <f>IF(base!E124="","",base!E124)</f>
        <v>REPROGRAMACIÓN</v>
      </c>
      <c r="E124" s="12" t="str">
        <f>IF(base!BF124="","",base!BF124)</f>
        <v/>
      </c>
      <c r="F124" s="12" t="str">
        <f>IF(D124="","",IF(OR(ISNUMBER(SEARCH("VISITA",D124)),ISNUMBER(SEARCH("RUTA",D124)),ISNUMBER(SEARCH("ARRIB",D124)),ISNUMBER(SEARCH("MATRIZ",D124)),ISNUMBER(SEARCH("PENDIENTE",D124))),"VISITA COORDINADA CON EL CLIENTE","N/A"))</f>
        <v>N/A</v>
      </c>
      <c r="G124" s="12">
        <f>IF(base!G124="","",base!G124)</f>
        <v>470123456</v>
      </c>
      <c r="H124" s="12" t="str">
        <f>IF(base!I124="","",base!I124)</f>
        <v>FLEX</v>
      </c>
      <c r="I124" s="12" t="str">
        <f>IF(base!S124="","",base!S124)</f>
        <v>Prueba 122</v>
      </c>
      <c r="J124" s="12" t="str">
        <f>IF(base!T124="","",base!T124)</f>
        <v>Calle 123
Piso 2</v>
      </c>
      <c r="K124" s="12" t="str">
        <f>IF(base!U124="","",base!U124)</f>
        <v/>
      </c>
      <c r="L124" s="12" t="str">
        <f>IF(base!Y124="","",base!Y124)</f>
        <v/>
      </c>
      <c r="M124" s="12" t="str">
        <f>IF(base!AH124="","",base!AH124)</f>
        <v/>
      </c>
      <c r="N124" s="12" t="str">
        <f>IF(base!AI124="","",base!AI124)</f>
        <v>34.072273</v>
      </c>
      <c r="O124" s="12">
        <f>IF(base!BA124="","",base!BA124)</f>
        <v>1875</v>
      </c>
      <c r="P124" s="13">
        <f>IF(base!BK124="","",base!BK124)</f>
        <v>46303.805902777778</v>
      </c>
      <c r="Q124" s="15" t="str">
        <f>IF(base!BS124="","",base!BS124)</f>
        <v/>
      </c>
    </row>
    <row r="125" spans="1:17" ht="30" x14ac:dyDescent="0.35">
      <c r="A125" s="14">
        <f>IF(base!A125="","",base!A125)</f>
        <v>6200123</v>
      </c>
      <c r="B125" s="13">
        <f>IF(base!BN125="","",base!BN125)</f>
        <v>46303.625</v>
      </c>
      <c r="C125" s="12" t="str">
        <f>IF(base!C125="","",base!C125)</f>
        <v>ZETABURGOS SRL</v>
      </c>
      <c r="D125" s="12" t="str">
        <f>IF(base!E125="","",base!E125)</f>
        <v>1RVT - 1° VISITA</v>
      </c>
      <c r="E125" s="12" t="str">
        <f>IF(base!BF125="","",base!BF125)</f>
        <v/>
      </c>
      <c r="F125" s="12" t="str">
        <f>IF(D125="","",IF(OR(ISNUMBER(SEARCH("VISITA",D125)),ISNUMBER(SEARCH("RUTA",D125)),ISNUMBER(SEARCH("ARRIB",D125)),ISNUMBER(SEARCH("MATRIZ",D125)),ISNUMBER(SEARCH("PENDIENTE",D125))),"VISITA COORDINADA CON EL CLIENTE","N/A"))</f>
        <v>VISITA COORDINADA CON EL CLIENTE</v>
      </c>
      <c r="G125" s="12" t="str">
        <f>IF(base!G125="","",base!G125)</f>
        <v>ABC001</v>
      </c>
      <c r="H125" s="12" t="str">
        <f>IF(base!I125="","",base!I125)</f>
        <v>SAMEDAY</v>
      </c>
      <c r="I125" s="12" t="str">
        <f>IF(base!S125="","",base!S125)</f>
        <v>Prueba 123</v>
      </c>
      <c r="J125" s="12" t="str">
        <f>IF(base!T125="","",base!T125)</f>
        <v>Calle 123
Piso 2</v>
      </c>
      <c r="K125" s="12" t="str">
        <f>IF(base!U125="","",base!U125)</f>
        <v/>
      </c>
      <c r="L125" s="12" t="str">
        <f>IF(base!Y125="","",base!Y125)</f>
        <v/>
      </c>
      <c r="M125" s="12" t="str">
        <f>IF(base!AH125="","",base!AH125)</f>
        <v/>
      </c>
      <c r="N125" s="12" t="str">
        <f>IF(base!AI125="","",base!AI125)</f>
        <v>34.072273</v>
      </c>
      <c r="O125" s="12">
        <f>IF(base!BA125="","",base!BA125)</f>
        <v>1875</v>
      </c>
      <c r="P125" s="13">
        <f>IF(base!BK125="","",base!BK125)</f>
        <v>46303.805902777778</v>
      </c>
      <c r="Q125" s="15" t="str">
        <f>IF(base!BS125="","",base!BS125)</f>
        <v/>
      </c>
    </row>
    <row r="126" spans="1:17" ht="30" x14ac:dyDescent="0.35">
      <c r="A126" s="14">
        <f>IF(base!A126="","",base!A126)</f>
        <v>6200124</v>
      </c>
      <c r="B126" s="13">
        <f>IF(base!BN126="","",base!BN126)</f>
        <v>46303.625</v>
      </c>
      <c r="C126" s="12" t="str">
        <f>IF(base!C126="","",base!C126)</f>
        <v>ZETABURGOS SRL</v>
      </c>
      <c r="D126" s="12" t="str">
        <f>IF(base!E126="","",base!E126)</f>
        <v>ENTREGADO</v>
      </c>
      <c r="E126" s="12" t="str">
        <f>IF(base!BF126="","",base!BF126)</f>
        <v/>
      </c>
      <c r="F126" s="12" t="str">
        <f>IF(D126="","",IF(OR(ISNUMBER(SEARCH("VISITA",D126)),ISNUMBER(SEARCH("RUTA",D126)),ISNUMBER(SEARCH("ARRIB",D126)),ISNUMBER(SEARCH("MATRIZ",D126)),ISNUMBER(SEARCH("PENDIENTE",D126))),"VISITA COORDINADA CON EL CLIENTE","N/A"))</f>
        <v>N/A</v>
      </c>
      <c r="G126" s="12" t="str">
        <f>IF(base!G126="","",base!G126)</f>
        <v>2000018857041302</v>
      </c>
      <c r="H126" s="12" t="str">
        <f>IF(base!I126="","",base!I126)</f>
        <v>FLEX</v>
      </c>
      <c r="I126" s="12" t="str">
        <f>IF(base!S126="","",base!S126)</f>
        <v>Prueba 124</v>
      </c>
      <c r="J126" s="12" t="str">
        <f>IF(base!T126="","",base!T126)</f>
        <v>Calle 123
Piso 2</v>
      </c>
      <c r="K126" s="12" t="str">
        <f>IF(base!U126="","",base!U126)</f>
        <v/>
      </c>
      <c r="L126" s="12" t="str">
        <f>IF(base!Y126="","",base!Y126)</f>
        <v/>
      </c>
      <c r="M126" s="12" t="str">
        <f>IF(base!AH126="","",base!AH126)</f>
        <v/>
      </c>
      <c r="N126" s="12" t="str">
        <f>IF(base!AI126="","",base!AI126)</f>
        <v>34.072273</v>
      </c>
      <c r="O126" s="12">
        <f>IF(base!BA126="","",base!BA126)</f>
        <v>1875</v>
      </c>
      <c r="P126" s="13">
        <f>IF(base!BK126="","",base!BK126)</f>
        <v>46303.805902777778</v>
      </c>
      <c r="Q126" s="15" t="str">
        <f>IF(base!BS126="","",base!BS126)</f>
        <v/>
      </c>
    </row>
    <row r="127" spans="1:17" ht="30" x14ac:dyDescent="0.35">
      <c r="A127" s="14">
        <f>IF(base!A127="","",base!A127)</f>
        <v>6200125</v>
      </c>
      <c r="B127" s="13">
        <f>IF(base!BN127="","",base!BN127)</f>
        <v>46303.625</v>
      </c>
      <c r="C127" s="12" t="str">
        <f>IF(base!C127="","",base!C127)</f>
        <v>ZETABURGOS SRL</v>
      </c>
      <c r="D127" s="12" t="str">
        <f>IF(base!E127="","",base!E127)</f>
        <v>REPROGRAMACIÓN</v>
      </c>
      <c r="E127" s="12" t="str">
        <f>IF(base!BF127="","",base!BF127)</f>
        <v/>
      </c>
      <c r="F127" s="12" t="str">
        <f>IF(D127="","",IF(OR(ISNUMBER(SEARCH("VISITA",D127)),ISNUMBER(SEARCH("RUTA",D127)),ISNUMBER(SEARCH("ARRIB",D127)),ISNUMBER(SEARCH("MATRIZ",D127)),ISNUMBER(SEARCH("PENDIENTE",D127))),"VISITA COORDINADA CON EL CLIENTE","N/A"))</f>
        <v>N/A</v>
      </c>
      <c r="G127" s="12" t="str">
        <f>IF(base!G127="","",base!G127)</f>
        <v>001234</v>
      </c>
      <c r="H127" s="12" t="str">
        <f>IF(base!I127="","",base!I127)</f>
        <v>FLEX</v>
      </c>
      <c r="I127" s="12" t="str">
        <f>IF(base!S127="","",base!S127)</f>
        <v>Prueba 125</v>
      </c>
      <c r="J127" s="12" t="str">
        <f>IF(base!T127="","",base!T127)</f>
        <v>Calle 123
Piso 2</v>
      </c>
      <c r="K127" s="12" t="str">
        <f>IF(base!U127="","",base!U127)</f>
        <v/>
      </c>
      <c r="L127" s="12" t="str">
        <f>IF(base!Y127="","",base!Y127)</f>
        <v/>
      </c>
      <c r="M127" s="12" t="str">
        <f>IF(base!AH127="","",base!AH127)</f>
        <v/>
      </c>
      <c r="N127" s="12" t="str">
        <f>IF(base!AI127="","",base!AI127)</f>
        <v>34.072273</v>
      </c>
      <c r="O127" s="12">
        <f>IF(base!BA127="","",base!BA127)</f>
        <v>1875</v>
      </c>
      <c r="P127" s="13">
        <f>IF(base!BK127="","",base!BK127)</f>
        <v>46303.805902777778</v>
      </c>
      <c r="Q127" s="15" t="str">
        <f>IF(base!BS127="","",base!BS127)</f>
        <v/>
      </c>
    </row>
    <row r="128" spans="1:17" ht="30" x14ac:dyDescent="0.35">
      <c r="A128" s="14">
        <f>IF(base!A128="","",base!A128)</f>
        <v>6200126</v>
      </c>
      <c r="B128" s="13">
        <f>IF(base!BN128="","",base!BN128)</f>
        <v>46303.625</v>
      </c>
      <c r="C128" s="12" t="str">
        <f>IF(base!C128="","",base!C128)</f>
        <v>ZETABURGOS SRL</v>
      </c>
      <c r="D128" s="12" t="str">
        <f>IF(base!E128="","",base!E128)</f>
        <v>1RVT - 1° VISITA</v>
      </c>
      <c r="E128" s="12" t="str">
        <f>IF(base!BF128="","",base!BF128)</f>
        <v/>
      </c>
      <c r="F128" s="12" t="str">
        <f>IF(D128="","",IF(OR(ISNUMBER(SEARCH("VISITA",D128)),ISNUMBER(SEARCH("RUTA",D128)),ISNUMBER(SEARCH("ARRIB",D128)),ISNUMBER(SEARCH("MATRIZ",D128)),ISNUMBER(SEARCH("PENDIENTE",D128))),"VISITA COORDINADA CON EL CLIENTE","N/A"))</f>
        <v>VISITA COORDINADA CON EL CLIENTE</v>
      </c>
      <c r="G128" s="12" t="str">
        <f>"#ABC"</f>
        <v>#ABC</v>
      </c>
      <c r="H128" s="12" t="str">
        <f>IF(base!I128="","",base!I128)</f>
        <v>SAMEDAY</v>
      </c>
      <c r="I128" s="12" t="str">
        <f>IF(base!S128="","",base!S128)</f>
        <v>Prueba 126</v>
      </c>
      <c r="J128" s="12" t="str">
        <f>IF(base!T128="","",base!T128)</f>
        <v>Calle 123
Piso 2</v>
      </c>
      <c r="K128" s="12" t="str">
        <f>IF(base!U128="","",base!U128)</f>
        <v/>
      </c>
      <c r="L128" s="12" t="str">
        <f>IF(base!Y128="","",base!Y128)</f>
        <v/>
      </c>
      <c r="M128" s="12" t="str">
        <f>IF(base!AH128="","",base!AH128)</f>
        <v/>
      </c>
      <c r="N128" s="12" t="str">
        <f>IF(base!AI128="","",base!AI128)</f>
        <v>34.072273</v>
      </c>
      <c r="O128" s="12">
        <f>IF(base!BA128="","",base!BA128)</f>
        <v>1875</v>
      </c>
      <c r="P128" s="13">
        <f>IF(base!BK128="","",base!BK128)</f>
        <v>46303.805902777778</v>
      </c>
      <c r="Q128" s="15" t="str">
        <f>IF(base!BS128="","",base!BS128)</f>
        <v/>
      </c>
    </row>
    <row r="129" spans="1:17" ht="30" x14ac:dyDescent="0.35">
      <c r="A129" s="14">
        <f>IF(base!A129="","",base!A129)</f>
        <v>6200127</v>
      </c>
      <c r="B129" s="13">
        <f>IF(base!BN129="","",base!BN129)</f>
        <v>46303.625</v>
      </c>
      <c r="C129" s="12" t="str">
        <f>IF(base!C129="","",base!C129)</f>
        <v>ZETABURGOS SRL</v>
      </c>
      <c r="D129" s="12" t="str">
        <f>IF(base!E129="","",base!E129)</f>
        <v>ENTREGADO</v>
      </c>
      <c r="E129" s="12" t="str">
        <f>IF(base!BF129="","",base!BF129)</f>
        <v/>
      </c>
      <c r="F129" s="12" t="str">
        <f>IF(D129="","",IF(OR(ISNUMBER(SEARCH("VISITA",D129)),ISNUMBER(SEARCH("RUTA",D129)),ISNUMBER(SEARCH("ARRIB",D129)),ISNUMBER(SEARCH("MATRIZ",D129)),ISNUMBER(SEARCH("PENDIENTE",D129))),"VISITA COORDINADA CON EL CLIENTE","N/A"))</f>
        <v>N/A</v>
      </c>
      <c r="G129" s="12">
        <f>IF(base!G129="","",base!G129)</f>
        <v>470123456</v>
      </c>
      <c r="H129" s="12" t="str">
        <f>IF(base!I129="","",base!I129)</f>
        <v>FLEX</v>
      </c>
      <c r="I129" s="12" t="str">
        <f>IF(base!S129="","",base!S129)</f>
        <v>Prueba 127</v>
      </c>
      <c r="J129" s="12" t="str">
        <f>IF(base!T129="","",base!T129)</f>
        <v>Calle 123
Piso 2</v>
      </c>
      <c r="K129" s="12" t="str">
        <f>IF(base!U129="","",base!U129)</f>
        <v/>
      </c>
      <c r="L129" s="12" t="str">
        <f>IF(base!Y129="","",base!Y129)</f>
        <v/>
      </c>
      <c r="M129" s="12" t="str">
        <f>IF(base!AH129="","",base!AH129)</f>
        <v/>
      </c>
      <c r="N129" s="12" t="str">
        <f>IF(base!AI129="","",base!AI129)</f>
        <v>34.072273</v>
      </c>
      <c r="O129" s="12">
        <f>IF(base!BA129="","",base!BA129)</f>
        <v>1875</v>
      </c>
      <c r="P129" s="13">
        <f>IF(base!BK129="","",base!BK129)</f>
        <v>46303.805902777778</v>
      </c>
      <c r="Q129" s="15" t="str">
        <f>IF(base!BS129="","",base!BS129)</f>
        <v/>
      </c>
    </row>
    <row r="130" spans="1:17" ht="30" x14ac:dyDescent="0.35">
      <c r="A130" s="14">
        <f>IF(base!A130="","",base!A130)</f>
        <v>6200128</v>
      </c>
      <c r="B130" s="13">
        <f>IF(base!BN130="","",base!BN130)</f>
        <v>46303.625</v>
      </c>
      <c r="C130" s="12" t="str">
        <f>IF(base!C130="","",base!C130)</f>
        <v>ZETABURGOS SRL</v>
      </c>
      <c r="D130" s="12" t="str">
        <f>IF(base!E130="","",base!E130)</f>
        <v>REPROGRAMACIÓN</v>
      </c>
      <c r="E130" s="12" t="str">
        <f>IF(base!BF130="","",base!BF130)</f>
        <v/>
      </c>
      <c r="F130" s="12" t="str">
        <f>IF(D130="","",IF(OR(ISNUMBER(SEARCH("VISITA",D130)),ISNUMBER(SEARCH("RUTA",D130)),ISNUMBER(SEARCH("ARRIB",D130)),ISNUMBER(SEARCH("MATRIZ",D130)),ISNUMBER(SEARCH("PENDIENTE",D130))),"VISITA COORDINADA CON EL CLIENTE","N/A"))</f>
        <v>N/A</v>
      </c>
      <c r="G130" s="12" t="str">
        <f>IF(base!G130="","",base!G130)</f>
        <v>ABC001</v>
      </c>
      <c r="H130" s="12" t="str">
        <f>IF(base!I130="","",base!I130)</f>
        <v>SAMEDAY</v>
      </c>
      <c r="I130" s="12" t="str">
        <f>IF(base!S130="","",base!S130)</f>
        <v>Prueba 128</v>
      </c>
      <c r="J130" s="12" t="str">
        <f>IF(base!T130="","",base!T130)</f>
        <v>Calle 123
Piso 2</v>
      </c>
      <c r="K130" s="12" t="str">
        <f>IF(base!U130="","",base!U130)</f>
        <v/>
      </c>
      <c r="L130" s="12" t="str">
        <f>IF(base!Y130="","",base!Y130)</f>
        <v/>
      </c>
      <c r="M130" s="12" t="str">
        <f>IF(base!AH130="","",base!AH130)</f>
        <v/>
      </c>
      <c r="N130" s="12" t="str">
        <f>IF(base!AI130="","",base!AI130)</f>
        <v>34.072273</v>
      </c>
      <c r="O130" s="12">
        <f>IF(base!BA130="","",base!BA130)</f>
        <v>1875</v>
      </c>
      <c r="P130" s="13">
        <f>IF(base!BK130="","",base!BK130)</f>
        <v>46303.805902777778</v>
      </c>
      <c r="Q130" s="15" t="str">
        <f>IF(base!BS130="","",base!BS130)</f>
        <v/>
      </c>
    </row>
    <row r="131" spans="1:17" ht="30" x14ac:dyDescent="0.35">
      <c r="A131" s="14">
        <f>IF(base!A131="","",base!A131)</f>
        <v>6200129</v>
      </c>
      <c r="B131" s="13">
        <f>IF(base!BN131="","",base!BN131)</f>
        <v>46303.625</v>
      </c>
      <c r="C131" s="12" t="str">
        <f>IF(base!C131="","",base!C131)</f>
        <v>ZETABURGOS SRL</v>
      </c>
      <c r="D131" s="12" t="str">
        <f>IF(base!E131="","",base!E131)</f>
        <v>1RVT - 1° VISITA</v>
      </c>
      <c r="E131" s="12" t="str">
        <f>IF(base!BF131="","",base!BF131)</f>
        <v/>
      </c>
      <c r="F131" s="12" t="str">
        <f>IF(D131="","",IF(OR(ISNUMBER(SEARCH("VISITA",D131)),ISNUMBER(SEARCH("RUTA",D131)),ISNUMBER(SEARCH("ARRIB",D131)),ISNUMBER(SEARCH("MATRIZ",D131)),ISNUMBER(SEARCH("PENDIENTE",D131))),"VISITA COORDINADA CON EL CLIENTE","N/A"))</f>
        <v>VISITA COORDINADA CON EL CLIENTE</v>
      </c>
      <c r="G131" s="12" t="str">
        <f>IF(base!G131="","",base!G131)</f>
        <v>2000018857041302</v>
      </c>
      <c r="H131" s="12" t="str">
        <f>IF(base!I131="","",base!I131)</f>
        <v>FLEX</v>
      </c>
      <c r="I131" s="12" t="str">
        <f>IF(base!S131="","",base!S131)</f>
        <v>Prueba 129</v>
      </c>
      <c r="J131" s="12" t="str">
        <f>IF(base!T131="","",base!T131)</f>
        <v>Calle 123
Piso 2</v>
      </c>
      <c r="K131" s="12" t="str">
        <f>IF(base!U131="","",base!U131)</f>
        <v/>
      </c>
      <c r="L131" s="12" t="str">
        <f>IF(base!Y131="","",base!Y131)</f>
        <v/>
      </c>
      <c r="M131" s="12" t="str">
        <f>IF(base!AH131="","",base!AH131)</f>
        <v/>
      </c>
      <c r="N131" s="12" t="str">
        <f>IF(base!AI131="","",base!AI131)</f>
        <v>34.072273</v>
      </c>
      <c r="O131" s="12">
        <f>IF(base!BA131="","",base!BA131)</f>
        <v>1875</v>
      </c>
      <c r="P131" s="13">
        <f>IF(base!BK131="","",base!BK131)</f>
        <v>46303.805902777778</v>
      </c>
      <c r="Q131" s="15" t="str">
        <f>IF(base!BS131="","",base!BS131)</f>
        <v/>
      </c>
    </row>
    <row r="132" spans="1:17" ht="30" x14ac:dyDescent="0.35">
      <c r="A132" s="14">
        <f>IF(base!A132="","",base!A132)</f>
        <v>6200130</v>
      </c>
      <c r="B132" s="13">
        <f>IF(base!BN132="","",base!BN132)</f>
        <v>46303.625</v>
      </c>
      <c r="C132" s="12" t="str">
        <f>IF(base!C132="","",base!C132)</f>
        <v>ZETABURGOS SRL</v>
      </c>
      <c r="D132" s="12" t="str">
        <f>IF(base!E132="","",base!E132)</f>
        <v>ENTREGADO</v>
      </c>
      <c r="E132" s="12" t="str">
        <f>IF(base!BF132="","",base!BF132)</f>
        <v/>
      </c>
      <c r="F132" s="12" t="str">
        <f>IF(D132="","",IF(OR(ISNUMBER(SEARCH("VISITA",D132)),ISNUMBER(SEARCH("RUTA",D132)),ISNUMBER(SEARCH("ARRIB",D132)),ISNUMBER(SEARCH("MATRIZ",D132)),ISNUMBER(SEARCH("PENDIENTE",D132))),"VISITA COORDINADA CON EL CLIENTE","N/A"))</f>
        <v>N/A</v>
      </c>
      <c r="G132" s="12" t="str">
        <f>IF(base!G132="","",base!G132)</f>
        <v>001234</v>
      </c>
      <c r="H132" s="12" t="str">
        <f>IF(base!I132="","",base!I132)</f>
        <v>FLEX</v>
      </c>
      <c r="I132" s="12" t="str">
        <f>IF(base!S132="","",base!S132)</f>
        <v>Prueba 130</v>
      </c>
      <c r="J132" s="12" t="str">
        <f>IF(base!T132="","",base!T132)</f>
        <v>Calle 123
Piso 2</v>
      </c>
      <c r="K132" s="12" t="str">
        <f>IF(base!U132="","",base!U132)</f>
        <v/>
      </c>
      <c r="L132" s="12" t="str">
        <f>IF(base!Y132="","",base!Y132)</f>
        <v/>
      </c>
      <c r="M132" s="12" t="str">
        <f>IF(base!AH132="","",base!AH132)</f>
        <v/>
      </c>
      <c r="N132" s="12" t="str">
        <f>IF(base!AI132="","",base!AI132)</f>
        <v>34.072273</v>
      </c>
      <c r="O132" s="12">
        <f>IF(base!BA132="","",base!BA132)</f>
        <v>1875</v>
      </c>
      <c r="P132" s="13">
        <f>IF(base!BK132="","",base!BK132)</f>
        <v>46303.805902777778</v>
      </c>
      <c r="Q132" s="15" t="str">
        <f>IF(base!BS132="","",base!BS132)</f>
        <v/>
      </c>
    </row>
    <row r="133" spans="1:17" ht="30" x14ac:dyDescent="0.35">
      <c r="A133" s="14">
        <f>IF(base!A133="","",base!A133)</f>
        <v>6200131</v>
      </c>
      <c r="B133" s="13">
        <f>IF(base!BN133="","",base!BN133)</f>
        <v>46303.625</v>
      </c>
      <c r="C133" s="12" t="str">
        <f>IF(base!C133="","",base!C133)</f>
        <v>ZETABURGOS SRL</v>
      </c>
      <c r="D133" s="12" t="str">
        <f>IF(base!E133="","",base!E133)</f>
        <v>REPROGRAMACIÓN</v>
      </c>
      <c r="E133" s="12" t="str">
        <f>IF(base!BF133="","",base!BF133)</f>
        <v/>
      </c>
      <c r="F133" s="12" t="str">
        <f>IF(D133="","",IF(OR(ISNUMBER(SEARCH("VISITA",D133)),ISNUMBER(SEARCH("RUTA",D133)),ISNUMBER(SEARCH("ARRIB",D133)),ISNUMBER(SEARCH("MATRIZ",D133)),ISNUMBER(SEARCH("PENDIENTE",D133))),"VISITA COORDINADA CON EL CLIENTE","N/A"))</f>
        <v>N/A</v>
      </c>
      <c r="G133" s="12" t="str">
        <f>"#ABC"</f>
        <v>#ABC</v>
      </c>
      <c r="H133" s="12" t="str">
        <f>IF(base!I133="","",base!I133)</f>
        <v>SAMEDAY</v>
      </c>
      <c r="I133" s="12" t="str">
        <f>IF(base!S133="","",base!S133)</f>
        <v>Prueba 131</v>
      </c>
      <c r="J133" s="12" t="str">
        <f>IF(base!T133="","",base!T133)</f>
        <v>Calle 123
Piso 2</v>
      </c>
      <c r="K133" s="12" t="str">
        <f>IF(base!U133="","",base!U133)</f>
        <v/>
      </c>
      <c r="L133" s="12" t="str">
        <f>IF(base!Y133="","",base!Y133)</f>
        <v/>
      </c>
      <c r="M133" s="12" t="str">
        <f>IF(base!AH133="","",base!AH133)</f>
        <v/>
      </c>
      <c r="N133" s="12" t="str">
        <f>IF(base!AI133="","",base!AI133)</f>
        <v>34.072273</v>
      </c>
      <c r="O133" s="12">
        <f>IF(base!BA133="","",base!BA133)</f>
        <v>1875</v>
      </c>
      <c r="P133" s="13">
        <f>IF(base!BK133="","",base!BK133)</f>
        <v>46303.805902777778</v>
      </c>
      <c r="Q133" s="15" t="str">
        <f>IF(base!BS133="","",base!BS133)</f>
        <v/>
      </c>
    </row>
    <row r="134" spans="1:17" ht="30" x14ac:dyDescent="0.35">
      <c r="A134" s="14">
        <f>IF(base!A134="","",base!A134)</f>
        <v>6200132</v>
      </c>
      <c r="B134" s="13">
        <f>IF(base!BN134="","",base!BN134)</f>
        <v>46303.625</v>
      </c>
      <c r="C134" s="12" t="str">
        <f>IF(base!C134="","",base!C134)</f>
        <v>ZETABURGOS SRL</v>
      </c>
      <c r="D134" s="12" t="str">
        <f>IF(base!E134="","",base!E134)</f>
        <v>1RVT - 1° VISITA</v>
      </c>
      <c r="E134" s="12" t="str">
        <f>IF(base!BF134="","",base!BF134)</f>
        <v/>
      </c>
      <c r="F134" s="12" t="str">
        <f>IF(D134="","",IF(OR(ISNUMBER(SEARCH("VISITA",D134)),ISNUMBER(SEARCH("RUTA",D134)),ISNUMBER(SEARCH("ARRIB",D134)),ISNUMBER(SEARCH("MATRIZ",D134)),ISNUMBER(SEARCH("PENDIENTE",D134))),"VISITA COORDINADA CON EL CLIENTE","N/A"))</f>
        <v>VISITA COORDINADA CON EL CLIENTE</v>
      </c>
      <c r="G134" s="12">
        <f>IF(base!G134="","",base!G134)</f>
        <v>470123456</v>
      </c>
      <c r="H134" s="12" t="str">
        <f>IF(base!I134="","",base!I134)</f>
        <v>FLEX</v>
      </c>
      <c r="I134" s="12" t="str">
        <f>IF(base!S134="","",base!S134)</f>
        <v>Prueba 132</v>
      </c>
      <c r="J134" s="12" t="str">
        <f>IF(base!T134="","",base!T134)</f>
        <v>Calle 123
Piso 2</v>
      </c>
      <c r="K134" s="12" t="str">
        <f>IF(base!U134="","",base!U134)</f>
        <v/>
      </c>
      <c r="L134" s="12" t="str">
        <f>IF(base!Y134="","",base!Y134)</f>
        <v/>
      </c>
      <c r="M134" s="12" t="str">
        <f>IF(base!AH134="","",base!AH134)</f>
        <v/>
      </c>
      <c r="N134" s="12" t="str">
        <f>IF(base!AI134="","",base!AI134)</f>
        <v>34.072273</v>
      </c>
      <c r="O134" s="12">
        <f>IF(base!BA134="","",base!BA134)</f>
        <v>1875</v>
      </c>
      <c r="P134" s="13">
        <f>IF(base!BK134="","",base!BK134)</f>
        <v>46303.805902777778</v>
      </c>
      <c r="Q134" s="15" t="str">
        <f>IF(base!BS134="","",base!BS134)</f>
        <v/>
      </c>
    </row>
    <row r="135" spans="1:17" ht="30" x14ac:dyDescent="0.35">
      <c r="A135" s="14">
        <f>IF(base!A135="","",base!A135)</f>
        <v>6200133</v>
      </c>
      <c r="B135" s="13">
        <f>IF(base!BN135="","",base!BN135)</f>
        <v>46303.625</v>
      </c>
      <c r="C135" s="12" t="str">
        <f>IF(base!C135="","",base!C135)</f>
        <v>ZETABURGOS SRL</v>
      </c>
      <c r="D135" s="12" t="str">
        <f>IF(base!E135="","",base!E135)</f>
        <v>ENTREGADO</v>
      </c>
      <c r="E135" s="12" t="str">
        <f>IF(base!BF135="","",base!BF135)</f>
        <v/>
      </c>
      <c r="F135" s="12" t="str">
        <f>IF(D135="","",IF(OR(ISNUMBER(SEARCH("VISITA",D135)),ISNUMBER(SEARCH("RUTA",D135)),ISNUMBER(SEARCH("ARRIB",D135)),ISNUMBER(SEARCH("MATRIZ",D135)),ISNUMBER(SEARCH("PENDIENTE",D135))),"VISITA COORDINADA CON EL CLIENTE","N/A"))</f>
        <v>N/A</v>
      </c>
      <c r="G135" s="12" t="str">
        <f>IF(base!G135="","",base!G135)</f>
        <v>ABC001</v>
      </c>
      <c r="H135" s="12" t="str">
        <f>IF(base!I135="","",base!I135)</f>
        <v>SAMEDAY</v>
      </c>
      <c r="I135" s="12" t="str">
        <f>IF(base!S135="","",base!S135)</f>
        <v>Prueba 133</v>
      </c>
      <c r="J135" s="12" t="str">
        <f>IF(base!T135="","",base!T135)</f>
        <v>Calle 123
Piso 2</v>
      </c>
      <c r="K135" s="12" t="str">
        <f>IF(base!U135="","",base!U135)</f>
        <v/>
      </c>
      <c r="L135" s="12" t="str">
        <f>IF(base!Y135="","",base!Y135)</f>
        <v/>
      </c>
      <c r="M135" s="12" t="str">
        <f>IF(base!AH135="","",base!AH135)</f>
        <v/>
      </c>
      <c r="N135" s="12" t="str">
        <f>IF(base!AI135="","",base!AI135)</f>
        <v>34.072273</v>
      </c>
      <c r="O135" s="12">
        <f>IF(base!BA135="","",base!BA135)</f>
        <v>1875</v>
      </c>
      <c r="P135" s="13">
        <f>IF(base!BK135="","",base!BK135)</f>
        <v>46303.805902777778</v>
      </c>
      <c r="Q135" s="15" t="str">
        <f>IF(base!BS135="","",base!BS135)</f>
        <v/>
      </c>
    </row>
    <row r="136" spans="1:17" ht="30" x14ac:dyDescent="0.35">
      <c r="A136" s="14">
        <f>IF(base!A136="","",base!A136)</f>
        <v>6200134</v>
      </c>
      <c r="B136" s="13">
        <f>IF(base!BN136="","",base!BN136)</f>
        <v>46303.625</v>
      </c>
      <c r="C136" s="12" t="str">
        <f>IF(base!C136="","",base!C136)</f>
        <v>ZETABURGOS SRL</v>
      </c>
      <c r="D136" s="12" t="str">
        <f>IF(base!E136="","",base!E136)</f>
        <v>REPROGRAMACIÓN</v>
      </c>
      <c r="E136" s="12" t="str">
        <f>IF(base!BF136="","",base!BF136)</f>
        <v/>
      </c>
      <c r="F136" s="12" t="str">
        <f>IF(D136="","",IF(OR(ISNUMBER(SEARCH("VISITA",D136)),ISNUMBER(SEARCH("RUTA",D136)),ISNUMBER(SEARCH("ARRIB",D136)),ISNUMBER(SEARCH("MATRIZ",D136)),ISNUMBER(SEARCH("PENDIENTE",D136))),"VISITA COORDINADA CON EL CLIENTE","N/A"))</f>
        <v>N/A</v>
      </c>
      <c r="G136" s="12" t="str">
        <f>IF(base!G136="","",base!G136)</f>
        <v>2000018857041302</v>
      </c>
      <c r="H136" s="12" t="str">
        <f>IF(base!I136="","",base!I136)</f>
        <v>FLEX</v>
      </c>
      <c r="I136" s="12" t="str">
        <f>IF(base!S136="","",base!S136)</f>
        <v>Prueba 134</v>
      </c>
      <c r="J136" s="12" t="str">
        <f>IF(base!T136="","",base!T136)</f>
        <v>Calle 123
Piso 2</v>
      </c>
      <c r="K136" s="12" t="str">
        <f>IF(base!U136="","",base!U136)</f>
        <v/>
      </c>
      <c r="L136" s="12" t="str">
        <f>IF(base!Y136="","",base!Y136)</f>
        <v/>
      </c>
      <c r="M136" s="12" t="str">
        <f>IF(base!AH136="","",base!AH136)</f>
        <v/>
      </c>
      <c r="N136" s="12" t="str">
        <f>IF(base!AI136="","",base!AI136)</f>
        <v>34.072273</v>
      </c>
      <c r="O136" s="12">
        <f>IF(base!BA136="","",base!BA136)</f>
        <v>1875</v>
      </c>
      <c r="P136" s="13">
        <f>IF(base!BK136="","",base!BK136)</f>
        <v>46303.805902777778</v>
      </c>
      <c r="Q136" s="15" t="str">
        <f>IF(base!BS136="","",base!BS136)</f>
        <v/>
      </c>
    </row>
    <row r="137" spans="1:17" ht="30" x14ac:dyDescent="0.35">
      <c r="A137" s="14">
        <f>IF(base!A137="","",base!A137)</f>
        <v>6200135</v>
      </c>
      <c r="B137" s="13">
        <f>IF(base!BN137="","",base!BN137)</f>
        <v>46303.625</v>
      </c>
      <c r="C137" s="12" t="str">
        <f>IF(base!C137="","",base!C137)</f>
        <v>ZETABURGOS SRL</v>
      </c>
      <c r="D137" s="12" t="str">
        <f>IF(base!E137="","",base!E137)</f>
        <v>1RVT - 1° VISITA</v>
      </c>
      <c r="E137" s="12" t="str">
        <f>IF(base!BF137="","",base!BF137)</f>
        <v/>
      </c>
      <c r="F137" s="12" t="str">
        <f>IF(D137="","",IF(OR(ISNUMBER(SEARCH("VISITA",D137)),ISNUMBER(SEARCH("RUTA",D137)),ISNUMBER(SEARCH("ARRIB",D137)),ISNUMBER(SEARCH("MATRIZ",D137)),ISNUMBER(SEARCH("PENDIENTE",D137))),"VISITA COORDINADA CON EL CLIENTE","N/A"))</f>
        <v>VISITA COORDINADA CON EL CLIENTE</v>
      </c>
      <c r="G137" s="12" t="str">
        <f>IF(base!G137="","",base!G137)</f>
        <v>001234</v>
      </c>
      <c r="H137" s="12" t="str">
        <f>IF(base!I137="","",base!I137)</f>
        <v>FLEX</v>
      </c>
      <c r="I137" s="12" t="str">
        <f>IF(base!S137="","",base!S137)</f>
        <v>Prueba 135</v>
      </c>
      <c r="J137" s="12" t="str">
        <f>IF(base!T137="","",base!T137)</f>
        <v>Calle 123
Piso 2</v>
      </c>
      <c r="K137" s="12" t="str">
        <f>IF(base!U137="","",base!U137)</f>
        <v/>
      </c>
      <c r="L137" s="12" t="str">
        <f>IF(base!Y137="","",base!Y137)</f>
        <v/>
      </c>
      <c r="M137" s="12" t="str">
        <f>IF(base!AH137="","",base!AH137)</f>
        <v/>
      </c>
      <c r="N137" s="12" t="str">
        <f>IF(base!AI137="","",base!AI137)</f>
        <v>34.072273</v>
      </c>
      <c r="O137" s="12">
        <f>IF(base!BA137="","",base!BA137)</f>
        <v>1875</v>
      </c>
      <c r="P137" s="13">
        <f>IF(base!BK137="","",base!BK137)</f>
        <v>46303.805902777778</v>
      </c>
      <c r="Q137" s="15" t="str">
        <f>IF(base!BS137="","",base!BS137)</f>
        <v/>
      </c>
    </row>
    <row r="138" spans="1:17" ht="30" x14ac:dyDescent="0.35">
      <c r="A138" s="14">
        <f>IF(base!A138="","",base!A138)</f>
        <v>6200136</v>
      </c>
      <c r="B138" s="13">
        <f>IF(base!BN138="","",base!BN138)</f>
        <v>46303.625</v>
      </c>
      <c r="C138" s="12" t="str">
        <f>IF(base!C138="","",base!C138)</f>
        <v>ZETABURGOS SRL</v>
      </c>
      <c r="D138" s="12" t="str">
        <f>IF(base!E138="","",base!E138)</f>
        <v>ENTREGADO</v>
      </c>
      <c r="E138" s="12" t="str">
        <f>IF(base!BF138="","",base!BF138)</f>
        <v/>
      </c>
      <c r="F138" s="12" t="str">
        <f>IF(D138="","",IF(OR(ISNUMBER(SEARCH("VISITA",D138)),ISNUMBER(SEARCH("RUTA",D138)),ISNUMBER(SEARCH("ARRIB",D138)),ISNUMBER(SEARCH("MATRIZ",D138)),ISNUMBER(SEARCH("PENDIENTE",D138))),"VISITA COORDINADA CON EL CLIENTE","N/A"))</f>
        <v>N/A</v>
      </c>
      <c r="G138" s="12" t="str">
        <f>"#ABC"</f>
        <v>#ABC</v>
      </c>
      <c r="H138" s="12" t="str">
        <f>IF(base!I138="","",base!I138)</f>
        <v>SAMEDAY</v>
      </c>
      <c r="I138" s="12" t="str">
        <f>IF(base!S138="","",base!S138)</f>
        <v>Prueba 136</v>
      </c>
      <c r="J138" s="12" t="str">
        <f>IF(base!T138="","",base!T138)</f>
        <v>Calle 123
Piso 2</v>
      </c>
      <c r="K138" s="12" t="str">
        <f>IF(base!U138="","",base!U138)</f>
        <v/>
      </c>
      <c r="L138" s="12" t="str">
        <f>IF(base!Y138="","",base!Y138)</f>
        <v/>
      </c>
      <c r="M138" s="12" t="str">
        <f>IF(base!AH138="","",base!AH138)</f>
        <v/>
      </c>
      <c r="N138" s="12" t="str">
        <f>IF(base!AI138="","",base!AI138)</f>
        <v>34.072273</v>
      </c>
      <c r="O138" s="12">
        <f>IF(base!BA138="","",base!BA138)</f>
        <v>1875</v>
      </c>
      <c r="P138" s="13">
        <f>IF(base!BK138="","",base!BK138)</f>
        <v>46303.805902777778</v>
      </c>
      <c r="Q138" s="15" t="str">
        <f>IF(base!BS138="","",base!BS138)</f>
        <v/>
      </c>
    </row>
    <row r="139" spans="1:17" ht="30" x14ac:dyDescent="0.35">
      <c r="A139" s="14">
        <f>IF(base!A139="","",base!A139)</f>
        <v>6200137</v>
      </c>
      <c r="B139" s="13">
        <f>IF(base!BN139="","",base!BN139)</f>
        <v>46303.625</v>
      </c>
      <c r="C139" s="12" t="str">
        <f>IF(base!C139="","",base!C139)</f>
        <v>ZETABURGOS SRL</v>
      </c>
      <c r="D139" s="12" t="str">
        <f>IF(base!E139="","",base!E139)</f>
        <v>REPROGRAMACIÓN</v>
      </c>
      <c r="E139" s="12" t="str">
        <f>IF(base!BF139="","",base!BF139)</f>
        <v/>
      </c>
      <c r="F139" s="12" t="str">
        <f>IF(D139="","",IF(OR(ISNUMBER(SEARCH("VISITA",D139)),ISNUMBER(SEARCH("RUTA",D139)),ISNUMBER(SEARCH("ARRIB",D139)),ISNUMBER(SEARCH("MATRIZ",D139)),ISNUMBER(SEARCH("PENDIENTE",D139))),"VISITA COORDINADA CON EL CLIENTE","N/A"))</f>
        <v>N/A</v>
      </c>
      <c r="G139" s="12">
        <f>IF(base!G139="","",base!G139)</f>
        <v>470123456</v>
      </c>
      <c r="H139" s="12" t="str">
        <f>IF(base!I139="","",base!I139)</f>
        <v>FLEX</v>
      </c>
      <c r="I139" s="12" t="str">
        <f>IF(base!S139="","",base!S139)</f>
        <v>Prueba 137</v>
      </c>
      <c r="J139" s="12" t="str">
        <f>IF(base!T139="","",base!T139)</f>
        <v>Calle 123
Piso 2</v>
      </c>
      <c r="K139" s="12" t="str">
        <f>IF(base!U139="","",base!U139)</f>
        <v/>
      </c>
      <c r="L139" s="12" t="str">
        <f>IF(base!Y139="","",base!Y139)</f>
        <v/>
      </c>
      <c r="M139" s="12" t="str">
        <f>IF(base!AH139="","",base!AH139)</f>
        <v/>
      </c>
      <c r="N139" s="12" t="str">
        <f>IF(base!AI139="","",base!AI139)</f>
        <v>34.072273</v>
      </c>
      <c r="O139" s="12">
        <f>IF(base!BA139="","",base!BA139)</f>
        <v>1875</v>
      </c>
      <c r="P139" s="13">
        <f>IF(base!BK139="","",base!BK139)</f>
        <v>46303.805902777778</v>
      </c>
      <c r="Q139" s="15" t="str">
        <f>IF(base!BS139="","",base!BS139)</f>
        <v/>
      </c>
    </row>
    <row r="140" spans="1:17" ht="30" x14ac:dyDescent="0.35">
      <c r="A140" s="14">
        <f>IF(base!A140="","",base!A140)</f>
        <v>6200138</v>
      </c>
      <c r="B140" s="13">
        <f>IF(base!BN140="","",base!BN140)</f>
        <v>46303.625</v>
      </c>
      <c r="C140" s="12" t="str">
        <f>IF(base!C140="","",base!C140)</f>
        <v>ZETABURGOS SRL</v>
      </c>
      <c r="D140" s="12" t="str">
        <f>IF(base!E140="","",base!E140)</f>
        <v>1RVT - 1° VISITA</v>
      </c>
      <c r="E140" s="12" t="str">
        <f>IF(base!BF140="","",base!BF140)</f>
        <v/>
      </c>
      <c r="F140" s="12" t="str">
        <f>IF(D140="","",IF(OR(ISNUMBER(SEARCH("VISITA",D140)),ISNUMBER(SEARCH("RUTA",D140)),ISNUMBER(SEARCH("ARRIB",D140)),ISNUMBER(SEARCH("MATRIZ",D140)),ISNUMBER(SEARCH("PENDIENTE",D140))),"VISITA COORDINADA CON EL CLIENTE","N/A"))</f>
        <v>VISITA COORDINADA CON EL CLIENTE</v>
      </c>
      <c r="G140" s="12" t="str">
        <f>IF(base!G140="","",base!G140)</f>
        <v>ABC001</v>
      </c>
      <c r="H140" s="12" t="str">
        <f>IF(base!I140="","",base!I140)</f>
        <v>SAMEDAY</v>
      </c>
      <c r="I140" s="12" t="str">
        <f>IF(base!S140="","",base!S140)</f>
        <v>Prueba 138</v>
      </c>
      <c r="J140" s="12" t="str">
        <f>IF(base!T140="","",base!T140)</f>
        <v>Calle 123
Piso 2</v>
      </c>
      <c r="K140" s="12" t="str">
        <f>IF(base!U140="","",base!U140)</f>
        <v/>
      </c>
      <c r="L140" s="12" t="str">
        <f>IF(base!Y140="","",base!Y140)</f>
        <v/>
      </c>
      <c r="M140" s="12" t="str">
        <f>IF(base!AH140="","",base!AH140)</f>
        <v/>
      </c>
      <c r="N140" s="12" t="str">
        <f>IF(base!AI140="","",base!AI140)</f>
        <v>34.072273</v>
      </c>
      <c r="O140" s="12">
        <f>IF(base!BA140="","",base!BA140)</f>
        <v>1875</v>
      </c>
      <c r="P140" s="13">
        <f>IF(base!BK140="","",base!BK140)</f>
        <v>46303.805902777778</v>
      </c>
      <c r="Q140" s="15" t="str">
        <f>IF(base!BS140="","",base!BS140)</f>
        <v/>
      </c>
    </row>
    <row r="141" spans="1:17" ht="30" x14ac:dyDescent="0.35">
      <c r="A141" s="14">
        <f>IF(base!A141="","",base!A141)</f>
        <v>6200139</v>
      </c>
      <c r="B141" s="13">
        <f>IF(base!BN141="","",base!BN141)</f>
        <v>46303.625</v>
      </c>
      <c r="C141" s="12" t="str">
        <f>IF(base!C141="","",base!C141)</f>
        <v>ZETABURGOS SRL</v>
      </c>
      <c r="D141" s="12" t="str">
        <f>IF(base!E141="","",base!E141)</f>
        <v>ENTREGADO</v>
      </c>
      <c r="E141" s="12" t="str">
        <f>IF(base!BF141="","",base!BF141)</f>
        <v/>
      </c>
      <c r="F141" s="12" t="str">
        <f>IF(D141="","",IF(OR(ISNUMBER(SEARCH("VISITA",D141)),ISNUMBER(SEARCH("RUTA",D141)),ISNUMBER(SEARCH("ARRIB",D141)),ISNUMBER(SEARCH("MATRIZ",D141)),ISNUMBER(SEARCH("PENDIENTE",D141))),"VISITA COORDINADA CON EL CLIENTE","N/A"))</f>
        <v>N/A</v>
      </c>
      <c r="G141" s="12" t="str">
        <f>IF(base!G141="","",base!G141)</f>
        <v>2000018857041302</v>
      </c>
      <c r="H141" s="12" t="str">
        <f>IF(base!I141="","",base!I141)</f>
        <v>FLEX</v>
      </c>
      <c r="I141" s="12" t="str">
        <f>IF(base!S141="","",base!S141)</f>
        <v>Prueba 139</v>
      </c>
      <c r="J141" s="12" t="str">
        <f>IF(base!T141="","",base!T141)</f>
        <v>Calle 123
Piso 2</v>
      </c>
      <c r="K141" s="12" t="str">
        <f>IF(base!U141="","",base!U141)</f>
        <v/>
      </c>
      <c r="L141" s="12" t="str">
        <f>IF(base!Y141="","",base!Y141)</f>
        <v/>
      </c>
      <c r="M141" s="12" t="str">
        <f>IF(base!AH141="","",base!AH141)</f>
        <v/>
      </c>
      <c r="N141" s="12" t="str">
        <f>IF(base!AI141="","",base!AI141)</f>
        <v>34.072273</v>
      </c>
      <c r="O141" s="12">
        <f>IF(base!BA141="","",base!BA141)</f>
        <v>1875</v>
      </c>
      <c r="P141" s="13">
        <f>IF(base!BK141="","",base!BK141)</f>
        <v>46303.805902777778</v>
      </c>
      <c r="Q141" s="15" t="str">
        <f>IF(base!BS141="","",base!BS141)</f>
        <v/>
      </c>
    </row>
    <row r="142" spans="1:17" ht="30" x14ac:dyDescent="0.35">
      <c r="A142" s="14">
        <f>IF(base!A142="","",base!A142)</f>
        <v>6200140</v>
      </c>
      <c r="B142" s="13">
        <f>IF(base!BN142="","",base!BN142)</f>
        <v>46303.625</v>
      </c>
      <c r="C142" s="12" t="str">
        <f>IF(base!C142="","",base!C142)</f>
        <v>ZETABURGOS SRL</v>
      </c>
      <c r="D142" s="12" t="str">
        <f>IF(base!E142="","",base!E142)</f>
        <v>REPROGRAMACIÓN</v>
      </c>
      <c r="E142" s="12" t="str">
        <f>IF(base!BF142="","",base!BF142)</f>
        <v/>
      </c>
      <c r="F142" s="12" t="str">
        <f>IF(D142="","",IF(OR(ISNUMBER(SEARCH("VISITA",D142)),ISNUMBER(SEARCH("RUTA",D142)),ISNUMBER(SEARCH("ARRIB",D142)),ISNUMBER(SEARCH("MATRIZ",D142)),ISNUMBER(SEARCH("PENDIENTE",D142))),"VISITA COORDINADA CON EL CLIENTE","N/A"))</f>
        <v>N/A</v>
      </c>
      <c r="G142" s="12" t="str">
        <f>IF(base!G142="","",base!G142)</f>
        <v>001234</v>
      </c>
      <c r="H142" s="12" t="str">
        <f>IF(base!I142="","",base!I142)</f>
        <v>FLEX</v>
      </c>
      <c r="I142" s="12" t="str">
        <f>IF(base!S142="","",base!S142)</f>
        <v>Prueba 140</v>
      </c>
      <c r="J142" s="12" t="str">
        <f>IF(base!T142="","",base!T142)</f>
        <v>Calle 123
Piso 2</v>
      </c>
      <c r="K142" s="12" t="str">
        <f>IF(base!U142="","",base!U142)</f>
        <v/>
      </c>
      <c r="L142" s="12" t="str">
        <f>IF(base!Y142="","",base!Y142)</f>
        <v/>
      </c>
      <c r="M142" s="12" t="str">
        <f>IF(base!AH142="","",base!AH142)</f>
        <v/>
      </c>
      <c r="N142" s="12" t="str">
        <f>IF(base!AI142="","",base!AI142)</f>
        <v>34.072273</v>
      </c>
      <c r="O142" s="12">
        <f>IF(base!BA142="","",base!BA142)</f>
        <v>1875</v>
      </c>
      <c r="P142" s="13">
        <f>IF(base!BK142="","",base!BK142)</f>
        <v>46303.805902777778</v>
      </c>
      <c r="Q142" s="15" t="str">
        <f>IF(base!BS142="","",base!BS142)</f>
        <v/>
      </c>
    </row>
    <row r="143" spans="1:17" ht="30" x14ac:dyDescent="0.35">
      <c r="A143" s="14">
        <f>IF(base!A143="","",base!A143)</f>
        <v>6200141</v>
      </c>
      <c r="B143" s="13">
        <f>IF(base!BN143="","",base!BN143)</f>
        <v>46303.625</v>
      </c>
      <c r="C143" s="12" t="str">
        <f>IF(base!C143="","",base!C143)</f>
        <v>ZETABURGOS SRL</v>
      </c>
      <c r="D143" s="12" t="str">
        <f>IF(base!E143="","",base!E143)</f>
        <v>1RVT - 1° VISITA</v>
      </c>
      <c r="E143" s="12" t="str">
        <f>IF(base!BF143="","",base!BF143)</f>
        <v/>
      </c>
      <c r="F143" s="12" t="str">
        <f>IF(D143="","",IF(OR(ISNUMBER(SEARCH("VISITA",D143)),ISNUMBER(SEARCH("RUTA",D143)),ISNUMBER(SEARCH("ARRIB",D143)),ISNUMBER(SEARCH("MATRIZ",D143)),ISNUMBER(SEARCH("PENDIENTE",D143))),"VISITA COORDINADA CON EL CLIENTE","N/A"))</f>
        <v>VISITA COORDINADA CON EL CLIENTE</v>
      </c>
      <c r="G143" s="12" t="str">
        <f>"#ABC"</f>
        <v>#ABC</v>
      </c>
      <c r="H143" s="12" t="str">
        <f>IF(base!I143="","",base!I143)</f>
        <v>SAMEDAY</v>
      </c>
      <c r="I143" s="12" t="str">
        <f>IF(base!S143="","",base!S143)</f>
        <v>Prueba 141</v>
      </c>
      <c r="J143" s="12" t="str">
        <f>IF(base!T143="","",base!T143)</f>
        <v>Calle 123
Piso 2</v>
      </c>
      <c r="K143" s="12" t="str">
        <f>IF(base!U143="","",base!U143)</f>
        <v/>
      </c>
      <c r="L143" s="12" t="str">
        <f>IF(base!Y143="","",base!Y143)</f>
        <v/>
      </c>
      <c r="M143" s="12" t="str">
        <f>IF(base!AH143="","",base!AH143)</f>
        <v/>
      </c>
      <c r="N143" s="12" t="str">
        <f>IF(base!AI143="","",base!AI143)</f>
        <v>34.072273</v>
      </c>
      <c r="O143" s="12">
        <f>IF(base!BA143="","",base!BA143)</f>
        <v>1875</v>
      </c>
      <c r="P143" s="13">
        <f>IF(base!BK143="","",base!BK143)</f>
        <v>46303.805902777778</v>
      </c>
      <c r="Q143" s="15" t="str">
        <f>IF(base!BS143="","",base!BS143)</f>
        <v/>
      </c>
    </row>
    <row r="144" spans="1:17" ht="30" x14ac:dyDescent="0.35">
      <c r="A144" s="14">
        <f>IF(base!A144="","",base!A144)</f>
        <v>6200142</v>
      </c>
      <c r="B144" s="13">
        <f>IF(base!BN144="","",base!BN144)</f>
        <v>46303.625</v>
      </c>
      <c r="C144" s="12" t="str">
        <f>IF(base!C144="","",base!C144)</f>
        <v>ZETABURGOS SRL</v>
      </c>
      <c r="D144" s="12" t="str">
        <f>IF(base!E144="","",base!E144)</f>
        <v>ENTREGADO</v>
      </c>
      <c r="E144" s="12" t="str">
        <f>IF(base!BF144="","",base!BF144)</f>
        <v/>
      </c>
      <c r="F144" s="12" t="str">
        <f>IF(D144="","",IF(OR(ISNUMBER(SEARCH("VISITA",D144)),ISNUMBER(SEARCH("RUTA",D144)),ISNUMBER(SEARCH("ARRIB",D144)),ISNUMBER(SEARCH("MATRIZ",D144)),ISNUMBER(SEARCH("PENDIENTE",D144))),"VISITA COORDINADA CON EL CLIENTE","N/A"))</f>
        <v>N/A</v>
      </c>
      <c r="G144" s="12">
        <f>IF(base!G144="","",base!G144)</f>
        <v>470123456</v>
      </c>
      <c r="H144" s="12" t="str">
        <f>IF(base!I144="","",base!I144)</f>
        <v>FLEX</v>
      </c>
      <c r="I144" s="12" t="str">
        <f>IF(base!S144="","",base!S144)</f>
        <v>Prueba 142</v>
      </c>
      <c r="J144" s="12" t="str">
        <f>IF(base!T144="","",base!T144)</f>
        <v>Calle 123
Piso 2</v>
      </c>
      <c r="K144" s="12" t="str">
        <f>IF(base!U144="","",base!U144)</f>
        <v/>
      </c>
      <c r="L144" s="12" t="str">
        <f>IF(base!Y144="","",base!Y144)</f>
        <v/>
      </c>
      <c r="M144" s="12" t="str">
        <f>IF(base!AH144="","",base!AH144)</f>
        <v/>
      </c>
      <c r="N144" s="12" t="str">
        <f>IF(base!AI144="","",base!AI144)</f>
        <v>34.072273</v>
      </c>
      <c r="O144" s="12">
        <f>IF(base!BA144="","",base!BA144)</f>
        <v>1875</v>
      </c>
      <c r="P144" s="13">
        <f>IF(base!BK144="","",base!BK144)</f>
        <v>46303.805902777778</v>
      </c>
      <c r="Q144" s="15" t="str">
        <f>IF(base!BS144="","",base!BS144)</f>
        <v/>
      </c>
    </row>
    <row r="145" spans="1:17" ht="30" x14ac:dyDescent="0.35">
      <c r="A145" s="14">
        <f>IF(base!A145="","",base!A145)</f>
        <v>6200143</v>
      </c>
      <c r="B145" s="13">
        <f>IF(base!BN145="","",base!BN145)</f>
        <v>46303.625</v>
      </c>
      <c r="C145" s="12" t="str">
        <f>IF(base!C145="","",base!C145)</f>
        <v>ZETABURGOS SRL</v>
      </c>
      <c r="D145" s="12" t="str">
        <f>IF(base!E145="","",base!E145)</f>
        <v>REPROGRAMACIÓN</v>
      </c>
      <c r="E145" s="12" t="str">
        <f>IF(base!BF145="","",base!BF145)</f>
        <v/>
      </c>
      <c r="F145" s="12" t="str">
        <f>IF(D145="","",IF(OR(ISNUMBER(SEARCH("VISITA",D145)),ISNUMBER(SEARCH("RUTA",D145)),ISNUMBER(SEARCH("ARRIB",D145)),ISNUMBER(SEARCH("MATRIZ",D145)),ISNUMBER(SEARCH("PENDIENTE",D145))),"VISITA COORDINADA CON EL CLIENTE","N/A"))</f>
        <v>N/A</v>
      </c>
      <c r="G145" s="12" t="str">
        <f>IF(base!G145="","",base!G145)</f>
        <v>ABC001</v>
      </c>
      <c r="H145" s="12" t="str">
        <f>IF(base!I145="","",base!I145)</f>
        <v>SAMEDAY</v>
      </c>
      <c r="I145" s="12" t="str">
        <f>IF(base!S145="","",base!S145)</f>
        <v>Prueba 143</v>
      </c>
      <c r="J145" s="12" t="str">
        <f>IF(base!T145="","",base!T145)</f>
        <v>Calle 123
Piso 2</v>
      </c>
      <c r="K145" s="12" t="str">
        <f>IF(base!U145="","",base!U145)</f>
        <v/>
      </c>
      <c r="L145" s="12" t="str">
        <f>IF(base!Y145="","",base!Y145)</f>
        <v/>
      </c>
      <c r="M145" s="12" t="str">
        <f>IF(base!AH145="","",base!AH145)</f>
        <v/>
      </c>
      <c r="N145" s="12" t="str">
        <f>IF(base!AI145="","",base!AI145)</f>
        <v>34.072273</v>
      </c>
      <c r="O145" s="12">
        <f>IF(base!BA145="","",base!BA145)</f>
        <v>1875</v>
      </c>
      <c r="P145" s="13">
        <f>IF(base!BK145="","",base!BK145)</f>
        <v>46303.805902777778</v>
      </c>
      <c r="Q145" s="15" t="str">
        <f>IF(base!BS145="","",base!BS145)</f>
        <v/>
      </c>
    </row>
    <row r="146" spans="1:17" ht="30" x14ac:dyDescent="0.35">
      <c r="A146" s="14">
        <f>IF(base!A146="","",base!A146)</f>
        <v>6200144</v>
      </c>
      <c r="B146" s="13">
        <f>IF(base!BN146="","",base!BN146)</f>
        <v>46303.625</v>
      </c>
      <c r="C146" s="12" t="str">
        <f>IF(base!C146="","",base!C146)</f>
        <v>ZETABURGOS SRL</v>
      </c>
      <c r="D146" s="12" t="str">
        <f>IF(base!E146="","",base!E146)</f>
        <v>1RVT - 1° VISITA</v>
      </c>
      <c r="E146" s="12" t="str">
        <f>IF(base!BF146="","",base!BF146)</f>
        <v/>
      </c>
      <c r="F146" s="12" t="str">
        <f>IF(D146="","",IF(OR(ISNUMBER(SEARCH("VISITA",D146)),ISNUMBER(SEARCH("RUTA",D146)),ISNUMBER(SEARCH("ARRIB",D146)),ISNUMBER(SEARCH("MATRIZ",D146)),ISNUMBER(SEARCH("PENDIENTE",D146))),"VISITA COORDINADA CON EL CLIENTE","N/A"))</f>
        <v>VISITA COORDINADA CON EL CLIENTE</v>
      </c>
      <c r="G146" s="12" t="str">
        <f>IF(base!G146="","",base!G146)</f>
        <v>2000018857041302</v>
      </c>
      <c r="H146" s="12" t="str">
        <f>IF(base!I146="","",base!I146)</f>
        <v>FLEX</v>
      </c>
      <c r="I146" s="12" t="str">
        <f>IF(base!S146="","",base!S146)</f>
        <v>Prueba 144</v>
      </c>
      <c r="J146" s="12" t="str">
        <f>IF(base!T146="","",base!T146)</f>
        <v>Calle 123
Piso 2</v>
      </c>
      <c r="K146" s="12" t="str">
        <f>IF(base!U146="","",base!U146)</f>
        <v/>
      </c>
      <c r="L146" s="12" t="str">
        <f>IF(base!Y146="","",base!Y146)</f>
        <v/>
      </c>
      <c r="M146" s="12" t="str">
        <f>IF(base!AH146="","",base!AH146)</f>
        <v/>
      </c>
      <c r="N146" s="12" t="str">
        <f>IF(base!AI146="","",base!AI146)</f>
        <v>34.072273</v>
      </c>
      <c r="O146" s="12">
        <f>IF(base!BA146="","",base!BA146)</f>
        <v>1875</v>
      </c>
      <c r="P146" s="13">
        <f>IF(base!BK146="","",base!BK146)</f>
        <v>46303.805902777778</v>
      </c>
      <c r="Q146" s="15" t="str">
        <f>IF(base!BS146="","",base!BS146)</f>
        <v/>
      </c>
    </row>
    <row r="147" spans="1:17" ht="30" x14ac:dyDescent="0.35">
      <c r="A147" s="14">
        <f>IF(base!A147="","",base!A147)</f>
        <v>6200145</v>
      </c>
      <c r="B147" s="13">
        <f>IF(base!BN147="","",base!BN147)</f>
        <v>46303.625</v>
      </c>
      <c r="C147" s="12" t="str">
        <f>IF(base!C147="","",base!C147)</f>
        <v>ZETABURGOS SRL</v>
      </c>
      <c r="D147" s="12" t="str">
        <f>IF(base!E147="","",base!E147)</f>
        <v>ENTREGADO</v>
      </c>
      <c r="E147" s="12" t="str">
        <f>IF(base!BF147="","",base!BF147)</f>
        <v/>
      </c>
      <c r="F147" s="12" t="str">
        <f>IF(D147="","",IF(OR(ISNUMBER(SEARCH("VISITA",D147)),ISNUMBER(SEARCH("RUTA",D147)),ISNUMBER(SEARCH("ARRIB",D147)),ISNUMBER(SEARCH("MATRIZ",D147)),ISNUMBER(SEARCH("PENDIENTE",D147))),"VISITA COORDINADA CON EL CLIENTE","N/A"))</f>
        <v>N/A</v>
      </c>
      <c r="G147" s="12" t="str">
        <f>IF(base!G147="","",base!G147)</f>
        <v>001234</v>
      </c>
      <c r="H147" s="12" t="str">
        <f>IF(base!I147="","",base!I147)</f>
        <v>FLEX</v>
      </c>
      <c r="I147" s="12" t="str">
        <f>IF(base!S147="","",base!S147)</f>
        <v>Prueba 145</v>
      </c>
      <c r="J147" s="12" t="str">
        <f>IF(base!T147="","",base!T147)</f>
        <v>Calle 123
Piso 2</v>
      </c>
      <c r="K147" s="12" t="str">
        <f>IF(base!U147="","",base!U147)</f>
        <v/>
      </c>
      <c r="L147" s="12" t="str">
        <f>IF(base!Y147="","",base!Y147)</f>
        <v/>
      </c>
      <c r="M147" s="12" t="str">
        <f>IF(base!AH147="","",base!AH147)</f>
        <v/>
      </c>
      <c r="N147" s="12" t="str">
        <f>IF(base!AI147="","",base!AI147)</f>
        <v>34.072273</v>
      </c>
      <c r="O147" s="12">
        <f>IF(base!BA147="","",base!BA147)</f>
        <v>1875</v>
      </c>
      <c r="P147" s="13">
        <f>IF(base!BK147="","",base!BK147)</f>
        <v>46303.805902777778</v>
      </c>
      <c r="Q147" s="15" t="str">
        <f>IF(base!BS147="","",base!BS147)</f>
        <v/>
      </c>
    </row>
    <row r="148" spans="1:17" ht="30" x14ac:dyDescent="0.35">
      <c r="A148" s="14">
        <f>IF(base!A148="","",base!A148)</f>
        <v>6200146</v>
      </c>
      <c r="B148" s="13">
        <f>IF(base!BN148="","",base!BN148)</f>
        <v>46303.625</v>
      </c>
      <c r="C148" s="12" t="str">
        <f>IF(base!C148="","",base!C148)</f>
        <v>ZETABURGOS SRL</v>
      </c>
      <c r="D148" s="12" t="str">
        <f>IF(base!E148="","",base!E148)</f>
        <v>REPROGRAMACIÓN</v>
      </c>
      <c r="E148" s="12" t="str">
        <f>IF(base!BF148="","",base!BF148)</f>
        <v/>
      </c>
      <c r="F148" s="12" t="str">
        <f>IF(D148="","",IF(OR(ISNUMBER(SEARCH("VISITA",D148)),ISNUMBER(SEARCH("RUTA",D148)),ISNUMBER(SEARCH("ARRIB",D148)),ISNUMBER(SEARCH("MATRIZ",D148)),ISNUMBER(SEARCH("PENDIENTE",D148))),"VISITA COORDINADA CON EL CLIENTE","N/A"))</f>
        <v>N/A</v>
      </c>
      <c r="G148" s="12" t="str">
        <f>"#ABC"</f>
        <v>#ABC</v>
      </c>
      <c r="H148" s="12" t="str">
        <f>IF(base!I148="","",base!I148)</f>
        <v>SAMEDAY</v>
      </c>
      <c r="I148" s="12" t="str">
        <f>IF(base!S148="","",base!S148)</f>
        <v>Prueba 146</v>
      </c>
      <c r="J148" s="12" t="str">
        <f>IF(base!T148="","",base!T148)</f>
        <v>Calle 123
Piso 2</v>
      </c>
      <c r="K148" s="12" t="str">
        <f>IF(base!U148="","",base!U148)</f>
        <v/>
      </c>
      <c r="L148" s="12" t="str">
        <f>IF(base!Y148="","",base!Y148)</f>
        <v/>
      </c>
      <c r="M148" s="12" t="str">
        <f>IF(base!AH148="","",base!AH148)</f>
        <v/>
      </c>
      <c r="N148" s="12" t="str">
        <f>IF(base!AI148="","",base!AI148)</f>
        <v>34.072273</v>
      </c>
      <c r="O148" s="12">
        <f>IF(base!BA148="","",base!BA148)</f>
        <v>1875</v>
      </c>
      <c r="P148" s="13">
        <f>IF(base!BK148="","",base!BK148)</f>
        <v>46303.805902777778</v>
      </c>
      <c r="Q148" s="15" t="str">
        <f>IF(base!BS148="","",base!BS148)</f>
        <v/>
      </c>
    </row>
    <row r="149" spans="1:17" ht="30" x14ac:dyDescent="0.35">
      <c r="A149" s="14">
        <f>IF(base!A149="","",base!A149)</f>
        <v>6200147</v>
      </c>
      <c r="B149" s="13">
        <f>IF(base!BN149="","",base!BN149)</f>
        <v>46303.625</v>
      </c>
      <c r="C149" s="12" t="str">
        <f>IF(base!C149="","",base!C149)</f>
        <v>ZETABURGOS SRL</v>
      </c>
      <c r="D149" s="12" t="str">
        <f>IF(base!E149="","",base!E149)</f>
        <v>1RVT - 1° VISITA</v>
      </c>
      <c r="E149" s="12" t="str">
        <f>IF(base!BF149="","",base!BF149)</f>
        <v/>
      </c>
      <c r="F149" s="12" t="str">
        <f>IF(D149="","",IF(OR(ISNUMBER(SEARCH("VISITA",D149)),ISNUMBER(SEARCH("RUTA",D149)),ISNUMBER(SEARCH("ARRIB",D149)),ISNUMBER(SEARCH("MATRIZ",D149)),ISNUMBER(SEARCH("PENDIENTE",D149))),"VISITA COORDINADA CON EL CLIENTE","N/A"))</f>
        <v>VISITA COORDINADA CON EL CLIENTE</v>
      </c>
      <c r="G149" s="12">
        <f>IF(base!G149="","",base!G149)</f>
        <v>470123456</v>
      </c>
      <c r="H149" s="12" t="str">
        <f>IF(base!I149="","",base!I149)</f>
        <v>FLEX</v>
      </c>
      <c r="I149" s="12" t="str">
        <f>IF(base!S149="","",base!S149)</f>
        <v>Prueba 147</v>
      </c>
      <c r="J149" s="12" t="str">
        <f>IF(base!T149="","",base!T149)</f>
        <v>Calle 123
Piso 2</v>
      </c>
      <c r="K149" s="12" t="str">
        <f>IF(base!U149="","",base!U149)</f>
        <v/>
      </c>
      <c r="L149" s="12" t="str">
        <f>IF(base!Y149="","",base!Y149)</f>
        <v/>
      </c>
      <c r="M149" s="12" t="str">
        <f>IF(base!AH149="","",base!AH149)</f>
        <v/>
      </c>
      <c r="N149" s="12" t="str">
        <f>IF(base!AI149="","",base!AI149)</f>
        <v>34.072273</v>
      </c>
      <c r="O149" s="12">
        <f>IF(base!BA149="","",base!BA149)</f>
        <v>1875</v>
      </c>
      <c r="P149" s="13">
        <f>IF(base!BK149="","",base!BK149)</f>
        <v>46303.805902777778</v>
      </c>
      <c r="Q149" s="15" t="str">
        <f>IF(base!BS149="","",base!BS149)</f>
        <v/>
      </c>
    </row>
    <row r="150" spans="1:17" ht="30" x14ac:dyDescent="0.35">
      <c r="A150" s="14">
        <f>IF(base!A150="","",base!A150)</f>
        <v>6200148</v>
      </c>
      <c r="B150" s="13">
        <f>IF(base!BN150="","",base!BN150)</f>
        <v>46303.625</v>
      </c>
      <c r="C150" s="12" t="str">
        <f>IF(base!C150="","",base!C150)</f>
        <v>ZETABURGOS SRL</v>
      </c>
      <c r="D150" s="12" t="str">
        <f>IF(base!E150="","",base!E150)</f>
        <v>ENTREGADO</v>
      </c>
      <c r="E150" s="12" t="str">
        <f>IF(base!BF150="","",base!BF150)</f>
        <v/>
      </c>
      <c r="F150" s="12" t="str">
        <f>IF(D150="","",IF(OR(ISNUMBER(SEARCH("VISITA",D150)),ISNUMBER(SEARCH("RUTA",D150)),ISNUMBER(SEARCH("ARRIB",D150)),ISNUMBER(SEARCH("MATRIZ",D150)),ISNUMBER(SEARCH("PENDIENTE",D150))),"VISITA COORDINADA CON EL CLIENTE","N/A"))</f>
        <v>N/A</v>
      </c>
      <c r="G150" s="12" t="str">
        <f>IF(base!G150="","",base!G150)</f>
        <v>ABC001</v>
      </c>
      <c r="H150" s="12" t="str">
        <f>IF(base!I150="","",base!I150)</f>
        <v>SAMEDAY</v>
      </c>
      <c r="I150" s="12" t="str">
        <f>IF(base!S150="","",base!S150)</f>
        <v>Prueba 148</v>
      </c>
      <c r="J150" s="12" t="str">
        <f>IF(base!T150="","",base!T150)</f>
        <v>Calle 123
Piso 2</v>
      </c>
      <c r="K150" s="12" t="str">
        <f>IF(base!U150="","",base!U150)</f>
        <v/>
      </c>
      <c r="L150" s="12" t="str">
        <f>IF(base!Y150="","",base!Y150)</f>
        <v/>
      </c>
      <c r="M150" s="12" t="str">
        <f>IF(base!AH150="","",base!AH150)</f>
        <v/>
      </c>
      <c r="N150" s="12" t="str">
        <f>IF(base!AI150="","",base!AI150)</f>
        <v>34.072273</v>
      </c>
      <c r="O150" s="12">
        <f>IF(base!BA150="","",base!BA150)</f>
        <v>1875</v>
      </c>
      <c r="P150" s="13">
        <f>IF(base!BK150="","",base!BK150)</f>
        <v>46303.805902777778</v>
      </c>
      <c r="Q150" s="15" t="str">
        <f>IF(base!BS150="","",base!BS150)</f>
        <v/>
      </c>
    </row>
    <row r="151" spans="1:17" ht="30" x14ac:dyDescent="0.35">
      <c r="A151" s="14">
        <f>IF(base!A151="","",base!A151)</f>
        <v>6200149</v>
      </c>
      <c r="B151" s="13">
        <f>IF(base!BN151="","",base!BN151)</f>
        <v>46303.625</v>
      </c>
      <c r="C151" s="12" t="str">
        <f>IF(base!C151="","",base!C151)</f>
        <v>ZETABURGOS SRL</v>
      </c>
      <c r="D151" s="12" t="str">
        <f>IF(base!E151="","",base!E151)</f>
        <v>REPROGRAMACIÓN</v>
      </c>
      <c r="E151" s="12" t="str">
        <f>IF(base!BF151="","",base!BF151)</f>
        <v/>
      </c>
      <c r="F151" s="12" t="str">
        <f>IF(D151="","",IF(OR(ISNUMBER(SEARCH("VISITA",D151)),ISNUMBER(SEARCH("RUTA",D151)),ISNUMBER(SEARCH("ARRIB",D151)),ISNUMBER(SEARCH("MATRIZ",D151)),ISNUMBER(SEARCH("PENDIENTE",D151))),"VISITA COORDINADA CON EL CLIENTE","N/A"))</f>
        <v>N/A</v>
      </c>
      <c r="G151" s="12" t="str">
        <f>IF(base!G151="","",base!G151)</f>
        <v>2000018857041302</v>
      </c>
      <c r="H151" s="12" t="str">
        <f>IF(base!I151="","",base!I151)</f>
        <v>FLEX</v>
      </c>
      <c r="I151" s="12" t="str">
        <f>IF(base!S151="","",base!S151)</f>
        <v>Prueba 149</v>
      </c>
      <c r="J151" s="12" t="str">
        <f>IF(base!T151="","",base!T151)</f>
        <v>Calle 123
Piso 2</v>
      </c>
      <c r="K151" s="12" t="str">
        <f>IF(base!U151="","",base!U151)</f>
        <v/>
      </c>
      <c r="L151" s="12" t="str">
        <f>IF(base!Y151="","",base!Y151)</f>
        <v/>
      </c>
      <c r="M151" s="12" t="str">
        <f>IF(base!AH151="","",base!AH151)</f>
        <v/>
      </c>
      <c r="N151" s="12" t="str">
        <f>IF(base!AI151="","",base!AI151)</f>
        <v>34.072273</v>
      </c>
      <c r="O151" s="12">
        <f>IF(base!BA151="","",base!BA151)</f>
        <v>1875</v>
      </c>
      <c r="P151" s="13">
        <f>IF(base!BK151="","",base!BK151)</f>
        <v>46303.805902777778</v>
      </c>
      <c r="Q151" s="15" t="str">
        <f>IF(base!BS151="","",base!BS151)</f>
        <v/>
      </c>
    </row>
    <row r="152" spans="1:17" ht="30" x14ac:dyDescent="0.35">
      <c r="A152" s="14">
        <f>IF(base!A152="","",base!A152)</f>
        <v>6200150</v>
      </c>
      <c r="B152" s="13">
        <f>IF(base!BN152="","",base!BN152)</f>
        <v>46303.625</v>
      </c>
      <c r="C152" s="12" t="str">
        <f>IF(base!C152="","",base!C152)</f>
        <v>ZETABURGOS SRL</v>
      </c>
      <c r="D152" s="12" t="str">
        <f>IF(base!E152="","",base!E152)</f>
        <v>1RVT - 1° VISITA</v>
      </c>
      <c r="E152" s="12" t="str">
        <f>IF(base!BF152="","",base!BF152)</f>
        <v/>
      </c>
      <c r="F152" s="12" t="str">
        <f>IF(D152="","",IF(OR(ISNUMBER(SEARCH("VISITA",D152)),ISNUMBER(SEARCH("RUTA",D152)),ISNUMBER(SEARCH("ARRIB",D152)),ISNUMBER(SEARCH("MATRIZ",D152)),ISNUMBER(SEARCH("PENDIENTE",D152))),"VISITA COORDINADA CON EL CLIENTE","N/A"))</f>
        <v>VISITA COORDINADA CON EL CLIENTE</v>
      </c>
      <c r="G152" s="12" t="str">
        <f>IF(base!G152="","",base!G152)</f>
        <v>001234</v>
      </c>
      <c r="H152" s="12" t="str">
        <f>IF(base!I152="","",base!I152)</f>
        <v>FLEX</v>
      </c>
      <c r="I152" s="12" t="str">
        <f>IF(base!S152="","",base!S152)</f>
        <v>Prueba 150</v>
      </c>
      <c r="J152" s="12" t="str">
        <f>IF(base!T152="","",base!T152)</f>
        <v>Calle 123
Piso 2</v>
      </c>
      <c r="K152" s="12" t="str">
        <f>IF(base!U152="","",base!U152)</f>
        <v/>
      </c>
      <c r="L152" s="12" t="str">
        <f>IF(base!Y152="","",base!Y152)</f>
        <v/>
      </c>
      <c r="M152" s="12" t="str">
        <f>IF(base!AH152="","",base!AH152)</f>
        <v/>
      </c>
      <c r="N152" s="12" t="str">
        <f>IF(base!AI152="","",base!AI152)</f>
        <v>34.072273</v>
      </c>
      <c r="O152" s="12">
        <f>IF(base!BA152="","",base!BA152)</f>
        <v>1875</v>
      </c>
      <c r="P152" s="13">
        <f>IF(base!BK152="","",base!BK152)</f>
        <v>46303.805902777778</v>
      </c>
      <c r="Q152" s="15" t="str">
        <f>IF(base!BS152="","",base!BS152)</f>
        <v/>
      </c>
    </row>
    <row r="153" spans="1:17" ht="30" x14ac:dyDescent="0.35">
      <c r="A153" s="14">
        <f>IF(base!A153="","",base!A153)</f>
        <v>6200151</v>
      </c>
      <c r="B153" s="13">
        <f>IF(base!BN153="","",base!BN153)</f>
        <v>46303.625</v>
      </c>
      <c r="C153" s="12" t="str">
        <f>IF(base!C153="","",base!C153)</f>
        <v>ZETABURGOS SRL</v>
      </c>
      <c r="D153" s="12" t="str">
        <f>IF(base!E153="","",base!E153)</f>
        <v>ENTREGADO</v>
      </c>
      <c r="E153" s="12" t="str">
        <f>IF(base!BF153="","",base!BF153)</f>
        <v/>
      </c>
      <c r="F153" s="12" t="str">
        <f>IF(D153="","",IF(OR(ISNUMBER(SEARCH("VISITA",D153)),ISNUMBER(SEARCH("RUTA",D153)),ISNUMBER(SEARCH("ARRIB",D153)),ISNUMBER(SEARCH("MATRIZ",D153)),ISNUMBER(SEARCH("PENDIENTE",D153))),"VISITA COORDINADA CON EL CLIENTE","N/A"))</f>
        <v>N/A</v>
      </c>
      <c r="G153" s="12" t="str">
        <f>"#ABC"</f>
        <v>#ABC</v>
      </c>
      <c r="H153" s="12" t="str">
        <f>IF(base!I153="","",base!I153)</f>
        <v>SAMEDAY</v>
      </c>
      <c r="I153" s="12" t="str">
        <f>IF(base!S153="","",base!S153)</f>
        <v>Prueba 151</v>
      </c>
      <c r="J153" s="12" t="str">
        <f>IF(base!T153="","",base!T153)</f>
        <v>Calle 123
Piso 2</v>
      </c>
      <c r="K153" s="12" t="str">
        <f>IF(base!U153="","",base!U153)</f>
        <v/>
      </c>
      <c r="L153" s="12" t="str">
        <f>IF(base!Y153="","",base!Y153)</f>
        <v/>
      </c>
      <c r="M153" s="12" t="str">
        <f>IF(base!AH153="","",base!AH153)</f>
        <v/>
      </c>
      <c r="N153" s="12" t="str">
        <f>IF(base!AI153="","",base!AI153)</f>
        <v>34.072273</v>
      </c>
      <c r="O153" s="12">
        <f>IF(base!BA153="","",base!BA153)</f>
        <v>1875</v>
      </c>
      <c r="P153" s="13">
        <f>IF(base!BK153="","",base!BK153)</f>
        <v>46303.805902777778</v>
      </c>
      <c r="Q153" s="15" t="str">
        <f>IF(base!BS153="","",base!BS153)</f>
        <v/>
      </c>
    </row>
    <row r="154" spans="1:17" ht="30" x14ac:dyDescent="0.35">
      <c r="A154" s="14">
        <f>IF(base!A154="","",base!A154)</f>
        <v>6200152</v>
      </c>
      <c r="B154" s="13">
        <f>IF(base!BN154="","",base!BN154)</f>
        <v>46303.625</v>
      </c>
      <c r="C154" s="12" t="str">
        <f>IF(base!C154="","",base!C154)</f>
        <v>ZETABURGOS SRL</v>
      </c>
      <c r="D154" s="12" t="str">
        <f>IF(base!E154="","",base!E154)</f>
        <v>REPROGRAMACIÓN</v>
      </c>
      <c r="E154" s="12" t="str">
        <f>IF(base!BF154="","",base!BF154)</f>
        <v/>
      </c>
      <c r="F154" s="12" t="str">
        <f>IF(D154="","",IF(OR(ISNUMBER(SEARCH("VISITA",D154)),ISNUMBER(SEARCH("RUTA",D154)),ISNUMBER(SEARCH("ARRIB",D154)),ISNUMBER(SEARCH("MATRIZ",D154)),ISNUMBER(SEARCH("PENDIENTE",D154))),"VISITA COORDINADA CON EL CLIENTE","N/A"))</f>
        <v>N/A</v>
      </c>
      <c r="G154" s="12">
        <f>IF(base!G154="","",base!G154)</f>
        <v>470123456</v>
      </c>
      <c r="H154" s="12" t="str">
        <f>IF(base!I154="","",base!I154)</f>
        <v>FLEX</v>
      </c>
      <c r="I154" s="12" t="str">
        <f>IF(base!S154="","",base!S154)</f>
        <v>Prueba 152</v>
      </c>
      <c r="J154" s="12" t="str">
        <f>IF(base!T154="","",base!T154)</f>
        <v>Calle 123
Piso 2</v>
      </c>
      <c r="K154" s="12" t="str">
        <f>IF(base!U154="","",base!U154)</f>
        <v/>
      </c>
      <c r="L154" s="12" t="str">
        <f>IF(base!Y154="","",base!Y154)</f>
        <v/>
      </c>
      <c r="M154" s="12" t="str">
        <f>IF(base!AH154="","",base!AH154)</f>
        <v/>
      </c>
      <c r="N154" s="12" t="str">
        <f>IF(base!AI154="","",base!AI154)</f>
        <v>34.072273</v>
      </c>
      <c r="O154" s="12">
        <f>IF(base!BA154="","",base!BA154)</f>
        <v>1875</v>
      </c>
      <c r="P154" s="13">
        <f>IF(base!BK154="","",base!BK154)</f>
        <v>46303.805902777778</v>
      </c>
      <c r="Q154" s="15" t="str">
        <f>IF(base!BS154="","",base!BS154)</f>
        <v/>
      </c>
    </row>
    <row r="155" spans="1:17" ht="30" x14ac:dyDescent="0.35">
      <c r="A155" s="14">
        <f>IF(base!A155="","",base!A155)</f>
        <v>6200153</v>
      </c>
      <c r="B155" s="13">
        <f>IF(base!BN155="","",base!BN155)</f>
        <v>46303.625</v>
      </c>
      <c r="C155" s="12" t="str">
        <f>IF(base!C155="","",base!C155)</f>
        <v>ZETABURGOS SRL</v>
      </c>
      <c r="D155" s="12" t="str">
        <f>IF(base!E155="","",base!E155)</f>
        <v>1RVT - 1° VISITA</v>
      </c>
      <c r="E155" s="12" t="str">
        <f>IF(base!BF155="","",base!BF155)</f>
        <v/>
      </c>
      <c r="F155" s="12" t="str">
        <f>IF(D155="","",IF(OR(ISNUMBER(SEARCH("VISITA",D155)),ISNUMBER(SEARCH("RUTA",D155)),ISNUMBER(SEARCH("ARRIB",D155)),ISNUMBER(SEARCH("MATRIZ",D155)),ISNUMBER(SEARCH("PENDIENTE",D155))),"VISITA COORDINADA CON EL CLIENTE","N/A"))</f>
        <v>VISITA COORDINADA CON EL CLIENTE</v>
      </c>
      <c r="G155" s="12" t="str">
        <f>IF(base!G155="","",base!G155)</f>
        <v>ABC001</v>
      </c>
      <c r="H155" s="12" t="str">
        <f>IF(base!I155="","",base!I155)</f>
        <v>SAMEDAY</v>
      </c>
      <c r="I155" s="12" t="str">
        <f>IF(base!S155="","",base!S155)</f>
        <v>Prueba 153</v>
      </c>
      <c r="J155" s="12" t="str">
        <f>IF(base!T155="","",base!T155)</f>
        <v>Calle 123
Piso 2</v>
      </c>
      <c r="K155" s="12" t="str">
        <f>IF(base!U155="","",base!U155)</f>
        <v/>
      </c>
      <c r="L155" s="12" t="str">
        <f>IF(base!Y155="","",base!Y155)</f>
        <v/>
      </c>
      <c r="M155" s="12" t="str">
        <f>IF(base!AH155="","",base!AH155)</f>
        <v/>
      </c>
      <c r="N155" s="12" t="str">
        <f>IF(base!AI155="","",base!AI155)</f>
        <v>34.072273</v>
      </c>
      <c r="O155" s="12">
        <f>IF(base!BA155="","",base!BA155)</f>
        <v>1875</v>
      </c>
      <c r="P155" s="13">
        <f>IF(base!BK155="","",base!BK155)</f>
        <v>46303.805902777778</v>
      </c>
      <c r="Q155" s="15" t="str">
        <f>IF(base!BS155="","",base!BS155)</f>
        <v/>
      </c>
    </row>
    <row r="156" spans="1:17" ht="30" x14ac:dyDescent="0.35">
      <c r="A156" s="14">
        <f>IF(base!A156="","",base!A156)</f>
        <v>6200154</v>
      </c>
      <c r="B156" s="13">
        <f>IF(base!BN156="","",base!BN156)</f>
        <v>46303.625</v>
      </c>
      <c r="C156" s="12" t="str">
        <f>IF(base!C156="","",base!C156)</f>
        <v>ZETABURGOS SRL</v>
      </c>
      <c r="D156" s="12" t="str">
        <f>IF(base!E156="","",base!E156)</f>
        <v>ENTREGADO</v>
      </c>
      <c r="E156" s="12" t="str">
        <f>IF(base!BF156="","",base!BF156)</f>
        <v/>
      </c>
      <c r="F156" s="12" t="str">
        <f>IF(D156="","",IF(OR(ISNUMBER(SEARCH("VISITA",D156)),ISNUMBER(SEARCH("RUTA",D156)),ISNUMBER(SEARCH("ARRIB",D156)),ISNUMBER(SEARCH("MATRIZ",D156)),ISNUMBER(SEARCH("PENDIENTE",D156))),"VISITA COORDINADA CON EL CLIENTE","N/A"))</f>
        <v>N/A</v>
      </c>
      <c r="G156" s="12" t="str">
        <f>IF(base!G156="","",base!G156)</f>
        <v>2000018857041302</v>
      </c>
      <c r="H156" s="12" t="str">
        <f>IF(base!I156="","",base!I156)</f>
        <v>FLEX</v>
      </c>
      <c r="I156" s="12" t="str">
        <f>IF(base!S156="","",base!S156)</f>
        <v>Prueba 154</v>
      </c>
      <c r="J156" s="12" t="str">
        <f>IF(base!T156="","",base!T156)</f>
        <v>Calle 123
Piso 2</v>
      </c>
      <c r="K156" s="12" t="str">
        <f>IF(base!U156="","",base!U156)</f>
        <v/>
      </c>
      <c r="L156" s="12" t="str">
        <f>IF(base!Y156="","",base!Y156)</f>
        <v/>
      </c>
      <c r="M156" s="12" t="str">
        <f>IF(base!AH156="","",base!AH156)</f>
        <v/>
      </c>
      <c r="N156" s="12" t="str">
        <f>IF(base!AI156="","",base!AI156)</f>
        <v>34.072273</v>
      </c>
      <c r="O156" s="12">
        <f>IF(base!BA156="","",base!BA156)</f>
        <v>1875</v>
      </c>
      <c r="P156" s="13">
        <f>IF(base!BK156="","",base!BK156)</f>
        <v>46303.805902777778</v>
      </c>
      <c r="Q156" s="15" t="str">
        <f>IF(base!BS156="","",base!BS156)</f>
        <v/>
      </c>
    </row>
    <row r="157" spans="1:17" ht="30" x14ac:dyDescent="0.35">
      <c r="A157" s="14">
        <f>IF(base!A157="","",base!A157)</f>
        <v>6200155</v>
      </c>
      <c r="B157" s="13">
        <f>IF(base!BN157="","",base!BN157)</f>
        <v>46303.625</v>
      </c>
      <c r="C157" s="12" t="str">
        <f>IF(base!C157="","",base!C157)</f>
        <v>ZETABURGOS SRL</v>
      </c>
      <c r="D157" s="12" t="str">
        <f>IF(base!E157="","",base!E157)</f>
        <v>REPROGRAMACIÓN</v>
      </c>
      <c r="E157" s="12" t="str">
        <f>IF(base!BF157="","",base!BF157)</f>
        <v/>
      </c>
      <c r="F157" s="12" t="str">
        <f>IF(D157="","",IF(OR(ISNUMBER(SEARCH("VISITA",D157)),ISNUMBER(SEARCH("RUTA",D157)),ISNUMBER(SEARCH("ARRIB",D157)),ISNUMBER(SEARCH("MATRIZ",D157)),ISNUMBER(SEARCH("PENDIENTE",D157))),"VISITA COORDINADA CON EL CLIENTE","N/A"))</f>
        <v>N/A</v>
      </c>
      <c r="G157" s="12" t="str">
        <f>IF(base!G157="","",base!G157)</f>
        <v>001234</v>
      </c>
      <c r="H157" s="12" t="str">
        <f>IF(base!I157="","",base!I157)</f>
        <v>FLEX</v>
      </c>
      <c r="I157" s="12" t="str">
        <f>IF(base!S157="","",base!S157)</f>
        <v>Prueba 155</v>
      </c>
      <c r="J157" s="12" t="str">
        <f>IF(base!T157="","",base!T157)</f>
        <v>Calle 123
Piso 2</v>
      </c>
      <c r="K157" s="12" t="str">
        <f>IF(base!U157="","",base!U157)</f>
        <v/>
      </c>
      <c r="L157" s="12" t="str">
        <f>IF(base!Y157="","",base!Y157)</f>
        <v/>
      </c>
      <c r="M157" s="12" t="str">
        <f>IF(base!AH157="","",base!AH157)</f>
        <v/>
      </c>
      <c r="N157" s="12" t="str">
        <f>IF(base!AI157="","",base!AI157)</f>
        <v>34.072273</v>
      </c>
      <c r="O157" s="12">
        <f>IF(base!BA157="","",base!BA157)</f>
        <v>1875</v>
      </c>
      <c r="P157" s="13">
        <f>IF(base!BK157="","",base!BK157)</f>
        <v>46303.805902777778</v>
      </c>
      <c r="Q157" s="15" t="str">
        <f>IF(base!BS157="","",base!BS157)</f>
        <v/>
      </c>
    </row>
    <row r="158" spans="1:17" ht="30" x14ac:dyDescent="0.35">
      <c r="A158" s="14">
        <f>IF(base!A158="","",base!A158)</f>
        <v>6200156</v>
      </c>
      <c r="B158" s="13">
        <f>IF(base!BN158="","",base!BN158)</f>
        <v>46303.625</v>
      </c>
      <c r="C158" s="12" t="str">
        <f>IF(base!C158="","",base!C158)</f>
        <v>ZETABURGOS SRL</v>
      </c>
      <c r="D158" s="12" t="str">
        <f>IF(base!E158="","",base!E158)</f>
        <v>1RVT - 1° VISITA</v>
      </c>
      <c r="E158" s="12" t="str">
        <f>IF(base!BF158="","",base!BF158)</f>
        <v/>
      </c>
      <c r="F158" s="12" t="str">
        <f>IF(D158="","",IF(OR(ISNUMBER(SEARCH("VISITA",D158)),ISNUMBER(SEARCH("RUTA",D158)),ISNUMBER(SEARCH("ARRIB",D158)),ISNUMBER(SEARCH("MATRIZ",D158)),ISNUMBER(SEARCH("PENDIENTE",D158))),"VISITA COORDINADA CON EL CLIENTE","N/A"))</f>
        <v>VISITA COORDINADA CON EL CLIENTE</v>
      </c>
      <c r="G158" s="12" t="str">
        <f>"#ABC"</f>
        <v>#ABC</v>
      </c>
      <c r="H158" s="12" t="str">
        <f>IF(base!I158="","",base!I158)</f>
        <v>SAMEDAY</v>
      </c>
      <c r="I158" s="12" t="str">
        <f>IF(base!S158="","",base!S158)</f>
        <v>Prueba 156</v>
      </c>
      <c r="J158" s="12" t="str">
        <f>IF(base!T158="","",base!T158)</f>
        <v>Calle 123
Piso 2</v>
      </c>
      <c r="K158" s="12" t="str">
        <f>IF(base!U158="","",base!U158)</f>
        <v/>
      </c>
      <c r="L158" s="12" t="str">
        <f>IF(base!Y158="","",base!Y158)</f>
        <v/>
      </c>
      <c r="M158" s="12" t="str">
        <f>IF(base!AH158="","",base!AH158)</f>
        <v/>
      </c>
      <c r="N158" s="12" t="str">
        <f>IF(base!AI158="","",base!AI158)</f>
        <v>34.072273</v>
      </c>
      <c r="O158" s="12">
        <f>IF(base!BA158="","",base!BA158)</f>
        <v>1875</v>
      </c>
      <c r="P158" s="13">
        <f>IF(base!BK158="","",base!BK158)</f>
        <v>46303.805902777778</v>
      </c>
      <c r="Q158" s="15" t="str">
        <f>IF(base!BS158="","",base!BS158)</f>
        <v/>
      </c>
    </row>
    <row r="159" spans="1:17" ht="30" x14ac:dyDescent="0.35">
      <c r="A159" s="14">
        <f>IF(base!A159="","",base!A159)</f>
        <v>6200157</v>
      </c>
      <c r="B159" s="13">
        <f>IF(base!BN159="","",base!BN159)</f>
        <v>46303.625</v>
      </c>
      <c r="C159" s="12" t="str">
        <f>IF(base!C159="","",base!C159)</f>
        <v>ZETABURGOS SRL</v>
      </c>
      <c r="D159" s="12" t="str">
        <f>IF(base!E159="","",base!E159)</f>
        <v>ENTREGADO</v>
      </c>
      <c r="E159" s="12" t="str">
        <f>IF(base!BF159="","",base!BF159)</f>
        <v/>
      </c>
      <c r="F159" s="12" t="str">
        <f>IF(D159="","",IF(OR(ISNUMBER(SEARCH("VISITA",D159)),ISNUMBER(SEARCH("RUTA",D159)),ISNUMBER(SEARCH("ARRIB",D159)),ISNUMBER(SEARCH("MATRIZ",D159)),ISNUMBER(SEARCH("PENDIENTE",D159))),"VISITA COORDINADA CON EL CLIENTE","N/A"))</f>
        <v>N/A</v>
      </c>
      <c r="G159" s="12">
        <f>IF(base!G159="","",base!G159)</f>
        <v>470123456</v>
      </c>
      <c r="H159" s="12" t="str">
        <f>IF(base!I159="","",base!I159)</f>
        <v>FLEX</v>
      </c>
      <c r="I159" s="12" t="str">
        <f>IF(base!S159="","",base!S159)</f>
        <v>Prueba 157</v>
      </c>
      <c r="J159" s="12" t="str">
        <f>IF(base!T159="","",base!T159)</f>
        <v>Calle 123
Piso 2</v>
      </c>
      <c r="K159" s="12" t="str">
        <f>IF(base!U159="","",base!U159)</f>
        <v/>
      </c>
      <c r="L159" s="12" t="str">
        <f>IF(base!Y159="","",base!Y159)</f>
        <v/>
      </c>
      <c r="M159" s="12" t="str">
        <f>IF(base!AH159="","",base!AH159)</f>
        <v/>
      </c>
      <c r="N159" s="12" t="str">
        <f>IF(base!AI159="","",base!AI159)</f>
        <v>34.072273</v>
      </c>
      <c r="O159" s="12">
        <f>IF(base!BA159="","",base!BA159)</f>
        <v>1875</v>
      </c>
      <c r="P159" s="13">
        <f>IF(base!BK159="","",base!BK159)</f>
        <v>46303.805902777778</v>
      </c>
      <c r="Q159" s="15" t="str">
        <f>IF(base!BS159="","",base!BS159)</f>
        <v/>
      </c>
    </row>
    <row r="160" spans="1:17" ht="30" x14ac:dyDescent="0.35">
      <c r="A160" s="14">
        <f>IF(base!A160="","",base!A160)</f>
        <v>6200158</v>
      </c>
      <c r="B160" s="13">
        <f>IF(base!BN160="","",base!BN160)</f>
        <v>46303.625</v>
      </c>
      <c r="C160" s="12" t="str">
        <f>IF(base!C160="","",base!C160)</f>
        <v>ZETABURGOS SRL</v>
      </c>
      <c r="D160" s="12" t="str">
        <f>IF(base!E160="","",base!E160)</f>
        <v>REPROGRAMACIÓN</v>
      </c>
      <c r="E160" s="12" t="str">
        <f>IF(base!BF160="","",base!BF160)</f>
        <v/>
      </c>
      <c r="F160" s="12" t="str">
        <f>IF(D160="","",IF(OR(ISNUMBER(SEARCH("VISITA",D160)),ISNUMBER(SEARCH("RUTA",D160)),ISNUMBER(SEARCH("ARRIB",D160)),ISNUMBER(SEARCH("MATRIZ",D160)),ISNUMBER(SEARCH("PENDIENTE",D160))),"VISITA COORDINADA CON EL CLIENTE","N/A"))</f>
        <v>N/A</v>
      </c>
      <c r="G160" s="12" t="str">
        <f>IF(base!G160="","",base!G160)</f>
        <v>ABC001</v>
      </c>
      <c r="H160" s="12" t="str">
        <f>IF(base!I160="","",base!I160)</f>
        <v>SAMEDAY</v>
      </c>
      <c r="I160" s="12" t="str">
        <f>IF(base!S160="","",base!S160)</f>
        <v>Prueba 158</v>
      </c>
      <c r="J160" s="12" t="str">
        <f>IF(base!T160="","",base!T160)</f>
        <v>Calle 123
Piso 2</v>
      </c>
      <c r="K160" s="12" t="str">
        <f>IF(base!U160="","",base!U160)</f>
        <v/>
      </c>
      <c r="L160" s="12" t="str">
        <f>IF(base!Y160="","",base!Y160)</f>
        <v/>
      </c>
      <c r="M160" s="12" t="str">
        <f>IF(base!AH160="","",base!AH160)</f>
        <v/>
      </c>
      <c r="N160" s="12" t="str">
        <f>IF(base!AI160="","",base!AI160)</f>
        <v>34.072273</v>
      </c>
      <c r="O160" s="12">
        <f>IF(base!BA160="","",base!BA160)</f>
        <v>1875</v>
      </c>
      <c r="P160" s="13">
        <f>IF(base!BK160="","",base!BK160)</f>
        <v>46303.805902777778</v>
      </c>
      <c r="Q160" s="15" t="str">
        <f>IF(base!BS160="","",base!BS160)</f>
        <v/>
      </c>
    </row>
    <row r="161" spans="1:17" ht="30" x14ac:dyDescent="0.35">
      <c r="A161" s="14">
        <f>IF(base!A161="","",base!A161)</f>
        <v>6200159</v>
      </c>
      <c r="B161" s="13">
        <f>IF(base!BN161="","",base!BN161)</f>
        <v>46303.625</v>
      </c>
      <c r="C161" s="12" t="str">
        <f>IF(base!C161="","",base!C161)</f>
        <v>ZETABURGOS SRL</v>
      </c>
      <c r="D161" s="12" t="str">
        <f>IF(base!E161="","",base!E161)</f>
        <v>1RVT - 1° VISITA</v>
      </c>
      <c r="E161" s="12" t="str">
        <f>IF(base!BF161="","",base!BF161)</f>
        <v/>
      </c>
      <c r="F161" s="12" t="str">
        <f>IF(D161="","",IF(OR(ISNUMBER(SEARCH("VISITA",D161)),ISNUMBER(SEARCH("RUTA",D161)),ISNUMBER(SEARCH("ARRIB",D161)),ISNUMBER(SEARCH("MATRIZ",D161)),ISNUMBER(SEARCH("PENDIENTE",D161))),"VISITA COORDINADA CON EL CLIENTE","N/A"))</f>
        <v>VISITA COORDINADA CON EL CLIENTE</v>
      </c>
      <c r="G161" s="12" t="str">
        <f>IF(base!G161="","",base!G161)</f>
        <v>2000018857041302</v>
      </c>
      <c r="H161" s="12" t="str">
        <f>IF(base!I161="","",base!I161)</f>
        <v>FLEX</v>
      </c>
      <c r="I161" s="12" t="str">
        <f>IF(base!S161="","",base!S161)</f>
        <v>Prueba 159</v>
      </c>
      <c r="J161" s="12" t="str">
        <f>IF(base!T161="","",base!T161)</f>
        <v>Calle 123
Piso 2</v>
      </c>
      <c r="K161" s="12" t="str">
        <f>IF(base!U161="","",base!U161)</f>
        <v/>
      </c>
      <c r="L161" s="12" t="str">
        <f>IF(base!Y161="","",base!Y161)</f>
        <v/>
      </c>
      <c r="M161" s="12" t="str">
        <f>IF(base!AH161="","",base!AH161)</f>
        <v/>
      </c>
      <c r="N161" s="12" t="str">
        <f>IF(base!AI161="","",base!AI161)</f>
        <v>34.072273</v>
      </c>
      <c r="O161" s="12">
        <f>IF(base!BA161="","",base!BA161)</f>
        <v>1875</v>
      </c>
      <c r="P161" s="13">
        <f>IF(base!BK161="","",base!BK161)</f>
        <v>46303.805902777778</v>
      </c>
      <c r="Q161" s="15" t="str">
        <f>IF(base!BS161="","",base!BS161)</f>
        <v/>
      </c>
    </row>
    <row r="162" spans="1:17" ht="30" x14ac:dyDescent="0.35">
      <c r="A162" s="14">
        <f>IF(base!A162="","",base!A162)</f>
        <v>6200160</v>
      </c>
      <c r="B162" s="13">
        <f>IF(base!BN162="","",base!BN162)</f>
        <v>46303.625</v>
      </c>
      <c r="C162" s="12" t="str">
        <f>IF(base!C162="","",base!C162)</f>
        <v>ZETABURGOS SRL</v>
      </c>
      <c r="D162" s="12" t="str">
        <f>IF(base!E162="","",base!E162)</f>
        <v>ENTREGADO</v>
      </c>
      <c r="E162" s="12" t="str">
        <f>IF(base!BF162="","",base!BF162)</f>
        <v/>
      </c>
      <c r="F162" s="12" t="str">
        <f>IF(D162="","",IF(OR(ISNUMBER(SEARCH("VISITA",D162)),ISNUMBER(SEARCH("RUTA",D162)),ISNUMBER(SEARCH("ARRIB",D162)),ISNUMBER(SEARCH("MATRIZ",D162)),ISNUMBER(SEARCH("PENDIENTE",D162))),"VISITA COORDINADA CON EL CLIENTE","N/A"))</f>
        <v>N/A</v>
      </c>
      <c r="G162" s="12" t="str">
        <f>IF(base!G162="","",base!G162)</f>
        <v>001234</v>
      </c>
      <c r="H162" s="12" t="str">
        <f>IF(base!I162="","",base!I162)</f>
        <v>FLEX</v>
      </c>
      <c r="I162" s="12" t="str">
        <f>IF(base!S162="","",base!S162)</f>
        <v>Prueba 160</v>
      </c>
      <c r="J162" s="12" t="str">
        <f>IF(base!T162="","",base!T162)</f>
        <v>Calle 123
Piso 2</v>
      </c>
      <c r="K162" s="12" t="str">
        <f>IF(base!U162="","",base!U162)</f>
        <v/>
      </c>
      <c r="L162" s="12" t="str">
        <f>IF(base!Y162="","",base!Y162)</f>
        <v/>
      </c>
      <c r="M162" s="12" t="str">
        <f>IF(base!AH162="","",base!AH162)</f>
        <v/>
      </c>
      <c r="N162" s="12" t="str">
        <f>IF(base!AI162="","",base!AI162)</f>
        <v>34.072273</v>
      </c>
      <c r="O162" s="12">
        <f>IF(base!BA162="","",base!BA162)</f>
        <v>1875</v>
      </c>
      <c r="P162" s="13">
        <f>IF(base!BK162="","",base!BK162)</f>
        <v>46303.805902777778</v>
      </c>
      <c r="Q162" s="15" t="str">
        <f>IF(base!BS162="","",base!BS162)</f>
        <v/>
      </c>
    </row>
    <row r="163" spans="1:17" ht="30" x14ac:dyDescent="0.35">
      <c r="A163" s="14">
        <f>IF(base!A163="","",base!A163)</f>
        <v>6200161</v>
      </c>
      <c r="B163" s="13">
        <f>IF(base!BN163="","",base!BN163)</f>
        <v>46303.625</v>
      </c>
      <c r="C163" s="12" t="str">
        <f>IF(base!C163="","",base!C163)</f>
        <v>ZETABURGOS SRL</v>
      </c>
      <c r="D163" s="12" t="str">
        <f>IF(base!E163="","",base!E163)</f>
        <v>REPROGRAMACIÓN</v>
      </c>
      <c r="E163" s="12" t="str">
        <f>IF(base!BF163="","",base!BF163)</f>
        <v/>
      </c>
      <c r="F163" s="12" t="str">
        <f>IF(D163="","",IF(OR(ISNUMBER(SEARCH("VISITA",D163)),ISNUMBER(SEARCH("RUTA",D163)),ISNUMBER(SEARCH("ARRIB",D163)),ISNUMBER(SEARCH("MATRIZ",D163)),ISNUMBER(SEARCH("PENDIENTE",D163))),"VISITA COORDINADA CON EL CLIENTE","N/A"))</f>
        <v>N/A</v>
      </c>
      <c r="G163" s="12" t="str">
        <f>"#ABC"</f>
        <v>#ABC</v>
      </c>
      <c r="H163" s="12" t="str">
        <f>IF(base!I163="","",base!I163)</f>
        <v>SAMEDAY</v>
      </c>
      <c r="I163" s="12" t="str">
        <f>IF(base!S163="","",base!S163)</f>
        <v>Prueba 161</v>
      </c>
      <c r="J163" s="12" t="str">
        <f>IF(base!T163="","",base!T163)</f>
        <v>Calle 123
Piso 2</v>
      </c>
      <c r="K163" s="12" t="str">
        <f>IF(base!U163="","",base!U163)</f>
        <v/>
      </c>
      <c r="L163" s="12" t="str">
        <f>IF(base!Y163="","",base!Y163)</f>
        <v/>
      </c>
      <c r="M163" s="12" t="str">
        <f>IF(base!AH163="","",base!AH163)</f>
        <v/>
      </c>
      <c r="N163" s="12" t="str">
        <f>IF(base!AI163="","",base!AI163)</f>
        <v>34.072273</v>
      </c>
      <c r="O163" s="12">
        <f>IF(base!BA163="","",base!BA163)</f>
        <v>1875</v>
      </c>
      <c r="P163" s="13">
        <f>IF(base!BK163="","",base!BK163)</f>
        <v>46303.805902777778</v>
      </c>
      <c r="Q163" s="15" t="str">
        <f>IF(base!BS163="","",base!BS163)</f>
        <v/>
      </c>
    </row>
    <row r="164" spans="1:17" ht="30" x14ac:dyDescent="0.35">
      <c r="A164" s="14">
        <f>IF(base!A164="","",base!A164)</f>
        <v>6200162</v>
      </c>
      <c r="B164" s="13">
        <f>IF(base!BN164="","",base!BN164)</f>
        <v>46303.625</v>
      </c>
      <c r="C164" s="12" t="str">
        <f>IF(base!C164="","",base!C164)</f>
        <v>ZETABURGOS SRL</v>
      </c>
      <c r="D164" s="12" t="str">
        <f>IF(base!E164="","",base!E164)</f>
        <v>1RVT - 1° VISITA</v>
      </c>
      <c r="E164" s="12" t="str">
        <f>IF(base!BF164="","",base!BF164)</f>
        <v/>
      </c>
      <c r="F164" s="12" t="str">
        <f>IF(D164="","",IF(OR(ISNUMBER(SEARCH("VISITA",D164)),ISNUMBER(SEARCH("RUTA",D164)),ISNUMBER(SEARCH("ARRIB",D164)),ISNUMBER(SEARCH("MATRIZ",D164)),ISNUMBER(SEARCH("PENDIENTE",D164))),"VISITA COORDINADA CON EL CLIENTE","N/A"))</f>
        <v>VISITA COORDINADA CON EL CLIENTE</v>
      </c>
      <c r="G164" s="12">
        <f>IF(base!G164="","",base!G164)</f>
        <v>470123456</v>
      </c>
      <c r="H164" s="12" t="str">
        <f>IF(base!I164="","",base!I164)</f>
        <v>FLEX</v>
      </c>
      <c r="I164" s="12" t="str">
        <f>IF(base!S164="","",base!S164)</f>
        <v>Prueba 162</v>
      </c>
      <c r="J164" s="12" t="str">
        <f>IF(base!T164="","",base!T164)</f>
        <v>Calle 123
Piso 2</v>
      </c>
      <c r="K164" s="12" t="str">
        <f>IF(base!U164="","",base!U164)</f>
        <v/>
      </c>
      <c r="L164" s="12" t="str">
        <f>IF(base!Y164="","",base!Y164)</f>
        <v/>
      </c>
      <c r="M164" s="12" t="str">
        <f>IF(base!AH164="","",base!AH164)</f>
        <v/>
      </c>
      <c r="N164" s="12" t="str">
        <f>IF(base!AI164="","",base!AI164)</f>
        <v>34.072273</v>
      </c>
      <c r="O164" s="12">
        <f>IF(base!BA164="","",base!BA164)</f>
        <v>1875</v>
      </c>
      <c r="P164" s="13">
        <f>IF(base!BK164="","",base!BK164)</f>
        <v>46303.805902777778</v>
      </c>
      <c r="Q164" s="15" t="str">
        <f>IF(base!BS164="","",base!BS164)</f>
        <v/>
      </c>
    </row>
    <row r="165" spans="1:17" ht="30" x14ac:dyDescent="0.35">
      <c r="A165" s="14">
        <f>IF(base!A165="","",base!A165)</f>
        <v>6200163</v>
      </c>
      <c r="B165" s="13">
        <f>IF(base!BN165="","",base!BN165)</f>
        <v>46303.625</v>
      </c>
      <c r="C165" s="12" t="str">
        <f>IF(base!C165="","",base!C165)</f>
        <v>ZETABURGOS SRL</v>
      </c>
      <c r="D165" s="12" t="str">
        <f>IF(base!E165="","",base!E165)</f>
        <v>ENTREGADO</v>
      </c>
      <c r="E165" s="12" t="str">
        <f>IF(base!BF165="","",base!BF165)</f>
        <v/>
      </c>
      <c r="F165" s="12" t="str">
        <f>IF(D165="","",IF(OR(ISNUMBER(SEARCH("VISITA",D165)),ISNUMBER(SEARCH("RUTA",D165)),ISNUMBER(SEARCH("ARRIB",D165)),ISNUMBER(SEARCH("MATRIZ",D165)),ISNUMBER(SEARCH("PENDIENTE",D165))),"VISITA COORDINADA CON EL CLIENTE","N/A"))</f>
        <v>N/A</v>
      </c>
      <c r="G165" s="12" t="str">
        <f>IF(base!G165="","",base!G165)</f>
        <v>ABC001</v>
      </c>
      <c r="H165" s="12" t="str">
        <f>IF(base!I165="","",base!I165)</f>
        <v>SAMEDAY</v>
      </c>
      <c r="I165" s="12" t="str">
        <f>IF(base!S165="","",base!S165)</f>
        <v>Prueba 163</v>
      </c>
      <c r="J165" s="12" t="str">
        <f>IF(base!T165="","",base!T165)</f>
        <v>Calle 123
Piso 2</v>
      </c>
      <c r="K165" s="12" t="str">
        <f>IF(base!U165="","",base!U165)</f>
        <v/>
      </c>
      <c r="L165" s="12" t="str">
        <f>IF(base!Y165="","",base!Y165)</f>
        <v/>
      </c>
      <c r="M165" s="12" t="str">
        <f>IF(base!AH165="","",base!AH165)</f>
        <v/>
      </c>
      <c r="N165" s="12" t="str">
        <f>IF(base!AI165="","",base!AI165)</f>
        <v>34.072273</v>
      </c>
      <c r="O165" s="12">
        <f>IF(base!BA165="","",base!BA165)</f>
        <v>1875</v>
      </c>
      <c r="P165" s="13">
        <f>IF(base!BK165="","",base!BK165)</f>
        <v>46303.805902777778</v>
      </c>
      <c r="Q165" s="15" t="str">
        <f>IF(base!BS165="","",base!BS165)</f>
        <v/>
      </c>
    </row>
    <row r="166" spans="1:17" ht="30" x14ac:dyDescent="0.35">
      <c r="A166" s="14">
        <f>IF(base!A166="","",base!A166)</f>
        <v>6200164</v>
      </c>
      <c r="B166" s="13">
        <f>IF(base!BN166="","",base!BN166)</f>
        <v>46303.625</v>
      </c>
      <c r="C166" s="12" t="str">
        <f>IF(base!C166="","",base!C166)</f>
        <v>ZETABURGOS SRL</v>
      </c>
      <c r="D166" s="12" t="str">
        <f>IF(base!E166="","",base!E166)</f>
        <v>REPROGRAMACIÓN</v>
      </c>
      <c r="E166" s="12" t="str">
        <f>IF(base!BF166="","",base!BF166)</f>
        <v/>
      </c>
      <c r="F166" s="12" t="str">
        <f>IF(D166="","",IF(OR(ISNUMBER(SEARCH("VISITA",D166)),ISNUMBER(SEARCH("RUTA",D166)),ISNUMBER(SEARCH("ARRIB",D166)),ISNUMBER(SEARCH("MATRIZ",D166)),ISNUMBER(SEARCH("PENDIENTE",D166))),"VISITA COORDINADA CON EL CLIENTE","N/A"))</f>
        <v>N/A</v>
      </c>
      <c r="G166" s="12" t="str">
        <f>IF(base!G166="","",base!G166)</f>
        <v>2000018857041302</v>
      </c>
      <c r="H166" s="12" t="str">
        <f>IF(base!I166="","",base!I166)</f>
        <v>FLEX</v>
      </c>
      <c r="I166" s="12" t="str">
        <f>IF(base!S166="","",base!S166)</f>
        <v>Prueba 164</v>
      </c>
      <c r="J166" s="12" t="str">
        <f>IF(base!T166="","",base!T166)</f>
        <v>Calle 123
Piso 2</v>
      </c>
      <c r="K166" s="12" t="str">
        <f>IF(base!U166="","",base!U166)</f>
        <v/>
      </c>
      <c r="L166" s="12" t="str">
        <f>IF(base!Y166="","",base!Y166)</f>
        <v/>
      </c>
      <c r="M166" s="12" t="str">
        <f>IF(base!AH166="","",base!AH166)</f>
        <v/>
      </c>
      <c r="N166" s="12" t="str">
        <f>IF(base!AI166="","",base!AI166)</f>
        <v>34.072273</v>
      </c>
      <c r="O166" s="12">
        <f>IF(base!BA166="","",base!BA166)</f>
        <v>1875</v>
      </c>
      <c r="P166" s="13">
        <f>IF(base!BK166="","",base!BK166)</f>
        <v>46303.805902777778</v>
      </c>
      <c r="Q166" s="15" t="str">
        <f>IF(base!BS166="","",base!BS166)</f>
        <v/>
      </c>
    </row>
    <row r="167" spans="1:17" ht="30" x14ac:dyDescent="0.35">
      <c r="A167" s="14">
        <f>IF(base!A167="","",base!A167)</f>
        <v>6200165</v>
      </c>
      <c r="B167" s="13">
        <f>IF(base!BN167="","",base!BN167)</f>
        <v>46303.625</v>
      </c>
      <c r="C167" s="12" t="str">
        <f>IF(base!C167="","",base!C167)</f>
        <v>ZETABURGOS SRL</v>
      </c>
      <c r="D167" s="12" t="str">
        <f>IF(base!E167="","",base!E167)</f>
        <v>1RVT - 1° VISITA</v>
      </c>
      <c r="E167" s="12" t="str">
        <f>IF(base!BF167="","",base!BF167)</f>
        <v/>
      </c>
      <c r="F167" s="12" t="str">
        <f>IF(D167="","",IF(OR(ISNUMBER(SEARCH("VISITA",D167)),ISNUMBER(SEARCH("RUTA",D167)),ISNUMBER(SEARCH("ARRIB",D167)),ISNUMBER(SEARCH("MATRIZ",D167)),ISNUMBER(SEARCH("PENDIENTE",D167))),"VISITA COORDINADA CON EL CLIENTE","N/A"))</f>
        <v>VISITA COORDINADA CON EL CLIENTE</v>
      </c>
      <c r="G167" s="12" t="str">
        <f>IF(base!G167="","",base!G167)</f>
        <v>001234</v>
      </c>
      <c r="H167" s="12" t="str">
        <f>IF(base!I167="","",base!I167)</f>
        <v>FLEX</v>
      </c>
      <c r="I167" s="12" t="str">
        <f>IF(base!S167="","",base!S167)</f>
        <v>Prueba 165</v>
      </c>
      <c r="J167" s="12" t="str">
        <f>IF(base!T167="","",base!T167)</f>
        <v>Calle 123
Piso 2</v>
      </c>
      <c r="K167" s="12" t="str">
        <f>IF(base!U167="","",base!U167)</f>
        <v/>
      </c>
      <c r="L167" s="12" t="str">
        <f>IF(base!Y167="","",base!Y167)</f>
        <v/>
      </c>
      <c r="M167" s="12" t="str">
        <f>IF(base!AH167="","",base!AH167)</f>
        <v/>
      </c>
      <c r="N167" s="12" t="str">
        <f>IF(base!AI167="","",base!AI167)</f>
        <v>34.072273</v>
      </c>
      <c r="O167" s="12">
        <f>IF(base!BA167="","",base!BA167)</f>
        <v>1875</v>
      </c>
      <c r="P167" s="13">
        <f>IF(base!BK167="","",base!BK167)</f>
        <v>46303.805902777778</v>
      </c>
      <c r="Q167" s="15" t="str">
        <f>IF(base!BS167="","",base!BS167)</f>
        <v/>
      </c>
    </row>
    <row r="168" spans="1:17" ht="30" x14ac:dyDescent="0.35">
      <c r="A168" s="14">
        <f>IF(base!A168="","",base!A168)</f>
        <v>6200166</v>
      </c>
      <c r="B168" s="13">
        <f>IF(base!BN168="","",base!BN168)</f>
        <v>46303.625</v>
      </c>
      <c r="C168" s="12" t="str">
        <f>IF(base!C168="","",base!C168)</f>
        <v>ZETABURGOS SRL</v>
      </c>
      <c r="D168" s="12" t="str">
        <f>IF(base!E168="","",base!E168)</f>
        <v>ENTREGADO</v>
      </c>
      <c r="E168" s="12" t="str">
        <f>IF(base!BF168="","",base!BF168)</f>
        <v/>
      </c>
      <c r="F168" s="12" t="str">
        <f>IF(D168="","",IF(OR(ISNUMBER(SEARCH("VISITA",D168)),ISNUMBER(SEARCH("RUTA",D168)),ISNUMBER(SEARCH("ARRIB",D168)),ISNUMBER(SEARCH("MATRIZ",D168)),ISNUMBER(SEARCH("PENDIENTE",D168))),"VISITA COORDINADA CON EL CLIENTE","N/A"))</f>
        <v>N/A</v>
      </c>
      <c r="G168" s="12" t="str">
        <f>"#ABC"</f>
        <v>#ABC</v>
      </c>
      <c r="H168" s="12" t="str">
        <f>IF(base!I168="","",base!I168)</f>
        <v>SAMEDAY</v>
      </c>
      <c r="I168" s="12" t="str">
        <f>IF(base!S168="","",base!S168)</f>
        <v>Prueba 166</v>
      </c>
      <c r="J168" s="12" t="str">
        <f>IF(base!T168="","",base!T168)</f>
        <v>Calle 123
Piso 2</v>
      </c>
      <c r="K168" s="12" t="str">
        <f>IF(base!U168="","",base!U168)</f>
        <v/>
      </c>
      <c r="L168" s="12" t="str">
        <f>IF(base!Y168="","",base!Y168)</f>
        <v/>
      </c>
      <c r="M168" s="12" t="str">
        <f>IF(base!AH168="","",base!AH168)</f>
        <v/>
      </c>
      <c r="N168" s="12" t="str">
        <f>IF(base!AI168="","",base!AI168)</f>
        <v>34.072273</v>
      </c>
      <c r="O168" s="12">
        <f>IF(base!BA168="","",base!BA168)</f>
        <v>1875</v>
      </c>
      <c r="P168" s="13">
        <f>IF(base!BK168="","",base!BK168)</f>
        <v>46303.805902777778</v>
      </c>
      <c r="Q168" s="15" t="str">
        <f>IF(base!BS168="","",base!BS168)</f>
        <v/>
      </c>
    </row>
    <row r="169" spans="1:17" ht="30" x14ac:dyDescent="0.35">
      <c r="A169" s="14">
        <f>IF(base!A169="","",base!A169)</f>
        <v>6200167</v>
      </c>
      <c r="B169" s="13">
        <f>IF(base!BN169="","",base!BN169)</f>
        <v>46303.625</v>
      </c>
      <c r="C169" s="12" t="str">
        <f>IF(base!C169="","",base!C169)</f>
        <v>ZETABURGOS SRL</v>
      </c>
      <c r="D169" s="12" t="str">
        <f>IF(base!E169="","",base!E169)</f>
        <v>REPROGRAMACIÓN</v>
      </c>
      <c r="E169" s="12" t="str">
        <f>IF(base!BF169="","",base!BF169)</f>
        <v/>
      </c>
      <c r="F169" s="12" t="str">
        <f>IF(D169="","",IF(OR(ISNUMBER(SEARCH("VISITA",D169)),ISNUMBER(SEARCH("RUTA",D169)),ISNUMBER(SEARCH("ARRIB",D169)),ISNUMBER(SEARCH("MATRIZ",D169)),ISNUMBER(SEARCH("PENDIENTE",D169))),"VISITA COORDINADA CON EL CLIENTE","N/A"))</f>
        <v>N/A</v>
      </c>
      <c r="G169" s="12">
        <f>IF(base!G169="","",base!G169)</f>
        <v>470123456</v>
      </c>
      <c r="H169" s="12" t="str">
        <f>IF(base!I169="","",base!I169)</f>
        <v>FLEX</v>
      </c>
      <c r="I169" s="12" t="str">
        <f>IF(base!S169="","",base!S169)</f>
        <v>Prueba 167</v>
      </c>
      <c r="J169" s="12" t="str">
        <f>IF(base!T169="","",base!T169)</f>
        <v>Calle 123
Piso 2</v>
      </c>
      <c r="K169" s="12" t="str">
        <f>IF(base!U169="","",base!U169)</f>
        <v/>
      </c>
      <c r="L169" s="12" t="str">
        <f>IF(base!Y169="","",base!Y169)</f>
        <v/>
      </c>
      <c r="M169" s="12" t="str">
        <f>IF(base!AH169="","",base!AH169)</f>
        <v/>
      </c>
      <c r="N169" s="12" t="str">
        <f>IF(base!AI169="","",base!AI169)</f>
        <v>34.072273</v>
      </c>
      <c r="O169" s="12">
        <f>IF(base!BA169="","",base!BA169)</f>
        <v>1875</v>
      </c>
      <c r="P169" s="13">
        <f>IF(base!BK169="","",base!BK169)</f>
        <v>46303.805902777778</v>
      </c>
      <c r="Q169" s="15" t="str">
        <f>IF(base!BS169="","",base!BS169)</f>
        <v/>
      </c>
    </row>
    <row r="170" spans="1:17" ht="30" x14ac:dyDescent="0.35">
      <c r="A170" s="14">
        <f>IF(base!A170="","",base!A170)</f>
        <v>6200168</v>
      </c>
      <c r="B170" s="13">
        <f>IF(base!BN170="","",base!BN170)</f>
        <v>46303.625</v>
      </c>
      <c r="C170" s="12" t="str">
        <f>IF(base!C170="","",base!C170)</f>
        <v>ZETABURGOS SRL</v>
      </c>
      <c r="D170" s="12" t="str">
        <f>IF(base!E170="","",base!E170)</f>
        <v>1RVT - 1° VISITA</v>
      </c>
      <c r="E170" s="12" t="str">
        <f>IF(base!BF170="","",base!BF170)</f>
        <v/>
      </c>
      <c r="F170" s="12" t="str">
        <f>IF(D170="","",IF(OR(ISNUMBER(SEARCH("VISITA",D170)),ISNUMBER(SEARCH("RUTA",D170)),ISNUMBER(SEARCH("ARRIB",D170)),ISNUMBER(SEARCH("MATRIZ",D170)),ISNUMBER(SEARCH("PENDIENTE",D170))),"VISITA COORDINADA CON EL CLIENTE","N/A"))</f>
        <v>VISITA COORDINADA CON EL CLIENTE</v>
      </c>
      <c r="G170" s="12" t="str">
        <f>IF(base!G170="","",base!G170)</f>
        <v>ABC001</v>
      </c>
      <c r="H170" s="12" t="str">
        <f>IF(base!I170="","",base!I170)</f>
        <v>SAMEDAY</v>
      </c>
      <c r="I170" s="12" t="str">
        <f>IF(base!S170="","",base!S170)</f>
        <v>Prueba 168</v>
      </c>
      <c r="J170" s="12" t="str">
        <f>IF(base!T170="","",base!T170)</f>
        <v>Calle 123
Piso 2</v>
      </c>
      <c r="K170" s="12" t="str">
        <f>IF(base!U170="","",base!U170)</f>
        <v/>
      </c>
      <c r="L170" s="12" t="str">
        <f>IF(base!Y170="","",base!Y170)</f>
        <v/>
      </c>
      <c r="M170" s="12" t="str">
        <f>IF(base!AH170="","",base!AH170)</f>
        <v/>
      </c>
      <c r="N170" s="12" t="str">
        <f>IF(base!AI170="","",base!AI170)</f>
        <v>34.072273</v>
      </c>
      <c r="O170" s="12">
        <f>IF(base!BA170="","",base!BA170)</f>
        <v>1875</v>
      </c>
      <c r="P170" s="13">
        <f>IF(base!BK170="","",base!BK170)</f>
        <v>46303.805902777778</v>
      </c>
      <c r="Q170" s="15" t="str">
        <f>IF(base!BS170="","",base!BS170)</f>
        <v/>
      </c>
    </row>
    <row r="171" spans="1:17" ht="30" x14ac:dyDescent="0.35">
      <c r="A171" s="14">
        <f>IF(base!A171="","",base!A171)</f>
        <v>6200169</v>
      </c>
      <c r="B171" s="13">
        <f>IF(base!BN171="","",base!BN171)</f>
        <v>46303.625</v>
      </c>
      <c r="C171" s="12" t="str">
        <f>IF(base!C171="","",base!C171)</f>
        <v>ZETABURGOS SRL</v>
      </c>
      <c r="D171" s="12" t="str">
        <f>IF(base!E171="","",base!E171)</f>
        <v>ENTREGADO</v>
      </c>
      <c r="E171" s="12" t="str">
        <f>IF(base!BF171="","",base!BF171)</f>
        <v/>
      </c>
      <c r="F171" s="12" t="str">
        <f>IF(D171="","",IF(OR(ISNUMBER(SEARCH("VISITA",D171)),ISNUMBER(SEARCH("RUTA",D171)),ISNUMBER(SEARCH("ARRIB",D171)),ISNUMBER(SEARCH("MATRIZ",D171)),ISNUMBER(SEARCH("PENDIENTE",D171))),"VISITA COORDINADA CON EL CLIENTE","N/A"))</f>
        <v>N/A</v>
      </c>
      <c r="G171" s="12" t="str">
        <f>IF(base!G171="","",base!G171)</f>
        <v>2000018857041302</v>
      </c>
      <c r="H171" s="12" t="str">
        <f>IF(base!I171="","",base!I171)</f>
        <v>FLEX</v>
      </c>
      <c r="I171" s="12" t="str">
        <f>IF(base!S171="","",base!S171)</f>
        <v>Prueba 169</v>
      </c>
      <c r="J171" s="12" t="str">
        <f>IF(base!T171="","",base!T171)</f>
        <v>Calle 123
Piso 2</v>
      </c>
      <c r="K171" s="12" t="str">
        <f>IF(base!U171="","",base!U171)</f>
        <v/>
      </c>
      <c r="L171" s="12" t="str">
        <f>IF(base!Y171="","",base!Y171)</f>
        <v/>
      </c>
      <c r="M171" s="12" t="str">
        <f>IF(base!AH171="","",base!AH171)</f>
        <v/>
      </c>
      <c r="N171" s="12" t="str">
        <f>IF(base!AI171="","",base!AI171)</f>
        <v>34.072273</v>
      </c>
      <c r="O171" s="12">
        <f>IF(base!BA171="","",base!BA171)</f>
        <v>1875</v>
      </c>
      <c r="P171" s="13">
        <f>IF(base!BK171="","",base!BK171)</f>
        <v>46303.805902777778</v>
      </c>
      <c r="Q171" s="15" t="str">
        <f>IF(base!BS171="","",base!BS171)</f>
        <v/>
      </c>
    </row>
    <row r="172" spans="1:17" ht="30" x14ac:dyDescent="0.35">
      <c r="A172" s="14">
        <f>IF(base!A172="","",base!A172)</f>
        <v>6200170</v>
      </c>
      <c r="B172" s="13">
        <f>IF(base!BN172="","",base!BN172)</f>
        <v>46303.625</v>
      </c>
      <c r="C172" s="12" t="str">
        <f>IF(base!C172="","",base!C172)</f>
        <v>ZETABURGOS SRL</v>
      </c>
      <c r="D172" s="12" t="str">
        <f>IF(base!E172="","",base!E172)</f>
        <v>REPROGRAMACIÓN</v>
      </c>
      <c r="E172" s="12" t="str">
        <f>IF(base!BF172="","",base!BF172)</f>
        <v/>
      </c>
      <c r="F172" s="12" t="str">
        <f>IF(D172="","",IF(OR(ISNUMBER(SEARCH("VISITA",D172)),ISNUMBER(SEARCH("RUTA",D172)),ISNUMBER(SEARCH("ARRIB",D172)),ISNUMBER(SEARCH("MATRIZ",D172)),ISNUMBER(SEARCH("PENDIENTE",D172))),"VISITA COORDINADA CON EL CLIENTE","N/A"))</f>
        <v>N/A</v>
      </c>
      <c r="G172" s="12" t="str">
        <f>IF(base!G172="","",base!G172)</f>
        <v>001234</v>
      </c>
      <c r="H172" s="12" t="str">
        <f>IF(base!I172="","",base!I172)</f>
        <v>FLEX</v>
      </c>
      <c r="I172" s="12" t="str">
        <f>IF(base!S172="","",base!S172)</f>
        <v>Prueba 170</v>
      </c>
      <c r="J172" s="12" t="str">
        <f>IF(base!T172="","",base!T172)</f>
        <v>Calle 123
Piso 2</v>
      </c>
      <c r="K172" s="12" t="str">
        <f>IF(base!U172="","",base!U172)</f>
        <v/>
      </c>
      <c r="L172" s="12" t="str">
        <f>IF(base!Y172="","",base!Y172)</f>
        <v/>
      </c>
      <c r="M172" s="12" t="str">
        <f>IF(base!AH172="","",base!AH172)</f>
        <v/>
      </c>
      <c r="N172" s="12" t="str">
        <f>IF(base!AI172="","",base!AI172)</f>
        <v>34.072273</v>
      </c>
      <c r="O172" s="12">
        <f>IF(base!BA172="","",base!BA172)</f>
        <v>1875</v>
      </c>
      <c r="P172" s="13">
        <f>IF(base!BK172="","",base!BK172)</f>
        <v>46303.805902777778</v>
      </c>
      <c r="Q172" s="15" t="str">
        <f>IF(base!BS172="","",base!BS172)</f>
        <v/>
      </c>
    </row>
    <row r="173" spans="1:17" ht="30" x14ac:dyDescent="0.35">
      <c r="A173" s="14">
        <f>IF(base!A173="","",base!A173)</f>
        <v>6200171</v>
      </c>
      <c r="B173" s="13">
        <f>IF(base!BN173="","",base!BN173)</f>
        <v>46303.625</v>
      </c>
      <c r="C173" s="12" t="str">
        <f>IF(base!C173="","",base!C173)</f>
        <v>ZETABURGOS SRL</v>
      </c>
      <c r="D173" s="12" t="str">
        <f>IF(base!E173="","",base!E173)</f>
        <v>1RVT - 1° VISITA</v>
      </c>
      <c r="E173" s="12" t="str">
        <f>IF(base!BF173="","",base!BF173)</f>
        <v/>
      </c>
      <c r="F173" s="12" t="str">
        <f>IF(D173="","",IF(OR(ISNUMBER(SEARCH("VISITA",D173)),ISNUMBER(SEARCH("RUTA",D173)),ISNUMBER(SEARCH("ARRIB",D173)),ISNUMBER(SEARCH("MATRIZ",D173)),ISNUMBER(SEARCH("PENDIENTE",D173))),"VISITA COORDINADA CON EL CLIENTE","N/A"))</f>
        <v>VISITA COORDINADA CON EL CLIENTE</v>
      </c>
      <c r="G173" s="12" t="str">
        <f>"#ABC"</f>
        <v>#ABC</v>
      </c>
      <c r="H173" s="12" t="str">
        <f>IF(base!I173="","",base!I173)</f>
        <v>SAMEDAY</v>
      </c>
      <c r="I173" s="12" t="str">
        <f>IF(base!S173="","",base!S173)</f>
        <v>Prueba 171</v>
      </c>
      <c r="J173" s="12" t="str">
        <f>IF(base!T173="","",base!T173)</f>
        <v>Calle 123
Piso 2</v>
      </c>
      <c r="K173" s="12" t="str">
        <f>IF(base!U173="","",base!U173)</f>
        <v/>
      </c>
      <c r="L173" s="12" t="str">
        <f>IF(base!Y173="","",base!Y173)</f>
        <v/>
      </c>
      <c r="M173" s="12" t="str">
        <f>IF(base!AH173="","",base!AH173)</f>
        <v/>
      </c>
      <c r="N173" s="12" t="str">
        <f>IF(base!AI173="","",base!AI173)</f>
        <v>34.072273</v>
      </c>
      <c r="O173" s="12">
        <f>IF(base!BA173="","",base!BA173)</f>
        <v>1875</v>
      </c>
      <c r="P173" s="13">
        <f>IF(base!BK173="","",base!BK173)</f>
        <v>46303.805902777778</v>
      </c>
      <c r="Q173" s="15" t="str">
        <f>IF(base!BS173="","",base!BS173)</f>
        <v/>
      </c>
    </row>
    <row r="174" spans="1:17" ht="30" x14ac:dyDescent="0.35">
      <c r="A174" s="14">
        <f>IF(base!A174="","",base!A174)</f>
        <v>6200172</v>
      </c>
      <c r="B174" s="13">
        <f>IF(base!BN174="","",base!BN174)</f>
        <v>46303.625</v>
      </c>
      <c r="C174" s="12" t="str">
        <f>IF(base!C174="","",base!C174)</f>
        <v>ZETABURGOS SRL</v>
      </c>
      <c r="D174" s="12" t="str">
        <f>IF(base!E174="","",base!E174)</f>
        <v>ENTREGADO</v>
      </c>
      <c r="E174" s="12" t="str">
        <f>IF(base!BF174="","",base!BF174)</f>
        <v/>
      </c>
      <c r="F174" s="12" t="str">
        <f>IF(D174="","",IF(OR(ISNUMBER(SEARCH("VISITA",D174)),ISNUMBER(SEARCH("RUTA",D174)),ISNUMBER(SEARCH("ARRIB",D174)),ISNUMBER(SEARCH("MATRIZ",D174)),ISNUMBER(SEARCH("PENDIENTE",D174))),"VISITA COORDINADA CON EL CLIENTE","N/A"))</f>
        <v>N/A</v>
      </c>
      <c r="G174" s="12">
        <f>IF(base!G174="","",base!G174)</f>
        <v>470123456</v>
      </c>
      <c r="H174" s="12" t="str">
        <f>IF(base!I174="","",base!I174)</f>
        <v>FLEX</v>
      </c>
      <c r="I174" s="12" t="str">
        <f>IF(base!S174="","",base!S174)</f>
        <v>Prueba 172</v>
      </c>
      <c r="J174" s="12" t="str">
        <f>IF(base!T174="","",base!T174)</f>
        <v>Calle 123
Piso 2</v>
      </c>
      <c r="K174" s="12" t="str">
        <f>IF(base!U174="","",base!U174)</f>
        <v/>
      </c>
      <c r="L174" s="12" t="str">
        <f>IF(base!Y174="","",base!Y174)</f>
        <v/>
      </c>
      <c r="M174" s="12" t="str">
        <f>IF(base!AH174="","",base!AH174)</f>
        <v/>
      </c>
      <c r="N174" s="12" t="str">
        <f>IF(base!AI174="","",base!AI174)</f>
        <v>34.072273</v>
      </c>
      <c r="O174" s="12">
        <f>IF(base!BA174="","",base!BA174)</f>
        <v>1875</v>
      </c>
      <c r="P174" s="13">
        <f>IF(base!BK174="","",base!BK174)</f>
        <v>46303.805902777778</v>
      </c>
      <c r="Q174" s="15" t="str">
        <f>IF(base!BS174="","",base!BS174)</f>
        <v/>
      </c>
    </row>
    <row r="175" spans="1:17" ht="30" x14ac:dyDescent="0.35">
      <c r="A175" s="14">
        <f>IF(base!A175="","",base!A175)</f>
        <v>6200173</v>
      </c>
      <c r="B175" s="13">
        <f>IF(base!BN175="","",base!BN175)</f>
        <v>46303.625</v>
      </c>
      <c r="C175" s="12" t="str">
        <f>IF(base!C175="","",base!C175)</f>
        <v>ZETABURGOS SRL</v>
      </c>
      <c r="D175" s="12" t="str">
        <f>IF(base!E175="","",base!E175)</f>
        <v>REPROGRAMACIÓN</v>
      </c>
      <c r="E175" s="12" t="str">
        <f>IF(base!BF175="","",base!BF175)</f>
        <v/>
      </c>
      <c r="F175" s="12" t="str">
        <f>IF(D175="","",IF(OR(ISNUMBER(SEARCH("VISITA",D175)),ISNUMBER(SEARCH("RUTA",D175)),ISNUMBER(SEARCH("ARRIB",D175)),ISNUMBER(SEARCH("MATRIZ",D175)),ISNUMBER(SEARCH("PENDIENTE",D175))),"VISITA COORDINADA CON EL CLIENTE","N/A"))</f>
        <v>N/A</v>
      </c>
      <c r="G175" s="12" t="str">
        <f>IF(base!G175="","",base!G175)</f>
        <v>ABC001</v>
      </c>
      <c r="H175" s="12" t="str">
        <f>IF(base!I175="","",base!I175)</f>
        <v>SAMEDAY</v>
      </c>
      <c r="I175" s="12" t="str">
        <f>IF(base!S175="","",base!S175)</f>
        <v>Prueba 173</v>
      </c>
      <c r="J175" s="12" t="str">
        <f>IF(base!T175="","",base!T175)</f>
        <v>Calle 123
Piso 2</v>
      </c>
      <c r="K175" s="12" t="str">
        <f>IF(base!U175="","",base!U175)</f>
        <v/>
      </c>
      <c r="L175" s="12" t="str">
        <f>IF(base!Y175="","",base!Y175)</f>
        <v/>
      </c>
      <c r="M175" s="12" t="str">
        <f>IF(base!AH175="","",base!AH175)</f>
        <v/>
      </c>
      <c r="N175" s="12" t="str">
        <f>IF(base!AI175="","",base!AI175)</f>
        <v>34.072273</v>
      </c>
      <c r="O175" s="12">
        <f>IF(base!BA175="","",base!BA175)</f>
        <v>1875</v>
      </c>
      <c r="P175" s="13">
        <f>IF(base!BK175="","",base!BK175)</f>
        <v>46303.805902777778</v>
      </c>
      <c r="Q175" s="15" t="str">
        <f>IF(base!BS175="","",base!BS175)</f>
        <v/>
      </c>
    </row>
    <row r="176" spans="1:17" ht="30" x14ac:dyDescent="0.35">
      <c r="A176" s="14">
        <f>IF(base!A176="","",base!A176)</f>
        <v>6200174</v>
      </c>
      <c r="B176" s="13">
        <f>IF(base!BN176="","",base!BN176)</f>
        <v>46303.625</v>
      </c>
      <c r="C176" s="12" t="str">
        <f>IF(base!C176="","",base!C176)</f>
        <v>ZETABURGOS SRL</v>
      </c>
      <c r="D176" s="12" t="str">
        <f>IF(base!E176="","",base!E176)</f>
        <v>1RVT - 1° VISITA</v>
      </c>
      <c r="E176" s="12" t="str">
        <f>IF(base!BF176="","",base!BF176)</f>
        <v/>
      </c>
      <c r="F176" s="12" t="str">
        <f>IF(D176="","",IF(OR(ISNUMBER(SEARCH("VISITA",D176)),ISNUMBER(SEARCH("RUTA",D176)),ISNUMBER(SEARCH("ARRIB",D176)),ISNUMBER(SEARCH("MATRIZ",D176)),ISNUMBER(SEARCH("PENDIENTE",D176))),"VISITA COORDINADA CON EL CLIENTE","N/A"))</f>
        <v>VISITA COORDINADA CON EL CLIENTE</v>
      </c>
      <c r="G176" s="12" t="str">
        <f>IF(base!G176="","",base!G176)</f>
        <v>2000018857041302</v>
      </c>
      <c r="H176" s="12" t="str">
        <f>IF(base!I176="","",base!I176)</f>
        <v>FLEX</v>
      </c>
      <c r="I176" s="12" t="str">
        <f>IF(base!S176="","",base!S176)</f>
        <v>Prueba 174</v>
      </c>
      <c r="J176" s="12" t="str">
        <f>IF(base!T176="","",base!T176)</f>
        <v>Calle 123
Piso 2</v>
      </c>
      <c r="K176" s="12" t="str">
        <f>IF(base!U176="","",base!U176)</f>
        <v/>
      </c>
      <c r="L176" s="12" t="str">
        <f>IF(base!Y176="","",base!Y176)</f>
        <v/>
      </c>
      <c r="M176" s="12" t="str">
        <f>IF(base!AH176="","",base!AH176)</f>
        <v/>
      </c>
      <c r="N176" s="12" t="str">
        <f>IF(base!AI176="","",base!AI176)</f>
        <v>34.072273</v>
      </c>
      <c r="O176" s="12">
        <f>IF(base!BA176="","",base!BA176)</f>
        <v>1875</v>
      </c>
      <c r="P176" s="13">
        <f>IF(base!BK176="","",base!BK176)</f>
        <v>46303.805902777778</v>
      </c>
      <c r="Q176" s="15" t="str">
        <f>IF(base!BS176="","",base!BS176)</f>
        <v/>
      </c>
    </row>
    <row r="177" spans="1:17" ht="30" x14ac:dyDescent="0.35">
      <c r="A177" s="14">
        <f>IF(base!A177="","",base!A177)</f>
        <v>6200175</v>
      </c>
      <c r="B177" s="13">
        <f>IF(base!BN177="","",base!BN177)</f>
        <v>46303.625</v>
      </c>
      <c r="C177" s="12" t="str">
        <f>IF(base!C177="","",base!C177)</f>
        <v>ZETABURGOS SRL</v>
      </c>
      <c r="D177" s="12" t="str">
        <f>IF(base!E177="","",base!E177)</f>
        <v>ENTREGADO</v>
      </c>
      <c r="E177" s="12" t="str">
        <f>IF(base!BF177="","",base!BF177)</f>
        <v/>
      </c>
      <c r="F177" s="12" t="str">
        <f>IF(D177="","",IF(OR(ISNUMBER(SEARCH("VISITA",D177)),ISNUMBER(SEARCH("RUTA",D177)),ISNUMBER(SEARCH("ARRIB",D177)),ISNUMBER(SEARCH("MATRIZ",D177)),ISNUMBER(SEARCH("PENDIENTE",D177))),"VISITA COORDINADA CON EL CLIENTE","N/A"))</f>
        <v>N/A</v>
      </c>
      <c r="G177" s="12" t="str">
        <f>IF(base!G177="","",base!G177)</f>
        <v>001234</v>
      </c>
      <c r="H177" s="12" t="str">
        <f>IF(base!I177="","",base!I177)</f>
        <v>FLEX</v>
      </c>
      <c r="I177" s="12" t="str">
        <f>IF(base!S177="","",base!S177)</f>
        <v>Prueba 175</v>
      </c>
      <c r="J177" s="12" t="str">
        <f>IF(base!T177="","",base!T177)</f>
        <v>Calle 123
Piso 2</v>
      </c>
      <c r="K177" s="12" t="str">
        <f>IF(base!U177="","",base!U177)</f>
        <v/>
      </c>
      <c r="L177" s="12" t="str">
        <f>IF(base!Y177="","",base!Y177)</f>
        <v/>
      </c>
      <c r="M177" s="12" t="str">
        <f>IF(base!AH177="","",base!AH177)</f>
        <v/>
      </c>
      <c r="N177" s="12" t="str">
        <f>IF(base!AI177="","",base!AI177)</f>
        <v>34.072273</v>
      </c>
      <c r="O177" s="12">
        <f>IF(base!BA177="","",base!BA177)</f>
        <v>1875</v>
      </c>
      <c r="P177" s="13">
        <f>IF(base!BK177="","",base!BK177)</f>
        <v>46303.805902777778</v>
      </c>
      <c r="Q177" s="15" t="str">
        <f>IF(base!BS177="","",base!BS177)</f>
        <v/>
      </c>
    </row>
    <row r="178" spans="1:17" ht="30" x14ac:dyDescent="0.35">
      <c r="A178" s="14">
        <f>IF(base!A178="","",base!A178)</f>
        <v>6200176</v>
      </c>
      <c r="B178" s="13">
        <f>IF(base!BN178="","",base!BN178)</f>
        <v>46303.625</v>
      </c>
      <c r="C178" s="12" t="str">
        <f>IF(base!C178="","",base!C178)</f>
        <v>ZETABURGOS SRL</v>
      </c>
      <c r="D178" s="12" t="str">
        <f>IF(base!E178="","",base!E178)</f>
        <v>REPROGRAMACIÓN</v>
      </c>
      <c r="E178" s="12" t="str">
        <f>IF(base!BF178="","",base!BF178)</f>
        <v/>
      </c>
      <c r="F178" s="12" t="str">
        <f>IF(D178="","",IF(OR(ISNUMBER(SEARCH("VISITA",D178)),ISNUMBER(SEARCH("RUTA",D178)),ISNUMBER(SEARCH("ARRIB",D178)),ISNUMBER(SEARCH("MATRIZ",D178)),ISNUMBER(SEARCH("PENDIENTE",D178))),"VISITA COORDINADA CON EL CLIENTE","N/A"))</f>
        <v>N/A</v>
      </c>
      <c r="G178" s="12" t="str">
        <f>"#ABC"</f>
        <v>#ABC</v>
      </c>
      <c r="H178" s="12" t="str">
        <f>IF(base!I178="","",base!I178)</f>
        <v>SAMEDAY</v>
      </c>
      <c r="I178" s="12" t="str">
        <f>IF(base!S178="","",base!S178)</f>
        <v>Prueba 176</v>
      </c>
      <c r="J178" s="12" t="str">
        <f>IF(base!T178="","",base!T178)</f>
        <v>Calle 123
Piso 2</v>
      </c>
      <c r="K178" s="12" t="str">
        <f>IF(base!U178="","",base!U178)</f>
        <v/>
      </c>
      <c r="L178" s="12" t="str">
        <f>IF(base!Y178="","",base!Y178)</f>
        <v/>
      </c>
      <c r="M178" s="12" t="str">
        <f>IF(base!AH178="","",base!AH178)</f>
        <v/>
      </c>
      <c r="N178" s="12" t="str">
        <f>IF(base!AI178="","",base!AI178)</f>
        <v>34.072273</v>
      </c>
      <c r="O178" s="12">
        <f>IF(base!BA178="","",base!BA178)</f>
        <v>1875</v>
      </c>
      <c r="P178" s="13">
        <f>IF(base!BK178="","",base!BK178)</f>
        <v>46303.805902777778</v>
      </c>
      <c r="Q178" s="15" t="str">
        <f>IF(base!BS178="","",base!BS178)</f>
        <v/>
      </c>
    </row>
    <row r="179" spans="1:17" ht="30" x14ac:dyDescent="0.35">
      <c r="A179" s="14">
        <f>IF(base!A179="","",base!A179)</f>
        <v>6200177</v>
      </c>
      <c r="B179" s="13">
        <f>IF(base!BN179="","",base!BN179)</f>
        <v>46303.625</v>
      </c>
      <c r="C179" s="12" t="str">
        <f>IF(base!C179="","",base!C179)</f>
        <v>ZETABURGOS SRL</v>
      </c>
      <c r="D179" s="12" t="str">
        <f>IF(base!E179="","",base!E179)</f>
        <v>1RVT - 1° VISITA</v>
      </c>
      <c r="E179" s="12" t="str">
        <f>IF(base!BF179="","",base!BF179)</f>
        <v/>
      </c>
      <c r="F179" s="12" t="str">
        <f>IF(D179="","",IF(OR(ISNUMBER(SEARCH("VISITA",D179)),ISNUMBER(SEARCH("RUTA",D179)),ISNUMBER(SEARCH("ARRIB",D179)),ISNUMBER(SEARCH("MATRIZ",D179)),ISNUMBER(SEARCH("PENDIENTE",D179))),"VISITA COORDINADA CON EL CLIENTE","N/A"))</f>
        <v>VISITA COORDINADA CON EL CLIENTE</v>
      </c>
      <c r="G179" s="12">
        <f>IF(base!G179="","",base!G179)</f>
        <v>470123456</v>
      </c>
      <c r="H179" s="12" t="str">
        <f>IF(base!I179="","",base!I179)</f>
        <v>FLEX</v>
      </c>
      <c r="I179" s="12" t="str">
        <f>IF(base!S179="","",base!S179)</f>
        <v>Prueba 177</v>
      </c>
      <c r="J179" s="12" t="str">
        <f>IF(base!T179="","",base!T179)</f>
        <v>Calle 123
Piso 2</v>
      </c>
      <c r="K179" s="12" t="str">
        <f>IF(base!U179="","",base!U179)</f>
        <v/>
      </c>
      <c r="L179" s="12" t="str">
        <f>IF(base!Y179="","",base!Y179)</f>
        <v/>
      </c>
      <c r="M179" s="12" t="str">
        <f>IF(base!AH179="","",base!AH179)</f>
        <v/>
      </c>
      <c r="N179" s="12" t="str">
        <f>IF(base!AI179="","",base!AI179)</f>
        <v>34.072273</v>
      </c>
      <c r="O179" s="12">
        <f>IF(base!BA179="","",base!BA179)</f>
        <v>1875</v>
      </c>
      <c r="P179" s="13">
        <f>IF(base!BK179="","",base!BK179)</f>
        <v>46303.805902777778</v>
      </c>
      <c r="Q179" s="15" t="str">
        <f>IF(base!BS179="","",base!BS179)</f>
        <v/>
      </c>
    </row>
    <row r="180" spans="1:17" ht="30" x14ac:dyDescent="0.35">
      <c r="A180" s="14">
        <f>IF(base!A180="","",base!A180)</f>
        <v>6200178</v>
      </c>
      <c r="B180" s="13">
        <f>IF(base!BN180="","",base!BN180)</f>
        <v>46303.625</v>
      </c>
      <c r="C180" s="12" t="str">
        <f>IF(base!C180="","",base!C180)</f>
        <v>ZETABURGOS SRL</v>
      </c>
      <c r="D180" s="12" t="str">
        <f>IF(base!E180="","",base!E180)</f>
        <v>ENTREGADO</v>
      </c>
      <c r="E180" s="12" t="str">
        <f>IF(base!BF180="","",base!BF180)</f>
        <v/>
      </c>
      <c r="F180" s="12" t="str">
        <f>IF(D180="","",IF(OR(ISNUMBER(SEARCH("VISITA",D180)),ISNUMBER(SEARCH("RUTA",D180)),ISNUMBER(SEARCH("ARRIB",D180)),ISNUMBER(SEARCH("MATRIZ",D180)),ISNUMBER(SEARCH("PENDIENTE",D180))),"VISITA COORDINADA CON EL CLIENTE","N/A"))</f>
        <v>N/A</v>
      </c>
      <c r="G180" s="12" t="str">
        <f>IF(base!G180="","",base!G180)</f>
        <v>ABC001</v>
      </c>
      <c r="H180" s="12" t="str">
        <f>IF(base!I180="","",base!I180)</f>
        <v>SAMEDAY</v>
      </c>
      <c r="I180" s="12" t="str">
        <f>IF(base!S180="","",base!S180)</f>
        <v>Prueba 178</v>
      </c>
      <c r="J180" s="12" t="str">
        <f>IF(base!T180="","",base!T180)</f>
        <v>Calle 123
Piso 2</v>
      </c>
      <c r="K180" s="12" t="str">
        <f>IF(base!U180="","",base!U180)</f>
        <v/>
      </c>
      <c r="L180" s="12" t="str">
        <f>IF(base!Y180="","",base!Y180)</f>
        <v/>
      </c>
      <c r="M180" s="12" t="str">
        <f>IF(base!AH180="","",base!AH180)</f>
        <v/>
      </c>
      <c r="N180" s="12" t="str">
        <f>IF(base!AI180="","",base!AI180)</f>
        <v>34.072273</v>
      </c>
      <c r="O180" s="12">
        <f>IF(base!BA180="","",base!BA180)</f>
        <v>1875</v>
      </c>
      <c r="P180" s="13">
        <f>IF(base!BK180="","",base!BK180)</f>
        <v>46303.805902777778</v>
      </c>
      <c r="Q180" s="15" t="str">
        <f>IF(base!BS180="","",base!BS180)</f>
        <v/>
      </c>
    </row>
    <row r="181" spans="1:17" ht="30" x14ac:dyDescent="0.35">
      <c r="A181" s="14">
        <f>IF(base!A181="","",base!A181)</f>
        <v>6200179</v>
      </c>
      <c r="B181" s="13">
        <f>IF(base!BN181="","",base!BN181)</f>
        <v>46303.625</v>
      </c>
      <c r="C181" s="12" t="str">
        <f>IF(base!C181="","",base!C181)</f>
        <v>ZETABURGOS SRL</v>
      </c>
      <c r="D181" s="12" t="str">
        <f>IF(base!E181="","",base!E181)</f>
        <v>REPROGRAMACIÓN</v>
      </c>
      <c r="E181" s="12" t="str">
        <f>IF(base!BF181="","",base!BF181)</f>
        <v/>
      </c>
      <c r="F181" s="12" t="str">
        <f>IF(D181="","",IF(OR(ISNUMBER(SEARCH("VISITA",D181)),ISNUMBER(SEARCH("RUTA",D181)),ISNUMBER(SEARCH("ARRIB",D181)),ISNUMBER(SEARCH("MATRIZ",D181)),ISNUMBER(SEARCH("PENDIENTE",D181))),"VISITA COORDINADA CON EL CLIENTE","N/A"))</f>
        <v>N/A</v>
      </c>
      <c r="G181" s="12" t="str">
        <f>IF(base!G181="","",base!G181)</f>
        <v>2000018857041302</v>
      </c>
      <c r="H181" s="12" t="str">
        <f>IF(base!I181="","",base!I181)</f>
        <v>FLEX</v>
      </c>
      <c r="I181" s="12" t="str">
        <f>IF(base!S181="","",base!S181)</f>
        <v>Prueba 179</v>
      </c>
      <c r="J181" s="12" t="str">
        <f>IF(base!T181="","",base!T181)</f>
        <v>Calle 123
Piso 2</v>
      </c>
      <c r="K181" s="12" t="str">
        <f>IF(base!U181="","",base!U181)</f>
        <v/>
      </c>
      <c r="L181" s="12" t="str">
        <f>IF(base!Y181="","",base!Y181)</f>
        <v/>
      </c>
      <c r="M181" s="12" t="str">
        <f>IF(base!AH181="","",base!AH181)</f>
        <v/>
      </c>
      <c r="N181" s="12" t="str">
        <f>IF(base!AI181="","",base!AI181)</f>
        <v>34.072273</v>
      </c>
      <c r="O181" s="12">
        <f>IF(base!BA181="","",base!BA181)</f>
        <v>1875</v>
      </c>
      <c r="P181" s="13">
        <f>IF(base!BK181="","",base!BK181)</f>
        <v>46303.805902777778</v>
      </c>
      <c r="Q181" s="15" t="str">
        <f>IF(base!BS181="","",base!BS181)</f>
        <v/>
      </c>
    </row>
    <row r="182" spans="1:17" ht="30" x14ac:dyDescent="0.35">
      <c r="A182" s="14">
        <f>IF(base!A182="","",base!A182)</f>
        <v>6200180</v>
      </c>
      <c r="B182" s="13">
        <f>IF(base!BN182="","",base!BN182)</f>
        <v>46303.625</v>
      </c>
      <c r="C182" s="12" t="str">
        <f>IF(base!C182="","",base!C182)</f>
        <v>ZETABURGOS SRL</v>
      </c>
      <c r="D182" s="12" t="str">
        <f>IF(base!E182="","",base!E182)</f>
        <v>1RVT - 1° VISITA</v>
      </c>
      <c r="E182" s="12" t="str">
        <f>IF(base!BF182="","",base!BF182)</f>
        <v/>
      </c>
      <c r="F182" s="12" t="str">
        <f>IF(D182="","",IF(OR(ISNUMBER(SEARCH("VISITA",D182)),ISNUMBER(SEARCH("RUTA",D182)),ISNUMBER(SEARCH("ARRIB",D182)),ISNUMBER(SEARCH("MATRIZ",D182)),ISNUMBER(SEARCH("PENDIENTE",D182))),"VISITA COORDINADA CON EL CLIENTE","N/A"))</f>
        <v>VISITA COORDINADA CON EL CLIENTE</v>
      </c>
      <c r="G182" s="12" t="str">
        <f>IF(base!G182="","",base!G182)</f>
        <v>001234</v>
      </c>
      <c r="H182" s="12" t="str">
        <f>IF(base!I182="","",base!I182)</f>
        <v>FLEX</v>
      </c>
      <c r="I182" s="12" t="str">
        <f>IF(base!S182="","",base!S182)</f>
        <v>Prueba 180</v>
      </c>
      <c r="J182" s="12" t="str">
        <f>IF(base!T182="","",base!T182)</f>
        <v>Calle 123
Piso 2</v>
      </c>
      <c r="K182" s="12" t="str">
        <f>IF(base!U182="","",base!U182)</f>
        <v/>
      </c>
      <c r="L182" s="12" t="str">
        <f>IF(base!Y182="","",base!Y182)</f>
        <v/>
      </c>
      <c r="M182" s="12" t="str">
        <f>IF(base!AH182="","",base!AH182)</f>
        <v/>
      </c>
      <c r="N182" s="12" t="str">
        <f>IF(base!AI182="","",base!AI182)</f>
        <v>34.072273</v>
      </c>
      <c r="O182" s="12">
        <f>IF(base!BA182="","",base!BA182)</f>
        <v>1875</v>
      </c>
      <c r="P182" s="13">
        <f>IF(base!BK182="","",base!BK182)</f>
        <v>46303.805902777778</v>
      </c>
      <c r="Q182" s="15" t="str">
        <f>IF(base!BS182="","",base!BS182)</f>
        <v/>
      </c>
    </row>
    <row r="183" spans="1:17" ht="30" x14ac:dyDescent="0.35">
      <c r="A183" s="14">
        <f>IF(base!A183="","",base!A183)</f>
        <v>6200181</v>
      </c>
      <c r="B183" s="13">
        <f>IF(base!BN183="","",base!BN183)</f>
        <v>46303.625</v>
      </c>
      <c r="C183" s="12" t="str">
        <f>IF(base!C183="","",base!C183)</f>
        <v>ZETABURGOS SRL</v>
      </c>
      <c r="D183" s="12" t="str">
        <f>IF(base!E183="","",base!E183)</f>
        <v>ENTREGADO</v>
      </c>
      <c r="E183" s="12" t="str">
        <f>IF(base!BF183="","",base!BF183)</f>
        <v/>
      </c>
      <c r="F183" s="12" t="str">
        <f>IF(D183="","",IF(OR(ISNUMBER(SEARCH("VISITA",D183)),ISNUMBER(SEARCH("RUTA",D183)),ISNUMBER(SEARCH("ARRIB",D183)),ISNUMBER(SEARCH("MATRIZ",D183)),ISNUMBER(SEARCH("PENDIENTE",D183))),"VISITA COORDINADA CON EL CLIENTE","N/A"))</f>
        <v>N/A</v>
      </c>
      <c r="G183" s="12" t="str">
        <f>"#ABC"</f>
        <v>#ABC</v>
      </c>
      <c r="H183" s="12" t="str">
        <f>IF(base!I183="","",base!I183)</f>
        <v>SAMEDAY</v>
      </c>
      <c r="I183" s="12" t="str">
        <f>IF(base!S183="","",base!S183)</f>
        <v>Prueba 181</v>
      </c>
      <c r="J183" s="12" t="str">
        <f>IF(base!T183="","",base!T183)</f>
        <v>Calle 123
Piso 2</v>
      </c>
      <c r="K183" s="12" t="str">
        <f>IF(base!U183="","",base!U183)</f>
        <v/>
      </c>
      <c r="L183" s="12" t="str">
        <f>IF(base!Y183="","",base!Y183)</f>
        <v/>
      </c>
      <c r="M183" s="12" t="str">
        <f>IF(base!AH183="","",base!AH183)</f>
        <v/>
      </c>
      <c r="N183" s="12" t="str">
        <f>IF(base!AI183="","",base!AI183)</f>
        <v>34.072273</v>
      </c>
      <c r="O183" s="12">
        <f>IF(base!BA183="","",base!BA183)</f>
        <v>1875</v>
      </c>
      <c r="P183" s="13">
        <f>IF(base!BK183="","",base!BK183)</f>
        <v>46303.805902777778</v>
      </c>
      <c r="Q183" s="15" t="str">
        <f>IF(base!BS183="","",base!BS183)</f>
        <v/>
      </c>
    </row>
    <row r="184" spans="1:17" ht="30" x14ac:dyDescent="0.35">
      <c r="A184" s="14">
        <f>IF(base!A184="","",base!A184)</f>
        <v>6200182</v>
      </c>
      <c r="B184" s="13">
        <f>IF(base!BN184="","",base!BN184)</f>
        <v>46303.625</v>
      </c>
      <c r="C184" s="12" t="str">
        <f>IF(base!C184="","",base!C184)</f>
        <v>ZETABURGOS SRL</v>
      </c>
      <c r="D184" s="12" t="str">
        <f>IF(base!E184="","",base!E184)</f>
        <v>REPROGRAMACIÓN</v>
      </c>
      <c r="E184" s="12" t="str">
        <f>IF(base!BF184="","",base!BF184)</f>
        <v/>
      </c>
      <c r="F184" s="12" t="str">
        <f>IF(D184="","",IF(OR(ISNUMBER(SEARCH("VISITA",D184)),ISNUMBER(SEARCH("RUTA",D184)),ISNUMBER(SEARCH("ARRIB",D184)),ISNUMBER(SEARCH("MATRIZ",D184)),ISNUMBER(SEARCH("PENDIENTE",D184))),"VISITA COORDINADA CON EL CLIENTE","N/A"))</f>
        <v>N/A</v>
      </c>
      <c r="G184" s="12">
        <f>IF(base!G184="","",base!G184)</f>
        <v>470123456</v>
      </c>
      <c r="H184" s="12" t="str">
        <f>IF(base!I184="","",base!I184)</f>
        <v>FLEX</v>
      </c>
      <c r="I184" s="12" t="str">
        <f>IF(base!S184="","",base!S184)</f>
        <v>Prueba 182</v>
      </c>
      <c r="J184" s="12" t="str">
        <f>IF(base!T184="","",base!T184)</f>
        <v>Calle 123
Piso 2</v>
      </c>
      <c r="K184" s="12" t="str">
        <f>IF(base!U184="","",base!U184)</f>
        <v/>
      </c>
      <c r="L184" s="12" t="str">
        <f>IF(base!Y184="","",base!Y184)</f>
        <v/>
      </c>
      <c r="M184" s="12" t="str">
        <f>IF(base!AH184="","",base!AH184)</f>
        <v/>
      </c>
      <c r="N184" s="12" t="str">
        <f>IF(base!AI184="","",base!AI184)</f>
        <v>34.072273</v>
      </c>
      <c r="O184" s="12">
        <f>IF(base!BA184="","",base!BA184)</f>
        <v>1875</v>
      </c>
      <c r="P184" s="13">
        <f>IF(base!BK184="","",base!BK184)</f>
        <v>46303.805902777778</v>
      </c>
      <c r="Q184" s="15" t="str">
        <f>IF(base!BS184="","",base!BS184)</f>
        <v/>
      </c>
    </row>
    <row r="185" spans="1:17" ht="30" x14ac:dyDescent="0.35">
      <c r="A185" s="14">
        <f>IF(base!A185="","",base!A185)</f>
        <v>6200183</v>
      </c>
      <c r="B185" s="13">
        <f>IF(base!BN185="","",base!BN185)</f>
        <v>46303.625</v>
      </c>
      <c r="C185" s="12" t="str">
        <f>IF(base!C185="","",base!C185)</f>
        <v>ZETABURGOS SRL</v>
      </c>
      <c r="D185" s="12" t="str">
        <f>IF(base!E185="","",base!E185)</f>
        <v>1RVT - 1° VISITA</v>
      </c>
      <c r="E185" s="12" t="str">
        <f>IF(base!BF185="","",base!BF185)</f>
        <v/>
      </c>
      <c r="F185" s="12" t="str">
        <f>IF(D185="","",IF(OR(ISNUMBER(SEARCH("VISITA",D185)),ISNUMBER(SEARCH("RUTA",D185)),ISNUMBER(SEARCH("ARRIB",D185)),ISNUMBER(SEARCH("MATRIZ",D185)),ISNUMBER(SEARCH("PENDIENTE",D185))),"VISITA COORDINADA CON EL CLIENTE","N/A"))</f>
        <v>VISITA COORDINADA CON EL CLIENTE</v>
      </c>
      <c r="G185" s="12" t="str">
        <f>IF(base!G185="","",base!G185)</f>
        <v>ABC001</v>
      </c>
      <c r="H185" s="12" t="str">
        <f>IF(base!I185="","",base!I185)</f>
        <v>SAMEDAY</v>
      </c>
      <c r="I185" s="12" t="str">
        <f>IF(base!S185="","",base!S185)</f>
        <v>Prueba 183</v>
      </c>
      <c r="J185" s="12" t="str">
        <f>IF(base!T185="","",base!T185)</f>
        <v>Calle 123
Piso 2</v>
      </c>
      <c r="K185" s="12" t="str">
        <f>IF(base!U185="","",base!U185)</f>
        <v/>
      </c>
      <c r="L185" s="12" t="str">
        <f>IF(base!Y185="","",base!Y185)</f>
        <v/>
      </c>
      <c r="M185" s="12" t="str">
        <f>IF(base!AH185="","",base!AH185)</f>
        <v/>
      </c>
      <c r="N185" s="12" t="str">
        <f>IF(base!AI185="","",base!AI185)</f>
        <v>34.072273</v>
      </c>
      <c r="O185" s="12">
        <f>IF(base!BA185="","",base!BA185)</f>
        <v>1875</v>
      </c>
      <c r="P185" s="13">
        <f>IF(base!BK185="","",base!BK185)</f>
        <v>46303.805902777778</v>
      </c>
      <c r="Q185" s="15" t="str">
        <f>IF(base!BS185="","",base!BS185)</f>
        <v/>
      </c>
    </row>
    <row r="186" spans="1:17" ht="30" x14ac:dyDescent="0.35">
      <c r="A186" s="14">
        <f>IF(base!A186="","",base!A186)</f>
        <v>6200184</v>
      </c>
      <c r="B186" s="13">
        <f>IF(base!BN186="","",base!BN186)</f>
        <v>46303.625</v>
      </c>
      <c r="C186" s="12" t="str">
        <f>IF(base!C186="","",base!C186)</f>
        <v>ZETABURGOS SRL</v>
      </c>
      <c r="D186" s="12" t="str">
        <f>IF(base!E186="","",base!E186)</f>
        <v>ENTREGADO</v>
      </c>
      <c r="E186" s="12" t="str">
        <f>IF(base!BF186="","",base!BF186)</f>
        <v/>
      </c>
      <c r="F186" s="12" t="str">
        <f>IF(D186="","",IF(OR(ISNUMBER(SEARCH("VISITA",D186)),ISNUMBER(SEARCH("RUTA",D186)),ISNUMBER(SEARCH("ARRIB",D186)),ISNUMBER(SEARCH("MATRIZ",D186)),ISNUMBER(SEARCH("PENDIENTE",D186))),"VISITA COORDINADA CON EL CLIENTE","N/A"))</f>
        <v>N/A</v>
      </c>
      <c r="G186" s="12" t="str">
        <f>IF(base!G186="","",base!G186)</f>
        <v>2000018857041302</v>
      </c>
      <c r="H186" s="12" t="str">
        <f>IF(base!I186="","",base!I186)</f>
        <v>FLEX</v>
      </c>
      <c r="I186" s="12" t="str">
        <f>IF(base!S186="","",base!S186)</f>
        <v>Prueba 184</v>
      </c>
      <c r="J186" s="12" t="str">
        <f>IF(base!T186="","",base!T186)</f>
        <v>Calle 123
Piso 2</v>
      </c>
      <c r="K186" s="12" t="str">
        <f>IF(base!U186="","",base!U186)</f>
        <v/>
      </c>
      <c r="L186" s="12" t="str">
        <f>IF(base!Y186="","",base!Y186)</f>
        <v/>
      </c>
      <c r="M186" s="12" t="str">
        <f>IF(base!AH186="","",base!AH186)</f>
        <v/>
      </c>
      <c r="N186" s="12" t="str">
        <f>IF(base!AI186="","",base!AI186)</f>
        <v>34.072273</v>
      </c>
      <c r="O186" s="12">
        <f>IF(base!BA186="","",base!BA186)</f>
        <v>1875</v>
      </c>
      <c r="P186" s="13">
        <f>IF(base!BK186="","",base!BK186)</f>
        <v>46303.805902777778</v>
      </c>
      <c r="Q186" s="15" t="str">
        <f>IF(base!BS186="","",base!BS186)</f>
        <v/>
      </c>
    </row>
    <row r="187" spans="1:17" ht="30" x14ac:dyDescent="0.35">
      <c r="A187" s="14">
        <f>IF(base!A187="","",base!A187)</f>
        <v>6200185</v>
      </c>
      <c r="B187" s="13">
        <f>IF(base!BN187="","",base!BN187)</f>
        <v>46303.625</v>
      </c>
      <c r="C187" s="12" t="str">
        <f>IF(base!C187="","",base!C187)</f>
        <v>ZETABURGOS SRL</v>
      </c>
      <c r="D187" s="12" t="str">
        <f>IF(base!E187="","",base!E187)</f>
        <v>REPROGRAMACIÓN</v>
      </c>
      <c r="E187" s="12" t="str">
        <f>IF(base!BF187="","",base!BF187)</f>
        <v/>
      </c>
      <c r="F187" s="12" t="str">
        <f>IF(D187="","",IF(OR(ISNUMBER(SEARCH("VISITA",D187)),ISNUMBER(SEARCH("RUTA",D187)),ISNUMBER(SEARCH("ARRIB",D187)),ISNUMBER(SEARCH("MATRIZ",D187)),ISNUMBER(SEARCH("PENDIENTE",D187))),"VISITA COORDINADA CON EL CLIENTE","N/A"))</f>
        <v>N/A</v>
      </c>
      <c r="G187" s="12" t="str">
        <f>IF(base!G187="","",base!G187)</f>
        <v>001234</v>
      </c>
      <c r="H187" s="12" t="str">
        <f>IF(base!I187="","",base!I187)</f>
        <v>FLEX</v>
      </c>
      <c r="I187" s="12" t="str">
        <f>IF(base!S187="","",base!S187)</f>
        <v>Prueba 185</v>
      </c>
      <c r="J187" s="12" t="str">
        <f>IF(base!T187="","",base!T187)</f>
        <v>Calle 123
Piso 2</v>
      </c>
      <c r="K187" s="12" t="str">
        <f>IF(base!U187="","",base!U187)</f>
        <v/>
      </c>
      <c r="L187" s="12" t="str">
        <f>IF(base!Y187="","",base!Y187)</f>
        <v/>
      </c>
      <c r="M187" s="12" t="str">
        <f>IF(base!AH187="","",base!AH187)</f>
        <v/>
      </c>
      <c r="N187" s="12" t="str">
        <f>IF(base!AI187="","",base!AI187)</f>
        <v>34.072273</v>
      </c>
      <c r="O187" s="12">
        <f>IF(base!BA187="","",base!BA187)</f>
        <v>1875</v>
      </c>
      <c r="P187" s="13">
        <f>IF(base!BK187="","",base!BK187)</f>
        <v>46303.805902777778</v>
      </c>
      <c r="Q187" s="15" t="str">
        <f>IF(base!BS187="","",base!BS187)</f>
        <v/>
      </c>
    </row>
    <row r="188" spans="1:17" ht="30" x14ac:dyDescent="0.35">
      <c r="A188" s="14">
        <f>IF(base!A188="","",base!A188)</f>
        <v>6200186</v>
      </c>
      <c r="B188" s="13">
        <f>IF(base!BN188="","",base!BN188)</f>
        <v>46303.625</v>
      </c>
      <c r="C188" s="12" t="str">
        <f>IF(base!C188="","",base!C188)</f>
        <v>ZETABURGOS SRL</v>
      </c>
      <c r="D188" s="12" t="str">
        <f>IF(base!E188="","",base!E188)</f>
        <v>1RVT - 1° VISITA</v>
      </c>
      <c r="E188" s="12" t="str">
        <f>IF(base!BF188="","",base!BF188)</f>
        <v/>
      </c>
      <c r="F188" s="12" t="str">
        <f>IF(D188="","",IF(OR(ISNUMBER(SEARCH("VISITA",D188)),ISNUMBER(SEARCH("RUTA",D188)),ISNUMBER(SEARCH("ARRIB",D188)),ISNUMBER(SEARCH("MATRIZ",D188)),ISNUMBER(SEARCH("PENDIENTE",D188))),"VISITA COORDINADA CON EL CLIENTE","N/A"))</f>
        <v>VISITA COORDINADA CON EL CLIENTE</v>
      </c>
      <c r="G188" s="12" t="str">
        <f>"#ABC"</f>
        <v>#ABC</v>
      </c>
      <c r="H188" s="12" t="str">
        <f>IF(base!I188="","",base!I188)</f>
        <v>SAMEDAY</v>
      </c>
      <c r="I188" s="12" t="str">
        <f>IF(base!S188="","",base!S188)</f>
        <v>Prueba 186</v>
      </c>
      <c r="J188" s="12" t="str">
        <f>IF(base!T188="","",base!T188)</f>
        <v>Calle 123
Piso 2</v>
      </c>
      <c r="K188" s="12" t="str">
        <f>IF(base!U188="","",base!U188)</f>
        <v/>
      </c>
      <c r="L188" s="12" t="str">
        <f>IF(base!Y188="","",base!Y188)</f>
        <v/>
      </c>
      <c r="M188" s="12" t="str">
        <f>IF(base!AH188="","",base!AH188)</f>
        <v/>
      </c>
      <c r="N188" s="12" t="str">
        <f>IF(base!AI188="","",base!AI188)</f>
        <v>34.072273</v>
      </c>
      <c r="O188" s="12">
        <f>IF(base!BA188="","",base!BA188)</f>
        <v>1875</v>
      </c>
      <c r="P188" s="13">
        <f>IF(base!BK188="","",base!BK188)</f>
        <v>46303.805902777778</v>
      </c>
      <c r="Q188" s="15" t="str">
        <f>IF(base!BS188="","",base!BS188)</f>
        <v/>
      </c>
    </row>
    <row r="189" spans="1:17" ht="30" x14ac:dyDescent="0.35">
      <c r="A189" s="14">
        <f>IF(base!A189="","",base!A189)</f>
        <v>6200187</v>
      </c>
      <c r="B189" s="13">
        <f>IF(base!BN189="","",base!BN189)</f>
        <v>46303.625</v>
      </c>
      <c r="C189" s="12" t="str">
        <f>IF(base!C189="","",base!C189)</f>
        <v>ZETABURGOS SRL</v>
      </c>
      <c r="D189" s="12" t="str">
        <f>IF(base!E189="","",base!E189)</f>
        <v>ENTREGADO</v>
      </c>
      <c r="E189" s="12" t="str">
        <f>IF(base!BF189="","",base!BF189)</f>
        <v/>
      </c>
      <c r="F189" s="12" t="str">
        <f>IF(D189="","",IF(OR(ISNUMBER(SEARCH("VISITA",D189)),ISNUMBER(SEARCH("RUTA",D189)),ISNUMBER(SEARCH("ARRIB",D189)),ISNUMBER(SEARCH("MATRIZ",D189)),ISNUMBER(SEARCH("PENDIENTE",D189))),"VISITA COORDINADA CON EL CLIENTE","N/A"))</f>
        <v>N/A</v>
      </c>
      <c r="G189" s="12">
        <f>IF(base!G189="","",base!G189)</f>
        <v>470123456</v>
      </c>
      <c r="H189" s="12" t="str">
        <f>IF(base!I189="","",base!I189)</f>
        <v>FLEX</v>
      </c>
      <c r="I189" s="12" t="str">
        <f>IF(base!S189="","",base!S189)</f>
        <v>Prueba 187</v>
      </c>
      <c r="J189" s="12" t="str">
        <f>IF(base!T189="","",base!T189)</f>
        <v>Calle 123
Piso 2</v>
      </c>
      <c r="K189" s="12" t="str">
        <f>IF(base!U189="","",base!U189)</f>
        <v/>
      </c>
      <c r="L189" s="12" t="str">
        <f>IF(base!Y189="","",base!Y189)</f>
        <v/>
      </c>
      <c r="M189" s="12" t="str">
        <f>IF(base!AH189="","",base!AH189)</f>
        <v/>
      </c>
      <c r="N189" s="12" t="str">
        <f>IF(base!AI189="","",base!AI189)</f>
        <v>34.072273</v>
      </c>
      <c r="O189" s="12">
        <f>IF(base!BA189="","",base!BA189)</f>
        <v>1875</v>
      </c>
      <c r="P189" s="13">
        <f>IF(base!BK189="","",base!BK189)</f>
        <v>46303.805902777778</v>
      </c>
      <c r="Q189" s="15" t="str">
        <f>IF(base!BS189="","",base!BS189)</f>
        <v/>
      </c>
    </row>
    <row r="190" spans="1:17" ht="30" x14ac:dyDescent="0.35">
      <c r="A190" s="14">
        <f>IF(base!A190="","",base!A190)</f>
        <v>6200188</v>
      </c>
      <c r="B190" s="13">
        <f>IF(base!BN190="","",base!BN190)</f>
        <v>46303.625</v>
      </c>
      <c r="C190" s="12" t="str">
        <f>IF(base!C190="","",base!C190)</f>
        <v>ZETABURGOS SRL</v>
      </c>
      <c r="D190" s="12" t="str">
        <f>IF(base!E190="","",base!E190)</f>
        <v>REPROGRAMACIÓN</v>
      </c>
      <c r="E190" s="12" t="str">
        <f>IF(base!BF190="","",base!BF190)</f>
        <v/>
      </c>
      <c r="F190" s="12" t="str">
        <f>IF(D190="","",IF(OR(ISNUMBER(SEARCH("VISITA",D190)),ISNUMBER(SEARCH("RUTA",D190)),ISNUMBER(SEARCH("ARRIB",D190)),ISNUMBER(SEARCH("MATRIZ",D190)),ISNUMBER(SEARCH("PENDIENTE",D190))),"VISITA COORDINADA CON EL CLIENTE","N/A"))</f>
        <v>N/A</v>
      </c>
      <c r="G190" s="12" t="str">
        <f>IF(base!G190="","",base!G190)</f>
        <v>ABC001</v>
      </c>
      <c r="H190" s="12" t="str">
        <f>IF(base!I190="","",base!I190)</f>
        <v>SAMEDAY</v>
      </c>
      <c r="I190" s="12" t="str">
        <f>IF(base!S190="","",base!S190)</f>
        <v>Prueba 188</v>
      </c>
      <c r="J190" s="12" t="str">
        <f>IF(base!T190="","",base!T190)</f>
        <v>Calle 123
Piso 2</v>
      </c>
      <c r="K190" s="12" t="str">
        <f>IF(base!U190="","",base!U190)</f>
        <v/>
      </c>
      <c r="L190" s="12" t="str">
        <f>IF(base!Y190="","",base!Y190)</f>
        <v/>
      </c>
      <c r="M190" s="12" t="str">
        <f>IF(base!AH190="","",base!AH190)</f>
        <v/>
      </c>
      <c r="N190" s="12" t="str">
        <f>IF(base!AI190="","",base!AI190)</f>
        <v>34.072273</v>
      </c>
      <c r="O190" s="12">
        <f>IF(base!BA190="","",base!BA190)</f>
        <v>1875</v>
      </c>
      <c r="P190" s="13">
        <f>IF(base!BK190="","",base!BK190)</f>
        <v>46303.805902777778</v>
      </c>
      <c r="Q190" s="15" t="str">
        <f>IF(base!BS190="","",base!BS190)</f>
        <v/>
      </c>
    </row>
    <row r="191" spans="1:17" ht="30" x14ac:dyDescent="0.35">
      <c r="A191" s="14">
        <f>IF(base!A191="","",base!A191)</f>
        <v>6200189</v>
      </c>
      <c r="B191" s="13">
        <f>IF(base!BN191="","",base!BN191)</f>
        <v>46303.625</v>
      </c>
      <c r="C191" s="12" t="str">
        <f>IF(base!C191="","",base!C191)</f>
        <v>ZETABURGOS SRL</v>
      </c>
      <c r="D191" s="12" t="str">
        <f>IF(base!E191="","",base!E191)</f>
        <v>1RVT - 1° VISITA</v>
      </c>
      <c r="E191" s="12" t="str">
        <f>IF(base!BF191="","",base!BF191)</f>
        <v/>
      </c>
      <c r="F191" s="12" t="str">
        <f>IF(D191="","",IF(OR(ISNUMBER(SEARCH("VISITA",D191)),ISNUMBER(SEARCH("RUTA",D191)),ISNUMBER(SEARCH("ARRIB",D191)),ISNUMBER(SEARCH("MATRIZ",D191)),ISNUMBER(SEARCH("PENDIENTE",D191))),"VISITA COORDINADA CON EL CLIENTE","N/A"))</f>
        <v>VISITA COORDINADA CON EL CLIENTE</v>
      </c>
      <c r="G191" s="12" t="str">
        <f>IF(base!G191="","",base!G191)</f>
        <v>2000018857041302</v>
      </c>
      <c r="H191" s="12" t="str">
        <f>IF(base!I191="","",base!I191)</f>
        <v>FLEX</v>
      </c>
      <c r="I191" s="12" t="str">
        <f>IF(base!S191="","",base!S191)</f>
        <v>Prueba 189</v>
      </c>
      <c r="J191" s="12" t="str">
        <f>IF(base!T191="","",base!T191)</f>
        <v>Calle 123
Piso 2</v>
      </c>
      <c r="K191" s="12" t="str">
        <f>IF(base!U191="","",base!U191)</f>
        <v/>
      </c>
      <c r="L191" s="12" t="str">
        <f>IF(base!Y191="","",base!Y191)</f>
        <v/>
      </c>
      <c r="M191" s="12" t="str">
        <f>IF(base!AH191="","",base!AH191)</f>
        <v/>
      </c>
      <c r="N191" s="12" t="str">
        <f>IF(base!AI191="","",base!AI191)</f>
        <v>34.072273</v>
      </c>
      <c r="O191" s="12">
        <f>IF(base!BA191="","",base!BA191)</f>
        <v>1875</v>
      </c>
      <c r="P191" s="13">
        <f>IF(base!BK191="","",base!BK191)</f>
        <v>46303.805902777778</v>
      </c>
      <c r="Q191" s="15" t="str">
        <f>IF(base!BS191="","",base!BS191)</f>
        <v/>
      </c>
    </row>
    <row r="192" spans="1:17" ht="30" x14ac:dyDescent="0.35">
      <c r="A192" s="14">
        <f>IF(base!A192="","",base!A192)</f>
        <v>6200190</v>
      </c>
      <c r="B192" s="13">
        <f>IF(base!BN192="","",base!BN192)</f>
        <v>46303.625</v>
      </c>
      <c r="C192" s="12" t="str">
        <f>IF(base!C192="","",base!C192)</f>
        <v>ZETABURGOS SRL</v>
      </c>
      <c r="D192" s="12" t="str">
        <f>IF(base!E192="","",base!E192)</f>
        <v>ENTREGADO</v>
      </c>
      <c r="E192" s="12" t="str">
        <f>IF(base!BF192="","",base!BF192)</f>
        <v/>
      </c>
      <c r="F192" s="12" t="str">
        <f>IF(D192="","",IF(OR(ISNUMBER(SEARCH("VISITA",D192)),ISNUMBER(SEARCH("RUTA",D192)),ISNUMBER(SEARCH("ARRIB",D192)),ISNUMBER(SEARCH("MATRIZ",D192)),ISNUMBER(SEARCH("PENDIENTE",D192))),"VISITA COORDINADA CON EL CLIENTE","N/A"))</f>
        <v>N/A</v>
      </c>
      <c r="G192" s="12" t="str">
        <f>IF(base!G192="","",base!G192)</f>
        <v>001234</v>
      </c>
      <c r="H192" s="12" t="str">
        <f>IF(base!I192="","",base!I192)</f>
        <v>FLEX</v>
      </c>
      <c r="I192" s="12" t="str">
        <f>IF(base!S192="","",base!S192)</f>
        <v>Prueba 190</v>
      </c>
      <c r="J192" s="12" t="str">
        <f>IF(base!T192="","",base!T192)</f>
        <v>Calle 123
Piso 2</v>
      </c>
      <c r="K192" s="12" t="str">
        <f>IF(base!U192="","",base!U192)</f>
        <v/>
      </c>
      <c r="L192" s="12" t="str">
        <f>IF(base!Y192="","",base!Y192)</f>
        <v/>
      </c>
      <c r="M192" s="12" t="str">
        <f>IF(base!AH192="","",base!AH192)</f>
        <v/>
      </c>
      <c r="N192" s="12" t="str">
        <f>IF(base!AI192="","",base!AI192)</f>
        <v>34.072273</v>
      </c>
      <c r="O192" s="12">
        <f>IF(base!BA192="","",base!BA192)</f>
        <v>1875</v>
      </c>
      <c r="P192" s="13">
        <f>IF(base!BK192="","",base!BK192)</f>
        <v>46303.805902777778</v>
      </c>
      <c r="Q192" s="15" t="str">
        <f>IF(base!BS192="","",base!BS192)</f>
        <v/>
      </c>
    </row>
    <row r="193" spans="1:17" ht="30" x14ac:dyDescent="0.35">
      <c r="A193" s="14">
        <f>IF(base!A193="","",base!A193)</f>
        <v>6200191</v>
      </c>
      <c r="B193" s="13">
        <f>IF(base!BN193="","",base!BN193)</f>
        <v>46303.625</v>
      </c>
      <c r="C193" s="12" t="str">
        <f>IF(base!C193="","",base!C193)</f>
        <v>ZETABURGOS SRL</v>
      </c>
      <c r="D193" s="12" t="str">
        <f>IF(base!E193="","",base!E193)</f>
        <v>REPROGRAMACIÓN</v>
      </c>
      <c r="E193" s="12" t="str">
        <f>IF(base!BF193="","",base!BF193)</f>
        <v/>
      </c>
      <c r="F193" s="12" t="str">
        <f>IF(D193="","",IF(OR(ISNUMBER(SEARCH("VISITA",D193)),ISNUMBER(SEARCH("RUTA",D193)),ISNUMBER(SEARCH("ARRIB",D193)),ISNUMBER(SEARCH("MATRIZ",D193)),ISNUMBER(SEARCH("PENDIENTE",D193))),"VISITA COORDINADA CON EL CLIENTE","N/A"))</f>
        <v>N/A</v>
      </c>
      <c r="G193" s="12" t="str">
        <f>"#ABC"</f>
        <v>#ABC</v>
      </c>
      <c r="H193" s="12" t="str">
        <f>IF(base!I193="","",base!I193)</f>
        <v>SAMEDAY</v>
      </c>
      <c r="I193" s="12" t="str">
        <f>IF(base!S193="","",base!S193)</f>
        <v>Prueba 191</v>
      </c>
      <c r="J193" s="12" t="str">
        <f>IF(base!T193="","",base!T193)</f>
        <v>Calle 123
Piso 2</v>
      </c>
      <c r="K193" s="12" t="str">
        <f>IF(base!U193="","",base!U193)</f>
        <v/>
      </c>
      <c r="L193" s="12" t="str">
        <f>IF(base!Y193="","",base!Y193)</f>
        <v/>
      </c>
      <c r="M193" s="12" t="str">
        <f>IF(base!AH193="","",base!AH193)</f>
        <v/>
      </c>
      <c r="N193" s="12" t="str">
        <f>IF(base!AI193="","",base!AI193)</f>
        <v>34.072273</v>
      </c>
      <c r="O193" s="12">
        <f>IF(base!BA193="","",base!BA193)</f>
        <v>1875</v>
      </c>
      <c r="P193" s="13">
        <f>IF(base!BK193="","",base!BK193)</f>
        <v>46303.805902777778</v>
      </c>
      <c r="Q193" s="15" t="str">
        <f>IF(base!BS193="","",base!BS193)</f>
        <v/>
      </c>
    </row>
    <row r="194" spans="1:17" ht="30" x14ac:dyDescent="0.35">
      <c r="A194" s="14">
        <f>IF(base!A194="","",base!A194)</f>
        <v>6200192</v>
      </c>
      <c r="B194" s="13">
        <f>IF(base!BN194="","",base!BN194)</f>
        <v>46303.625</v>
      </c>
      <c r="C194" s="12" t="str">
        <f>IF(base!C194="","",base!C194)</f>
        <v>ZETABURGOS SRL</v>
      </c>
      <c r="D194" s="12" t="str">
        <f>IF(base!E194="","",base!E194)</f>
        <v>1RVT - 1° VISITA</v>
      </c>
      <c r="E194" s="12" t="str">
        <f>IF(base!BF194="","",base!BF194)</f>
        <v/>
      </c>
      <c r="F194" s="12" t="str">
        <f>IF(D194="","",IF(OR(ISNUMBER(SEARCH("VISITA",D194)),ISNUMBER(SEARCH("RUTA",D194)),ISNUMBER(SEARCH("ARRIB",D194)),ISNUMBER(SEARCH("MATRIZ",D194)),ISNUMBER(SEARCH("PENDIENTE",D194))),"VISITA COORDINADA CON EL CLIENTE","N/A"))</f>
        <v>VISITA COORDINADA CON EL CLIENTE</v>
      </c>
      <c r="G194" s="12">
        <f>IF(base!G194="","",base!G194)</f>
        <v>470123456</v>
      </c>
      <c r="H194" s="12" t="str">
        <f>IF(base!I194="","",base!I194)</f>
        <v>FLEX</v>
      </c>
      <c r="I194" s="12" t="str">
        <f>IF(base!S194="","",base!S194)</f>
        <v>Prueba 192</v>
      </c>
      <c r="J194" s="12" t="str">
        <f>IF(base!T194="","",base!T194)</f>
        <v>Calle 123
Piso 2</v>
      </c>
      <c r="K194" s="12" t="str">
        <f>IF(base!U194="","",base!U194)</f>
        <v/>
      </c>
      <c r="L194" s="12" t="str">
        <f>IF(base!Y194="","",base!Y194)</f>
        <v/>
      </c>
      <c r="M194" s="12" t="str">
        <f>IF(base!AH194="","",base!AH194)</f>
        <v/>
      </c>
      <c r="N194" s="12" t="str">
        <f>IF(base!AI194="","",base!AI194)</f>
        <v>34.072273</v>
      </c>
      <c r="O194" s="12">
        <f>IF(base!BA194="","",base!BA194)</f>
        <v>1875</v>
      </c>
      <c r="P194" s="13">
        <f>IF(base!BK194="","",base!BK194)</f>
        <v>46303.805902777778</v>
      </c>
      <c r="Q194" s="15" t="str">
        <f>IF(base!BS194="","",base!BS194)</f>
        <v/>
      </c>
    </row>
    <row r="195" spans="1:17" ht="30" x14ac:dyDescent="0.35">
      <c r="A195" s="14">
        <f>IF(base!A195="","",base!A195)</f>
        <v>6200193</v>
      </c>
      <c r="B195" s="13">
        <f>IF(base!BN195="","",base!BN195)</f>
        <v>46303.625</v>
      </c>
      <c r="C195" s="12" t="str">
        <f>IF(base!C195="","",base!C195)</f>
        <v>ZETABURGOS SRL</v>
      </c>
      <c r="D195" s="12" t="str">
        <f>IF(base!E195="","",base!E195)</f>
        <v>ENTREGADO</v>
      </c>
      <c r="E195" s="12" t="str">
        <f>IF(base!BF195="","",base!BF195)</f>
        <v/>
      </c>
      <c r="F195" s="12" t="str">
        <f>IF(D195="","",IF(OR(ISNUMBER(SEARCH("VISITA",D195)),ISNUMBER(SEARCH("RUTA",D195)),ISNUMBER(SEARCH("ARRIB",D195)),ISNUMBER(SEARCH("MATRIZ",D195)),ISNUMBER(SEARCH("PENDIENTE",D195))),"VISITA COORDINADA CON EL CLIENTE","N/A"))</f>
        <v>N/A</v>
      </c>
      <c r="G195" s="12" t="str">
        <f>IF(base!G195="","",base!G195)</f>
        <v>ABC001</v>
      </c>
      <c r="H195" s="12" t="str">
        <f>IF(base!I195="","",base!I195)</f>
        <v>SAMEDAY</v>
      </c>
      <c r="I195" s="12" t="str">
        <f>IF(base!S195="","",base!S195)</f>
        <v>Prueba 193</v>
      </c>
      <c r="J195" s="12" t="str">
        <f>IF(base!T195="","",base!T195)</f>
        <v>Calle 123
Piso 2</v>
      </c>
      <c r="K195" s="12" t="str">
        <f>IF(base!U195="","",base!U195)</f>
        <v/>
      </c>
      <c r="L195" s="12" t="str">
        <f>IF(base!Y195="","",base!Y195)</f>
        <v/>
      </c>
      <c r="M195" s="12" t="str">
        <f>IF(base!AH195="","",base!AH195)</f>
        <v/>
      </c>
      <c r="N195" s="12" t="str">
        <f>IF(base!AI195="","",base!AI195)</f>
        <v>34.072273</v>
      </c>
      <c r="O195" s="12">
        <f>IF(base!BA195="","",base!BA195)</f>
        <v>1875</v>
      </c>
      <c r="P195" s="13">
        <f>IF(base!BK195="","",base!BK195)</f>
        <v>46303.805902777778</v>
      </c>
      <c r="Q195" s="15" t="str">
        <f>IF(base!BS195="","",base!BS195)</f>
        <v/>
      </c>
    </row>
    <row r="196" spans="1:17" ht="30" x14ac:dyDescent="0.35">
      <c r="A196" s="14">
        <f>IF(base!A196="","",base!A196)</f>
        <v>6200194</v>
      </c>
      <c r="B196" s="13">
        <f>IF(base!BN196="","",base!BN196)</f>
        <v>46303.625</v>
      </c>
      <c r="C196" s="12" t="str">
        <f>IF(base!C196="","",base!C196)</f>
        <v>ZETABURGOS SRL</v>
      </c>
      <c r="D196" s="12" t="str">
        <f>IF(base!E196="","",base!E196)</f>
        <v>REPROGRAMACIÓN</v>
      </c>
      <c r="E196" s="12" t="str">
        <f>IF(base!BF196="","",base!BF196)</f>
        <v/>
      </c>
      <c r="F196" s="12" t="str">
        <f>IF(D196="","",IF(OR(ISNUMBER(SEARCH("VISITA",D196)),ISNUMBER(SEARCH("RUTA",D196)),ISNUMBER(SEARCH("ARRIB",D196)),ISNUMBER(SEARCH("MATRIZ",D196)),ISNUMBER(SEARCH("PENDIENTE",D196))),"VISITA COORDINADA CON EL CLIENTE","N/A"))</f>
        <v>N/A</v>
      </c>
      <c r="G196" s="12" t="str">
        <f>IF(base!G196="","",base!G196)</f>
        <v>2000018857041302</v>
      </c>
      <c r="H196" s="12" t="str">
        <f>IF(base!I196="","",base!I196)</f>
        <v>FLEX</v>
      </c>
      <c r="I196" s="12" t="str">
        <f>IF(base!S196="","",base!S196)</f>
        <v>Prueba 194</v>
      </c>
      <c r="J196" s="12" t="str">
        <f>IF(base!T196="","",base!T196)</f>
        <v>Calle 123
Piso 2</v>
      </c>
      <c r="K196" s="12" t="str">
        <f>IF(base!U196="","",base!U196)</f>
        <v/>
      </c>
      <c r="L196" s="12" t="str">
        <f>IF(base!Y196="","",base!Y196)</f>
        <v/>
      </c>
      <c r="M196" s="12" t="str">
        <f>IF(base!AH196="","",base!AH196)</f>
        <v/>
      </c>
      <c r="N196" s="12" t="str">
        <f>IF(base!AI196="","",base!AI196)</f>
        <v>34.072273</v>
      </c>
      <c r="O196" s="12">
        <f>IF(base!BA196="","",base!BA196)</f>
        <v>1875</v>
      </c>
      <c r="P196" s="13">
        <f>IF(base!BK196="","",base!BK196)</f>
        <v>46303.805902777778</v>
      </c>
      <c r="Q196" s="15" t="str">
        <f>IF(base!BS196="","",base!BS196)</f>
        <v/>
      </c>
    </row>
    <row r="197" spans="1:17" ht="30" x14ac:dyDescent="0.35">
      <c r="A197" s="14">
        <f>IF(base!A197="","",base!A197)</f>
        <v>6200195</v>
      </c>
      <c r="B197" s="13">
        <f>IF(base!BN197="","",base!BN197)</f>
        <v>46303.625</v>
      </c>
      <c r="C197" s="12" t="str">
        <f>IF(base!C197="","",base!C197)</f>
        <v>ZETABURGOS SRL</v>
      </c>
      <c r="D197" s="12" t="str">
        <f>IF(base!E197="","",base!E197)</f>
        <v>1RVT - 1° VISITA</v>
      </c>
      <c r="E197" s="12" t="str">
        <f>IF(base!BF197="","",base!BF197)</f>
        <v/>
      </c>
      <c r="F197" s="12" t="str">
        <f>IF(D197="","",IF(OR(ISNUMBER(SEARCH("VISITA",D197)),ISNUMBER(SEARCH("RUTA",D197)),ISNUMBER(SEARCH("ARRIB",D197)),ISNUMBER(SEARCH("MATRIZ",D197)),ISNUMBER(SEARCH("PENDIENTE",D197))),"VISITA COORDINADA CON EL CLIENTE","N/A"))</f>
        <v>VISITA COORDINADA CON EL CLIENTE</v>
      </c>
      <c r="G197" s="12" t="str">
        <f>IF(base!G197="","",base!G197)</f>
        <v>001234</v>
      </c>
      <c r="H197" s="12" t="str">
        <f>IF(base!I197="","",base!I197)</f>
        <v>FLEX</v>
      </c>
      <c r="I197" s="12" t="str">
        <f>IF(base!S197="","",base!S197)</f>
        <v>Prueba 195</v>
      </c>
      <c r="J197" s="12" t="str">
        <f>IF(base!T197="","",base!T197)</f>
        <v>Calle 123
Piso 2</v>
      </c>
      <c r="K197" s="12" t="str">
        <f>IF(base!U197="","",base!U197)</f>
        <v/>
      </c>
      <c r="L197" s="12" t="str">
        <f>IF(base!Y197="","",base!Y197)</f>
        <v/>
      </c>
      <c r="M197" s="12" t="str">
        <f>IF(base!AH197="","",base!AH197)</f>
        <v/>
      </c>
      <c r="N197" s="12" t="str">
        <f>IF(base!AI197="","",base!AI197)</f>
        <v>34.072273</v>
      </c>
      <c r="O197" s="12">
        <f>IF(base!BA197="","",base!BA197)</f>
        <v>1875</v>
      </c>
      <c r="P197" s="13">
        <f>IF(base!BK197="","",base!BK197)</f>
        <v>46303.805902777778</v>
      </c>
      <c r="Q197" s="15" t="str">
        <f>IF(base!BS197="","",base!BS197)</f>
        <v/>
      </c>
    </row>
    <row r="198" spans="1:17" ht="30" x14ac:dyDescent="0.35">
      <c r="A198" s="14">
        <f>IF(base!A198="","",base!A198)</f>
        <v>6200196</v>
      </c>
      <c r="B198" s="13">
        <f>IF(base!BN198="","",base!BN198)</f>
        <v>46303.625</v>
      </c>
      <c r="C198" s="12" t="str">
        <f>IF(base!C198="","",base!C198)</f>
        <v>ZETABURGOS SRL</v>
      </c>
      <c r="D198" s="12" t="str">
        <f>IF(base!E198="","",base!E198)</f>
        <v>ENTREGADO</v>
      </c>
      <c r="E198" s="12" t="str">
        <f>IF(base!BF198="","",base!BF198)</f>
        <v/>
      </c>
      <c r="F198" s="12" t="str">
        <f>IF(D198="","",IF(OR(ISNUMBER(SEARCH("VISITA",D198)),ISNUMBER(SEARCH("RUTA",D198)),ISNUMBER(SEARCH("ARRIB",D198)),ISNUMBER(SEARCH("MATRIZ",D198)),ISNUMBER(SEARCH("PENDIENTE",D198))),"VISITA COORDINADA CON EL CLIENTE","N/A"))</f>
        <v>N/A</v>
      </c>
      <c r="G198" s="12" t="str">
        <f>"#ABC"</f>
        <v>#ABC</v>
      </c>
      <c r="H198" s="12" t="str">
        <f>IF(base!I198="","",base!I198)</f>
        <v>SAMEDAY</v>
      </c>
      <c r="I198" s="12" t="str">
        <f>IF(base!S198="","",base!S198)</f>
        <v>Prueba 196</v>
      </c>
      <c r="J198" s="12" t="str">
        <f>IF(base!T198="","",base!T198)</f>
        <v>Calle 123
Piso 2</v>
      </c>
      <c r="K198" s="12" t="str">
        <f>IF(base!U198="","",base!U198)</f>
        <v/>
      </c>
      <c r="L198" s="12" t="str">
        <f>IF(base!Y198="","",base!Y198)</f>
        <v/>
      </c>
      <c r="M198" s="12" t="str">
        <f>IF(base!AH198="","",base!AH198)</f>
        <v/>
      </c>
      <c r="N198" s="12" t="str">
        <f>IF(base!AI198="","",base!AI198)</f>
        <v>34.072273</v>
      </c>
      <c r="O198" s="12">
        <f>IF(base!BA198="","",base!BA198)</f>
        <v>1875</v>
      </c>
      <c r="P198" s="13">
        <f>IF(base!BK198="","",base!BK198)</f>
        <v>46303.805902777778</v>
      </c>
      <c r="Q198" s="15" t="str">
        <f>IF(base!BS198="","",base!BS198)</f>
        <v/>
      </c>
    </row>
    <row r="199" spans="1:17" ht="30" x14ac:dyDescent="0.35">
      <c r="A199" s="14">
        <f>IF(base!A199="","",base!A199)</f>
        <v>6200197</v>
      </c>
      <c r="B199" s="13">
        <f>IF(base!BN199="","",base!BN199)</f>
        <v>46303.625</v>
      </c>
      <c r="C199" s="12" t="str">
        <f>IF(base!C199="","",base!C199)</f>
        <v>ZETABURGOS SRL</v>
      </c>
      <c r="D199" s="12" t="str">
        <f>IF(base!E199="","",base!E199)</f>
        <v>REPROGRAMACIÓN</v>
      </c>
      <c r="E199" s="12" t="str">
        <f>IF(base!BF199="","",base!BF199)</f>
        <v/>
      </c>
      <c r="F199" s="12" t="str">
        <f>IF(D199="","",IF(OR(ISNUMBER(SEARCH("VISITA",D199)),ISNUMBER(SEARCH("RUTA",D199)),ISNUMBER(SEARCH("ARRIB",D199)),ISNUMBER(SEARCH("MATRIZ",D199)),ISNUMBER(SEARCH("PENDIENTE",D199))),"VISITA COORDINADA CON EL CLIENTE","N/A"))</f>
        <v>N/A</v>
      </c>
      <c r="G199" s="12">
        <f>IF(base!G199="","",base!G199)</f>
        <v>470123456</v>
      </c>
      <c r="H199" s="12" t="str">
        <f>IF(base!I199="","",base!I199)</f>
        <v>FLEX</v>
      </c>
      <c r="I199" s="12" t="str">
        <f>IF(base!S199="","",base!S199)</f>
        <v>Prueba 197</v>
      </c>
      <c r="J199" s="12" t="str">
        <f>IF(base!T199="","",base!T199)</f>
        <v>Calle 123
Piso 2</v>
      </c>
      <c r="K199" s="12" t="str">
        <f>IF(base!U199="","",base!U199)</f>
        <v/>
      </c>
      <c r="L199" s="12" t="str">
        <f>IF(base!Y199="","",base!Y199)</f>
        <v/>
      </c>
      <c r="M199" s="12" t="str">
        <f>IF(base!AH199="","",base!AH199)</f>
        <v/>
      </c>
      <c r="N199" s="12" t="str">
        <f>IF(base!AI199="","",base!AI199)</f>
        <v>34.072273</v>
      </c>
      <c r="O199" s="12">
        <f>IF(base!BA199="","",base!BA199)</f>
        <v>1875</v>
      </c>
      <c r="P199" s="13">
        <f>IF(base!BK199="","",base!BK199)</f>
        <v>46303.805902777778</v>
      </c>
      <c r="Q199" s="15" t="str">
        <f>IF(base!BS199="","",base!BS199)</f>
        <v/>
      </c>
    </row>
    <row r="200" spans="1:17" ht="30" x14ac:dyDescent="0.35">
      <c r="A200" s="14">
        <f>IF(base!A200="","",base!A200)</f>
        <v>6200198</v>
      </c>
      <c r="B200" s="13">
        <f>IF(base!BN200="","",base!BN200)</f>
        <v>46303.625</v>
      </c>
      <c r="C200" s="12" t="str">
        <f>IF(base!C200="","",base!C200)</f>
        <v>ZETABURGOS SRL</v>
      </c>
      <c r="D200" s="12" t="str">
        <f>IF(base!E200="","",base!E200)</f>
        <v>1RVT - 1° VISITA</v>
      </c>
      <c r="E200" s="12" t="str">
        <f>IF(base!BF200="","",base!BF200)</f>
        <v/>
      </c>
      <c r="F200" s="12" t="str">
        <f>IF(D200="","",IF(OR(ISNUMBER(SEARCH("VISITA",D200)),ISNUMBER(SEARCH("RUTA",D200)),ISNUMBER(SEARCH("ARRIB",D200)),ISNUMBER(SEARCH("MATRIZ",D200)),ISNUMBER(SEARCH("PENDIENTE",D200))),"VISITA COORDINADA CON EL CLIENTE","N/A"))</f>
        <v>VISITA COORDINADA CON EL CLIENTE</v>
      </c>
      <c r="G200" s="12" t="str">
        <f>IF(base!G200="","",base!G200)</f>
        <v>ABC001</v>
      </c>
      <c r="H200" s="12" t="str">
        <f>IF(base!I200="","",base!I200)</f>
        <v>SAMEDAY</v>
      </c>
      <c r="I200" s="12" t="str">
        <f>IF(base!S200="","",base!S200)</f>
        <v>Prueba 198</v>
      </c>
      <c r="J200" s="12" t="str">
        <f>IF(base!T200="","",base!T200)</f>
        <v>Calle 123
Piso 2</v>
      </c>
      <c r="K200" s="12" t="str">
        <f>IF(base!U200="","",base!U200)</f>
        <v/>
      </c>
      <c r="L200" s="12" t="str">
        <f>IF(base!Y200="","",base!Y200)</f>
        <v/>
      </c>
      <c r="M200" s="12" t="str">
        <f>IF(base!AH200="","",base!AH200)</f>
        <v/>
      </c>
      <c r="N200" s="12" t="str">
        <f>IF(base!AI200="","",base!AI200)</f>
        <v>34.072273</v>
      </c>
      <c r="O200" s="12">
        <f>IF(base!BA200="","",base!BA200)</f>
        <v>1875</v>
      </c>
      <c r="P200" s="13">
        <f>IF(base!BK200="","",base!BK200)</f>
        <v>46303.805902777778</v>
      </c>
      <c r="Q200" s="15" t="str">
        <f>IF(base!BS200="","",base!BS200)</f>
        <v/>
      </c>
    </row>
    <row r="201" spans="1:17" ht="30" x14ac:dyDescent="0.35">
      <c r="A201" s="14">
        <f>IF(base!A201="","",base!A201)</f>
        <v>6200199</v>
      </c>
      <c r="B201" s="13">
        <f>IF(base!BN201="","",base!BN201)</f>
        <v>46303.625</v>
      </c>
      <c r="C201" s="12" t="str">
        <f>IF(base!C201="","",base!C201)</f>
        <v>ZETABURGOS SRL</v>
      </c>
      <c r="D201" s="12" t="str">
        <f>IF(base!E201="","",base!E201)</f>
        <v>ENTREGADO</v>
      </c>
      <c r="E201" s="12" t="str">
        <f>IF(base!BF201="","",base!BF201)</f>
        <v/>
      </c>
      <c r="F201" s="12" t="str">
        <f>IF(D201="","",IF(OR(ISNUMBER(SEARCH("VISITA",D201)),ISNUMBER(SEARCH("RUTA",D201)),ISNUMBER(SEARCH("ARRIB",D201)),ISNUMBER(SEARCH("MATRIZ",D201)),ISNUMBER(SEARCH("PENDIENTE",D201))),"VISITA COORDINADA CON EL CLIENTE","N/A"))</f>
        <v>N/A</v>
      </c>
      <c r="G201" s="12" t="str">
        <f>IF(base!G201="","",base!G201)</f>
        <v>2000018857041302</v>
      </c>
      <c r="H201" s="12" t="str">
        <f>IF(base!I201="","",base!I201)</f>
        <v>FLEX</v>
      </c>
      <c r="I201" s="12" t="str">
        <f>IF(base!S201="","",base!S201)</f>
        <v>Prueba 199</v>
      </c>
      <c r="J201" s="12" t="str">
        <f>IF(base!T201="","",base!T201)</f>
        <v>Calle 123
Piso 2</v>
      </c>
      <c r="K201" s="12" t="str">
        <f>IF(base!U201="","",base!U201)</f>
        <v/>
      </c>
      <c r="L201" s="12" t="str">
        <f>IF(base!Y201="","",base!Y201)</f>
        <v/>
      </c>
      <c r="M201" s="12" t="str">
        <f>IF(base!AH201="","",base!AH201)</f>
        <v/>
      </c>
      <c r="N201" s="12" t="str">
        <f>IF(base!AI201="","",base!AI201)</f>
        <v>34.072273</v>
      </c>
      <c r="O201" s="12">
        <f>IF(base!BA201="","",base!BA201)</f>
        <v>1875</v>
      </c>
      <c r="P201" s="13">
        <f>IF(base!BK201="","",base!BK201)</f>
        <v>46303.805902777778</v>
      </c>
      <c r="Q201" s="15" t="str">
        <f>IF(base!BS201="","",base!BS201)</f>
        <v/>
      </c>
    </row>
    <row r="202" spans="1:17" ht="30" x14ac:dyDescent="0.35">
      <c r="A202" s="14">
        <f>IF(base!A202="","",base!A202)</f>
        <v>6200200</v>
      </c>
      <c r="B202" s="13">
        <f>IF(base!BN202="","",base!BN202)</f>
        <v>46303.625</v>
      </c>
      <c r="C202" s="12" t="str">
        <f>IF(base!C202="","",base!C202)</f>
        <v>ZETABURGOS SRL</v>
      </c>
      <c r="D202" s="12" t="str">
        <f>IF(base!E202="","",base!E202)</f>
        <v>REPROGRAMACIÓN</v>
      </c>
      <c r="E202" s="12" t="str">
        <f>IF(base!BF202="","",base!BF202)</f>
        <v/>
      </c>
      <c r="F202" s="12" t="str">
        <f>IF(D202="","",IF(OR(ISNUMBER(SEARCH("VISITA",D202)),ISNUMBER(SEARCH("RUTA",D202)),ISNUMBER(SEARCH("ARRIB",D202)),ISNUMBER(SEARCH("MATRIZ",D202)),ISNUMBER(SEARCH("PENDIENTE",D202))),"VISITA COORDINADA CON EL CLIENTE","N/A"))</f>
        <v>N/A</v>
      </c>
      <c r="G202" s="12" t="str">
        <f>IF(base!G202="","",base!G202)</f>
        <v>001234</v>
      </c>
      <c r="H202" s="12" t="str">
        <f>IF(base!I202="","",base!I202)</f>
        <v>FLEX</v>
      </c>
      <c r="I202" s="12" t="str">
        <f>IF(base!S202="","",base!S202)</f>
        <v>Prueba 200</v>
      </c>
      <c r="J202" s="12" t="str">
        <f>IF(base!T202="","",base!T202)</f>
        <v>Calle 123
Piso 2</v>
      </c>
      <c r="K202" s="12" t="str">
        <f>IF(base!U202="","",base!U202)</f>
        <v/>
      </c>
      <c r="L202" s="12" t="str">
        <f>IF(base!Y202="","",base!Y202)</f>
        <v/>
      </c>
      <c r="M202" s="12" t="str">
        <f>IF(base!AH202="","",base!AH202)</f>
        <v/>
      </c>
      <c r="N202" s="12" t="str">
        <f>IF(base!AI202="","",base!AI202)</f>
        <v>34.072273</v>
      </c>
      <c r="O202" s="12">
        <f>IF(base!BA202="","",base!BA202)</f>
        <v>1875</v>
      </c>
      <c r="P202" s="13">
        <f>IF(base!BK202="","",base!BK202)</f>
        <v>46303.805902777778</v>
      </c>
      <c r="Q202" s="15" t="str">
        <f>IF(base!BS202="","",base!BS202)</f>
        <v/>
      </c>
    </row>
    <row r="203" spans="1:17" ht="30" x14ac:dyDescent="0.35">
      <c r="A203" s="14">
        <f>IF(base!A203="","",base!A203)</f>
        <v>6200201</v>
      </c>
      <c r="B203" s="13">
        <f>IF(base!BN203="","",base!BN203)</f>
        <v>46303.625</v>
      </c>
      <c r="C203" s="12" t="str">
        <f>IF(base!C203="","",base!C203)</f>
        <v>ZETABURGOS SRL</v>
      </c>
      <c r="D203" s="12" t="str">
        <f>IF(base!E203="","",base!E203)</f>
        <v>1RVT - 1° VISITA</v>
      </c>
      <c r="E203" s="12" t="str">
        <f>IF(base!BF203="","",base!BF203)</f>
        <v/>
      </c>
      <c r="F203" s="12" t="str">
        <f>IF(D203="","",IF(OR(ISNUMBER(SEARCH("VISITA",D203)),ISNUMBER(SEARCH("RUTA",D203)),ISNUMBER(SEARCH("ARRIB",D203)),ISNUMBER(SEARCH("MATRIZ",D203)),ISNUMBER(SEARCH("PENDIENTE",D203))),"VISITA COORDINADA CON EL CLIENTE","N/A"))</f>
        <v>VISITA COORDINADA CON EL CLIENTE</v>
      </c>
      <c r="G203" s="12" t="str">
        <f>"#ABC"</f>
        <v>#ABC</v>
      </c>
      <c r="H203" s="12" t="str">
        <f>IF(base!I203="","",base!I203)</f>
        <v>SAMEDAY</v>
      </c>
      <c r="I203" s="12" t="str">
        <f>IF(base!S203="","",base!S203)</f>
        <v>Prueba 201</v>
      </c>
      <c r="J203" s="12" t="str">
        <f>IF(base!T203="","",base!T203)</f>
        <v>Calle 123
Piso 2</v>
      </c>
      <c r="K203" s="12" t="str">
        <f>IF(base!U203="","",base!U203)</f>
        <v/>
      </c>
      <c r="L203" s="12" t="str">
        <f>IF(base!Y203="","",base!Y203)</f>
        <v/>
      </c>
      <c r="M203" s="12" t="str">
        <f>IF(base!AH203="","",base!AH203)</f>
        <v/>
      </c>
      <c r="N203" s="12" t="str">
        <f>IF(base!AI203="","",base!AI203)</f>
        <v>34.072273</v>
      </c>
      <c r="O203" s="12">
        <f>IF(base!BA203="","",base!BA203)</f>
        <v>1875</v>
      </c>
      <c r="P203" s="13">
        <f>IF(base!BK203="","",base!BK203)</f>
        <v>46303.805902777778</v>
      </c>
      <c r="Q203" s="15" t="str">
        <f>IF(base!BS203="","",base!BS203)</f>
        <v/>
      </c>
    </row>
    <row r="204" spans="1:17" ht="30" x14ac:dyDescent="0.35">
      <c r="A204" s="14">
        <f>IF(base!A204="","",base!A204)</f>
        <v>6200202</v>
      </c>
      <c r="B204" s="13">
        <f>IF(base!BN204="","",base!BN204)</f>
        <v>46303.625</v>
      </c>
      <c r="C204" s="12" t="str">
        <f>IF(base!C204="","",base!C204)</f>
        <v>ZETABURGOS SRL</v>
      </c>
      <c r="D204" s="12" t="str">
        <f>IF(base!E204="","",base!E204)</f>
        <v>ENTREGADO</v>
      </c>
      <c r="E204" s="12" t="str">
        <f>IF(base!BF204="","",base!BF204)</f>
        <v/>
      </c>
      <c r="F204" s="12" t="str">
        <f>IF(D204="","",IF(OR(ISNUMBER(SEARCH("VISITA",D204)),ISNUMBER(SEARCH("RUTA",D204)),ISNUMBER(SEARCH("ARRIB",D204)),ISNUMBER(SEARCH("MATRIZ",D204)),ISNUMBER(SEARCH("PENDIENTE",D204))),"VISITA COORDINADA CON EL CLIENTE","N/A"))</f>
        <v>N/A</v>
      </c>
      <c r="G204" s="12">
        <f>IF(base!G204="","",base!G204)</f>
        <v>470123456</v>
      </c>
      <c r="H204" s="12" t="str">
        <f>IF(base!I204="","",base!I204)</f>
        <v>FLEX</v>
      </c>
      <c r="I204" s="12" t="str">
        <f>IF(base!S204="","",base!S204)</f>
        <v>Prueba 202</v>
      </c>
      <c r="J204" s="12" t="str">
        <f>IF(base!T204="","",base!T204)</f>
        <v>Calle 123
Piso 2</v>
      </c>
      <c r="K204" s="12" t="str">
        <f>IF(base!U204="","",base!U204)</f>
        <v/>
      </c>
      <c r="L204" s="12" t="str">
        <f>IF(base!Y204="","",base!Y204)</f>
        <v/>
      </c>
      <c r="M204" s="12" t="str">
        <f>IF(base!AH204="","",base!AH204)</f>
        <v/>
      </c>
      <c r="N204" s="12" t="str">
        <f>IF(base!AI204="","",base!AI204)</f>
        <v>34.072273</v>
      </c>
      <c r="O204" s="12">
        <f>IF(base!BA204="","",base!BA204)</f>
        <v>1875</v>
      </c>
      <c r="P204" s="13">
        <f>IF(base!BK204="","",base!BK204)</f>
        <v>46303.805902777778</v>
      </c>
      <c r="Q204" s="15" t="str">
        <f>IF(base!BS204="","",base!BS204)</f>
        <v/>
      </c>
    </row>
    <row r="205" spans="1:17" ht="30" x14ac:dyDescent="0.35">
      <c r="A205" s="14">
        <f>IF(base!A205="","",base!A205)</f>
        <v>6200203</v>
      </c>
      <c r="B205" s="13">
        <f>IF(base!BN205="","",base!BN205)</f>
        <v>46303.625</v>
      </c>
      <c r="C205" s="12" t="str">
        <f>IF(base!C205="","",base!C205)</f>
        <v>ZETABURGOS SRL</v>
      </c>
      <c r="D205" s="12" t="str">
        <f>IF(base!E205="","",base!E205)</f>
        <v>REPROGRAMACIÓN</v>
      </c>
      <c r="E205" s="12" t="str">
        <f>IF(base!BF205="","",base!BF205)</f>
        <v/>
      </c>
      <c r="F205" s="12" t="str">
        <f>IF(D205="","",IF(OR(ISNUMBER(SEARCH("VISITA",D205)),ISNUMBER(SEARCH("RUTA",D205)),ISNUMBER(SEARCH("ARRIB",D205)),ISNUMBER(SEARCH("MATRIZ",D205)),ISNUMBER(SEARCH("PENDIENTE",D205))),"VISITA COORDINADA CON EL CLIENTE","N/A"))</f>
        <v>N/A</v>
      </c>
      <c r="G205" s="12" t="str">
        <f>IF(base!G205="","",base!G205)</f>
        <v>ABC001</v>
      </c>
      <c r="H205" s="12" t="str">
        <f>IF(base!I205="","",base!I205)</f>
        <v>SAMEDAY</v>
      </c>
      <c r="I205" s="12" t="str">
        <f>IF(base!S205="","",base!S205)</f>
        <v>Prueba 203</v>
      </c>
      <c r="J205" s="12" t="str">
        <f>IF(base!T205="","",base!T205)</f>
        <v>Calle 123
Piso 2</v>
      </c>
      <c r="K205" s="12" t="str">
        <f>IF(base!U205="","",base!U205)</f>
        <v/>
      </c>
      <c r="L205" s="12" t="str">
        <f>IF(base!Y205="","",base!Y205)</f>
        <v/>
      </c>
      <c r="M205" s="12" t="str">
        <f>IF(base!AH205="","",base!AH205)</f>
        <v/>
      </c>
      <c r="N205" s="12" t="str">
        <f>IF(base!AI205="","",base!AI205)</f>
        <v>34.072273</v>
      </c>
      <c r="O205" s="12">
        <f>IF(base!BA205="","",base!BA205)</f>
        <v>1875</v>
      </c>
      <c r="P205" s="13">
        <f>IF(base!BK205="","",base!BK205)</f>
        <v>46303.805902777778</v>
      </c>
      <c r="Q205" s="15" t="str">
        <f>IF(base!BS205="","",base!BS205)</f>
        <v/>
      </c>
    </row>
    <row r="206" spans="1:17" ht="30" x14ac:dyDescent="0.35">
      <c r="A206" s="14">
        <f>IF(base!A206="","",base!A206)</f>
        <v>6200204</v>
      </c>
      <c r="B206" s="13">
        <f>IF(base!BN206="","",base!BN206)</f>
        <v>46303.625</v>
      </c>
      <c r="C206" s="12" t="str">
        <f>IF(base!C206="","",base!C206)</f>
        <v>ZETABURGOS SRL</v>
      </c>
      <c r="D206" s="12" t="str">
        <f>IF(base!E206="","",base!E206)</f>
        <v>1RVT - 1° VISITA</v>
      </c>
      <c r="E206" s="12" t="str">
        <f>IF(base!BF206="","",base!BF206)</f>
        <v/>
      </c>
      <c r="F206" s="12" t="str">
        <f>IF(D206="","",IF(OR(ISNUMBER(SEARCH("VISITA",D206)),ISNUMBER(SEARCH("RUTA",D206)),ISNUMBER(SEARCH("ARRIB",D206)),ISNUMBER(SEARCH("MATRIZ",D206)),ISNUMBER(SEARCH("PENDIENTE",D206))),"VISITA COORDINADA CON EL CLIENTE","N/A"))</f>
        <v>VISITA COORDINADA CON EL CLIENTE</v>
      </c>
      <c r="G206" s="12" t="str">
        <f>IF(base!G206="","",base!G206)</f>
        <v>2000018857041302</v>
      </c>
      <c r="H206" s="12" t="str">
        <f>IF(base!I206="","",base!I206)</f>
        <v>FLEX</v>
      </c>
      <c r="I206" s="12" t="str">
        <f>IF(base!S206="","",base!S206)</f>
        <v>Prueba 204</v>
      </c>
      <c r="J206" s="12" t="str">
        <f>IF(base!T206="","",base!T206)</f>
        <v>Calle 123
Piso 2</v>
      </c>
      <c r="K206" s="12" t="str">
        <f>IF(base!U206="","",base!U206)</f>
        <v/>
      </c>
      <c r="L206" s="12" t="str">
        <f>IF(base!Y206="","",base!Y206)</f>
        <v/>
      </c>
      <c r="M206" s="12" t="str">
        <f>IF(base!AH206="","",base!AH206)</f>
        <v/>
      </c>
      <c r="N206" s="12" t="str">
        <f>IF(base!AI206="","",base!AI206)</f>
        <v>34.072273</v>
      </c>
      <c r="O206" s="12">
        <f>IF(base!BA206="","",base!BA206)</f>
        <v>1875</v>
      </c>
      <c r="P206" s="13">
        <f>IF(base!BK206="","",base!BK206)</f>
        <v>46303.805902777778</v>
      </c>
      <c r="Q206" s="15" t="str">
        <f>IF(base!BS206="","",base!BS206)</f>
        <v/>
      </c>
    </row>
    <row r="207" spans="1:17" ht="30" x14ac:dyDescent="0.35">
      <c r="A207" s="14">
        <f>IF(base!A207="","",base!A207)</f>
        <v>6200205</v>
      </c>
      <c r="B207" s="13">
        <f>IF(base!BN207="","",base!BN207)</f>
        <v>46303.625</v>
      </c>
      <c r="C207" s="12" t="str">
        <f>IF(base!C207="","",base!C207)</f>
        <v>ZETABURGOS SRL</v>
      </c>
      <c r="D207" s="12" t="str">
        <f>IF(base!E207="","",base!E207)</f>
        <v>ENTREGADO</v>
      </c>
      <c r="E207" s="12" t="str">
        <f>IF(base!BF207="","",base!BF207)</f>
        <v/>
      </c>
      <c r="F207" s="12" t="str">
        <f>IF(D207="","",IF(OR(ISNUMBER(SEARCH("VISITA",D207)),ISNUMBER(SEARCH("RUTA",D207)),ISNUMBER(SEARCH("ARRIB",D207)),ISNUMBER(SEARCH("MATRIZ",D207)),ISNUMBER(SEARCH("PENDIENTE",D207))),"VISITA COORDINADA CON EL CLIENTE","N/A"))</f>
        <v>N/A</v>
      </c>
      <c r="G207" s="12" t="str">
        <f>IF(base!G207="","",base!G207)</f>
        <v>001234</v>
      </c>
      <c r="H207" s="12" t="str">
        <f>IF(base!I207="","",base!I207)</f>
        <v>FLEX</v>
      </c>
      <c r="I207" s="12" t="str">
        <f>IF(base!S207="","",base!S207)</f>
        <v>Prueba 205</v>
      </c>
      <c r="J207" s="12" t="str">
        <f>IF(base!T207="","",base!T207)</f>
        <v>Calle 123
Piso 2</v>
      </c>
      <c r="K207" s="12" t="str">
        <f>IF(base!U207="","",base!U207)</f>
        <v/>
      </c>
      <c r="L207" s="12" t="str">
        <f>IF(base!Y207="","",base!Y207)</f>
        <v/>
      </c>
      <c r="M207" s="12" t="str">
        <f>IF(base!AH207="","",base!AH207)</f>
        <v/>
      </c>
      <c r="N207" s="12" t="str">
        <f>IF(base!AI207="","",base!AI207)</f>
        <v>34.072273</v>
      </c>
      <c r="O207" s="12">
        <f>IF(base!BA207="","",base!BA207)</f>
        <v>1875</v>
      </c>
      <c r="P207" s="13">
        <f>IF(base!BK207="","",base!BK207)</f>
        <v>46303.805902777778</v>
      </c>
      <c r="Q207" s="15" t="str">
        <f>IF(base!BS207="","",base!BS207)</f>
        <v/>
      </c>
    </row>
    <row r="208" spans="1:17" ht="30" x14ac:dyDescent="0.35">
      <c r="A208" s="14">
        <f>IF(base!A208="","",base!A208)</f>
        <v>6200206</v>
      </c>
      <c r="B208" s="13">
        <f>IF(base!BN208="","",base!BN208)</f>
        <v>46303.625</v>
      </c>
      <c r="C208" s="12" t="str">
        <f>IF(base!C208="","",base!C208)</f>
        <v>ZETABURGOS SRL</v>
      </c>
      <c r="D208" s="12" t="str">
        <f>IF(base!E208="","",base!E208)</f>
        <v>REPROGRAMACIÓN</v>
      </c>
      <c r="E208" s="12" t="str">
        <f>IF(base!BF208="","",base!BF208)</f>
        <v/>
      </c>
      <c r="F208" s="12" t="str">
        <f>IF(D208="","",IF(OR(ISNUMBER(SEARCH("VISITA",D208)),ISNUMBER(SEARCH("RUTA",D208)),ISNUMBER(SEARCH("ARRIB",D208)),ISNUMBER(SEARCH("MATRIZ",D208)),ISNUMBER(SEARCH("PENDIENTE",D208))),"VISITA COORDINADA CON EL CLIENTE","N/A"))</f>
        <v>N/A</v>
      </c>
      <c r="G208" s="12" t="str">
        <f>"#ABC"</f>
        <v>#ABC</v>
      </c>
      <c r="H208" s="12" t="str">
        <f>IF(base!I208="","",base!I208)</f>
        <v>SAMEDAY</v>
      </c>
      <c r="I208" s="12" t="str">
        <f>IF(base!S208="","",base!S208)</f>
        <v>Prueba 206</v>
      </c>
      <c r="J208" s="12" t="str">
        <f>IF(base!T208="","",base!T208)</f>
        <v>Calle 123
Piso 2</v>
      </c>
      <c r="K208" s="12" t="str">
        <f>IF(base!U208="","",base!U208)</f>
        <v/>
      </c>
      <c r="L208" s="12" t="str">
        <f>IF(base!Y208="","",base!Y208)</f>
        <v/>
      </c>
      <c r="M208" s="12" t="str">
        <f>IF(base!AH208="","",base!AH208)</f>
        <v/>
      </c>
      <c r="N208" s="12" t="str">
        <f>IF(base!AI208="","",base!AI208)</f>
        <v>34.072273</v>
      </c>
      <c r="O208" s="12">
        <f>IF(base!BA208="","",base!BA208)</f>
        <v>1875</v>
      </c>
      <c r="P208" s="13">
        <f>IF(base!BK208="","",base!BK208)</f>
        <v>46303.805902777778</v>
      </c>
      <c r="Q208" s="15" t="str">
        <f>IF(base!BS208="","",base!BS208)</f>
        <v/>
      </c>
    </row>
    <row r="209" spans="1:17" ht="30" x14ac:dyDescent="0.35">
      <c r="A209" s="14">
        <f>IF(base!A209="","",base!A209)</f>
        <v>6200207</v>
      </c>
      <c r="B209" s="13">
        <f>IF(base!BN209="","",base!BN209)</f>
        <v>46303.625</v>
      </c>
      <c r="C209" s="12" t="str">
        <f>IF(base!C209="","",base!C209)</f>
        <v>ZETABURGOS SRL</v>
      </c>
      <c r="D209" s="12" t="str">
        <f>IF(base!E209="","",base!E209)</f>
        <v>1RVT - 1° VISITA</v>
      </c>
      <c r="E209" s="12" t="str">
        <f>IF(base!BF209="","",base!BF209)</f>
        <v/>
      </c>
      <c r="F209" s="12" t="str">
        <f>IF(D209="","",IF(OR(ISNUMBER(SEARCH("VISITA",D209)),ISNUMBER(SEARCH("RUTA",D209)),ISNUMBER(SEARCH("ARRIB",D209)),ISNUMBER(SEARCH("MATRIZ",D209)),ISNUMBER(SEARCH("PENDIENTE",D209))),"VISITA COORDINADA CON EL CLIENTE","N/A"))</f>
        <v>VISITA COORDINADA CON EL CLIENTE</v>
      </c>
      <c r="G209" s="12">
        <f>IF(base!G209="","",base!G209)</f>
        <v>470123456</v>
      </c>
      <c r="H209" s="12" t="str">
        <f>IF(base!I209="","",base!I209)</f>
        <v>FLEX</v>
      </c>
      <c r="I209" s="12" t="str">
        <f>IF(base!S209="","",base!S209)</f>
        <v>Prueba 207</v>
      </c>
      <c r="J209" s="12" t="str">
        <f>IF(base!T209="","",base!T209)</f>
        <v>Calle 123
Piso 2</v>
      </c>
      <c r="K209" s="12" t="str">
        <f>IF(base!U209="","",base!U209)</f>
        <v/>
      </c>
      <c r="L209" s="12" t="str">
        <f>IF(base!Y209="","",base!Y209)</f>
        <v/>
      </c>
      <c r="M209" s="12" t="str">
        <f>IF(base!AH209="","",base!AH209)</f>
        <v/>
      </c>
      <c r="N209" s="12" t="str">
        <f>IF(base!AI209="","",base!AI209)</f>
        <v>34.072273</v>
      </c>
      <c r="O209" s="12">
        <f>IF(base!BA209="","",base!BA209)</f>
        <v>1875</v>
      </c>
      <c r="P209" s="13">
        <f>IF(base!BK209="","",base!BK209)</f>
        <v>46303.805902777778</v>
      </c>
      <c r="Q209" s="15" t="str">
        <f>IF(base!BS209="","",base!BS209)</f>
        <v/>
      </c>
    </row>
    <row r="210" spans="1:17" ht="30" x14ac:dyDescent="0.35">
      <c r="A210" s="14">
        <f>IF(base!A210="","",base!A210)</f>
        <v>6200208</v>
      </c>
      <c r="B210" s="13">
        <f>IF(base!BN210="","",base!BN210)</f>
        <v>46303.625</v>
      </c>
      <c r="C210" s="12" t="str">
        <f>IF(base!C210="","",base!C210)</f>
        <v>ZETABURGOS SRL</v>
      </c>
      <c r="D210" s="12" t="str">
        <f>IF(base!E210="","",base!E210)</f>
        <v>ENTREGADO</v>
      </c>
      <c r="E210" s="12" t="str">
        <f>IF(base!BF210="","",base!BF210)</f>
        <v/>
      </c>
      <c r="F210" s="12" t="str">
        <f>IF(D210="","",IF(OR(ISNUMBER(SEARCH("VISITA",D210)),ISNUMBER(SEARCH("RUTA",D210)),ISNUMBER(SEARCH("ARRIB",D210)),ISNUMBER(SEARCH("MATRIZ",D210)),ISNUMBER(SEARCH("PENDIENTE",D210))),"VISITA COORDINADA CON EL CLIENTE","N/A"))</f>
        <v>N/A</v>
      </c>
      <c r="G210" s="12" t="str">
        <f>IF(base!G210="","",base!G210)</f>
        <v>ABC001</v>
      </c>
      <c r="H210" s="12" t="str">
        <f>IF(base!I210="","",base!I210)</f>
        <v>SAMEDAY</v>
      </c>
      <c r="I210" s="12" t="str">
        <f>IF(base!S210="","",base!S210)</f>
        <v>Prueba 208</v>
      </c>
      <c r="J210" s="12" t="str">
        <f>IF(base!T210="","",base!T210)</f>
        <v>Calle 123
Piso 2</v>
      </c>
      <c r="K210" s="12" t="str">
        <f>IF(base!U210="","",base!U210)</f>
        <v/>
      </c>
      <c r="L210" s="12" t="str">
        <f>IF(base!Y210="","",base!Y210)</f>
        <v/>
      </c>
      <c r="M210" s="12" t="str">
        <f>IF(base!AH210="","",base!AH210)</f>
        <v/>
      </c>
      <c r="N210" s="12" t="str">
        <f>IF(base!AI210="","",base!AI210)</f>
        <v>34.072273</v>
      </c>
      <c r="O210" s="12">
        <f>IF(base!BA210="","",base!BA210)</f>
        <v>1875</v>
      </c>
      <c r="P210" s="13">
        <f>IF(base!BK210="","",base!BK210)</f>
        <v>46303.805902777778</v>
      </c>
      <c r="Q210" s="15" t="str">
        <f>IF(base!BS210="","",base!BS210)</f>
        <v/>
      </c>
    </row>
    <row r="211" spans="1:17" ht="30" x14ac:dyDescent="0.35">
      <c r="A211" s="14">
        <f>IF(base!A211="","",base!A211)</f>
        <v>6200209</v>
      </c>
      <c r="B211" s="13">
        <f>IF(base!BN211="","",base!BN211)</f>
        <v>46303.625</v>
      </c>
      <c r="C211" s="12" t="str">
        <f>IF(base!C211="","",base!C211)</f>
        <v>ZETABURGOS SRL</v>
      </c>
      <c r="D211" s="12" t="str">
        <f>IF(base!E211="","",base!E211)</f>
        <v>REPROGRAMACIÓN</v>
      </c>
      <c r="E211" s="12" t="str">
        <f>IF(base!BF211="","",base!BF211)</f>
        <v/>
      </c>
      <c r="F211" s="12" t="str">
        <f>IF(D211="","",IF(OR(ISNUMBER(SEARCH("VISITA",D211)),ISNUMBER(SEARCH("RUTA",D211)),ISNUMBER(SEARCH("ARRIB",D211)),ISNUMBER(SEARCH("MATRIZ",D211)),ISNUMBER(SEARCH("PENDIENTE",D211))),"VISITA COORDINADA CON EL CLIENTE","N/A"))</f>
        <v>N/A</v>
      </c>
      <c r="G211" s="12" t="str">
        <f>IF(base!G211="","",base!G211)</f>
        <v>2000018857041302</v>
      </c>
      <c r="H211" s="12" t="str">
        <f>IF(base!I211="","",base!I211)</f>
        <v>FLEX</v>
      </c>
      <c r="I211" s="12" t="str">
        <f>IF(base!S211="","",base!S211)</f>
        <v>Prueba 209</v>
      </c>
      <c r="J211" s="12" t="str">
        <f>IF(base!T211="","",base!T211)</f>
        <v>Calle 123
Piso 2</v>
      </c>
      <c r="K211" s="12" t="str">
        <f>IF(base!U211="","",base!U211)</f>
        <v/>
      </c>
      <c r="L211" s="12" t="str">
        <f>IF(base!Y211="","",base!Y211)</f>
        <v/>
      </c>
      <c r="M211" s="12" t="str">
        <f>IF(base!AH211="","",base!AH211)</f>
        <v/>
      </c>
      <c r="N211" s="12" t="str">
        <f>IF(base!AI211="","",base!AI211)</f>
        <v>34.072273</v>
      </c>
      <c r="O211" s="12">
        <f>IF(base!BA211="","",base!BA211)</f>
        <v>1875</v>
      </c>
      <c r="P211" s="13">
        <f>IF(base!BK211="","",base!BK211)</f>
        <v>46303.805902777778</v>
      </c>
      <c r="Q211" s="15" t="str">
        <f>IF(base!BS211="","",base!BS211)</f>
        <v/>
      </c>
    </row>
    <row r="212" spans="1:17" ht="30" x14ac:dyDescent="0.35">
      <c r="A212" s="14">
        <f>IF(base!A212="","",base!A212)</f>
        <v>6200210</v>
      </c>
      <c r="B212" s="13">
        <f>IF(base!BN212="","",base!BN212)</f>
        <v>46303.625</v>
      </c>
      <c r="C212" s="12" t="str">
        <f>IF(base!C212="","",base!C212)</f>
        <v>ZETABURGOS SRL</v>
      </c>
      <c r="D212" s="12" t="str">
        <f>IF(base!E212="","",base!E212)</f>
        <v>1RVT - 1° VISITA</v>
      </c>
      <c r="E212" s="12" t="str">
        <f>IF(base!BF212="","",base!BF212)</f>
        <v/>
      </c>
      <c r="F212" s="12" t="str">
        <f>IF(D212="","",IF(OR(ISNUMBER(SEARCH("VISITA",D212)),ISNUMBER(SEARCH("RUTA",D212)),ISNUMBER(SEARCH("ARRIB",D212)),ISNUMBER(SEARCH("MATRIZ",D212)),ISNUMBER(SEARCH("PENDIENTE",D212))),"VISITA COORDINADA CON EL CLIENTE","N/A"))</f>
        <v>VISITA COORDINADA CON EL CLIENTE</v>
      </c>
      <c r="G212" s="12" t="str">
        <f>IF(base!G212="","",base!G212)</f>
        <v>001234</v>
      </c>
      <c r="H212" s="12" t="str">
        <f>IF(base!I212="","",base!I212)</f>
        <v>FLEX</v>
      </c>
      <c r="I212" s="12" t="str">
        <f>IF(base!S212="","",base!S212)</f>
        <v>Prueba 210</v>
      </c>
      <c r="J212" s="12" t="str">
        <f>IF(base!T212="","",base!T212)</f>
        <v>Calle 123
Piso 2</v>
      </c>
      <c r="K212" s="12" t="str">
        <f>IF(base!U212="","",base!U212)</f>
        <v/>
      </c>
      <c r="L212" s="12" t="str">
        <f>IF(base!Y212="","",base!Y212)</f>
        <v/>
      </c>
      <c r="M212" s="12" t="str">
        <f>IF(base!AH212="","",base!AH212)</f>
        <v/>
      </c>
      <c r="N212" s="12" t="str">
        <f>IF(base!AI212="","",base!AI212)</f>
        <v>34.072273</v>
      </c>
      <c r="O212" s="12">
        <f>IF(base!BA212="","",base!BA212)</f>
        <v>1875</v>
      </c>
      <c r="P212" s="13">
        <f>IF(base!BK212="","",base!BK212)</f>
        <v>46303.805902777778</v>
      </c>
      <c r="Q212" s="15" t="str">
        <f>IF(base!BS212="","",base!BS212)</f>
        <v/>
      </c>
    </row>
    <row r="213" spans="1:17" ht="30" x14ac:dyDescent="0.35">
      <c r="A213" s="14">
        <f>IF(base!A213="","",base!A213)</f>
        <v>6200211</v>
      </c>
      <c r="B213" s="13">
        <f>IF(base!BN213="","",base!BN213)</f>
        <v>46303.625</v>
      </c>
      <c r="C213" s="12" t="str">
        <f>IF(base!C213="","",base!C213)</f>
        <v>ZETABURGOS SRL</v>
      </c>
      <c r="D213" s="12" t="str">
        <f>IF(base!E213="","",base!E213)</f>
        <v>ENTREGADO</v>
      </c>
      <c r="E213" s="12" t="str">
        <f>IF(base!BF213="","",base!BF213)</f>
        <v/>
      </c>
      <c r="F213" s="12" t="str">
        <f>IF(D213="","",IF(OR(ISNUMBER(SEARCH("VISITA",D213)),ISNUMBER(SEARCH("RUTA",D213)),ISNUMBER(SEARCH("ARRIB",D213)),ISNUMBER(SEARCH("MATRIZ",D213)),ISNUMBER(SEARCH("PENDIENTE",D213))),"VISITA COORDINADA CON EL CLIENTE","N/A"))</f>
        <v>N/A</v>
      </c>
      <c r="G213" s="12" t="str">
        <f>"#ABC"</f>
        <v>#ABC</v>
      </c>
      <c r="H213" s="12" t="str">
        <f>IF(base!I213="","",base!I213)</f>
        <v>SAMEDAY</v>
      </c>
      <c r="I213" s="12" t="str">
        <f>IF(base!S213="","",base!S213)</f>
        <v>Prueba 211</v>
      </c>
      <c r="J213" s="12" t="str">
        <f>IF(base!T213="","",base!T213)</f>
        <v>Calle 123
Piso 2</v>
      </c>
      <c r="K213" s="12" t="str">
        <f>IF(base!U213="","",base!U213)</f>
        <v/>
      </c>
      <c r="L213" s="12" t="str">
        <f>IF(base!Y213="","",base!Y213)</f>
        <v/>
      </c>
      <c r="M213" s="12" t="str">
        <f>IF(base!AH213="","",base!AH213)</f>
        <v/>
      </c>
      <c r="N213" s="12" t="str">
        <f>IF(base!AI213="","",base!AI213)</f>
        <v>34.072273</v>
      </c>
      <c r="O213" s="12">
        <f>IF(base!BA213="","",base!BA213)</f>
        <v>1875</v>
      </c>
      <c r="P213" s="13">
        <f>IF(base!BK213="","",base!BK213)</f>
        <v>46303.805902777778</v>
      </c>
      <c r="Q213" s="15" t="str">
        <f>IF(base!BS213="","",base!BS213)</f>
        <v/>
      </c>
    </row>
    <row r="214" spans="1:17" ht="30" x14ac:dyDescent="0.35">
      <c r="A214" s="14">
        <f>IF(base!A214="","",base!A214)</f>
        <v>6200212</v>
      </c>
      <c r="B214" s="13">
        <f>IF(base!BN214="","",base!BN214)</f>
        <v>46303.625</v>
      </c>
      <c r="C214" s="12" t="str">
        <f>IF(base!C214="","",base!C214)</f>
        <v>ZETABURGOS SRL</v>
      </c>
      <c r="D214" s="12" t="str">
        <f>IF(base!E214="","",base!E214)</f>
        <v>REPROGRAMACIÓN</v>
      </c>
      <c r="E214" s="12" t="str">
        <f>IF(base!BF214="","",base!BF214)</f>
        <v/>
      </c>
      <c r="F214" s="12" t="str">
        <f>IF(D214="","",IF(OR(ISNUMBER(SEARCH("VISITA",D214)),ISNUMBER(SEARCH("RUTA",D214)),ISNUMBER(SEARCH("ARRIB",D214)),ISNUMBER(SEARCH("MATRIZ",D214)),ISNUMBER(SEARCH("PENDIENTE",D214))),"VISITA COORDINADA CON EL CLIENTE","N/A"))</f>
        <v>N/A</v>
      </c>
      <c r="G214" s="12">
        <f>IF(base!G214="","",base!G214)</f>
        <v>470123456</v>
      </c>
      <c r="H214" s="12" t="str">
        <f>IF(base!I214="","",base!I214)</f>
        <v>FLEX</v>
      </c>
      <c r="I214" s="12" t="str">
        <f>IF(base!S214="","",base!S214)</f>
        <v>Prueba 212</v>
      </c>
      <c r="J214" s="12" t="str">
        <f>IF(base!T214="","",base!T214)</f>
        <v>Calle 123
Piso 2</v>
      </c>
      <c r="K214" s="12" t="str">
        <f>IF(base!U214="","",base!U214)</f>
        <v/>
      </c>
      <c r="L214" s="12" t="str">
        <f>IF(base!Y214="","",base!Y214)</f>
        <v/>
      </c>
      <c r="M214" s="12" t="str">
        <f>IF(base!AH214="","",base!AH214)</f>
        <v/>
      </c>
      <c r="N214" s="12" t="str">
        <f>IF(base!AI214="","",base!AI214)</f>
        <v>34.072273</v>
      </c>
      <c r="O214" s="12">
        <f>IF(base!BA214="","",base!BA214)</f>
        <v>1875</v>
      </c>
      <c r="P214" s="13">
        <f>IF(base!BK214="","",base!BK214)</f>
        <v>46303.805902777778</v>
      </c>
      <c r="Q214" s="15" t="str">
        <f>IF(base!BS214="","",base!BS214)</f>
        <v/>
      </c>
    </row>
    <row r="215" spans="1:17" ht="30" x14ac:dyDescent="0.35">
      <c r="A215" s="14">
        <f>IF(base!A215="","",base!A215)</f>
        <v>6200213</v>
      </c>
      <c r="B215" s="13">
        <f>IF(base!BN215="","",base!BN215)</f>
        <v>46303.625</v>
      </c>
      <c r="C215" s="12" t="str">
        <f>IF(base!C215="","",base!C215)</f>
        <v>ZETABURGOS SRL</v>
      </c>
      <c r="D215" s="12" t="str">
        <f>IF(base!E215="","",base!E215)</f>
        <v>1RVT - 1° VISITA</v>
      </c>
      <c r="E215" s="12" t="str">
        <f>IF(base!BF215="","",base!BF215)</f>
        <v/>
      </c>
      <c r="F215" s="12" t="str">
        <f>IF(D215="","",IF(OR(ISNUMBER(SEARCH("VISITA",D215)),ISNUMBER(SEARCH("RUTA",D215)),ISNUMBER(SEARCH("ARRIB",D215)),ISNUMBER(SEARCH("MATRIZ",D215)),ISNUMBER(SEARCH("PENDIENTE",D215))),"VISITA COORDINADA CON EL CLIENTE","N/A"))</f>
        <v>VISITA COORDINADA CON EL CLIENTE</v>
      </c>
      <c r="G215" s="12" t="str">
        <f>IF(base!G215="","",base!G215)</f>
        <v>ABC001</v>
      </c>
      <c r="H215" s="12" t="str">
        <f>IF(base!I215="","",base!I215)</f>
        <v>SAMEDAY</v>
      </c>
      <c r="I215" s="12" t="str">
        <f>IF(base!S215="","",base!S215)</f>
        <v>Prueba 213</v>
      </c>
      <c r="J215" s="12" t="str">
        <f>IF(base!T215="","",base!T215)</f>
        <v>Calle 123
Piso 2</v>
      </c>
      <c r="K215" s="12" t="str">
        <f>IF(base!U215="","",base!U215)</f>
        <v/>
      </c>
      <c r="L215" s="12" t="str">
        <f>IF(base!Y215="","",base!Y215)</f>
        <v/>
      </c>
      <c r="M215" s="12" t="str">
        <f>IF(base!AH215="","",base!AH215)</f>
        <v/>
      </c>
      <c r="N215" s="12" t="str">
        <f>IF(base!AI215="","",base!AI215)</f>
        <v>34.072273</v>
      </c>
      <c r="O215" s="12">
        <f>IF(base!BA215="","",base!BA215)</f>
        <v>1875</v>
      </c>
      <c r="P215" s="13">
        <f>IF(base!BK215="","",base!BK215)</f>
        <v>46303.805902777778</v>
      </c>
      <c r="Q215" s="15" t="str">
        <f>IF(base!BS215="","",base!BS215)</f>
        <v/>
      </c>
    </row>
    <row r="216" spans="1:17" ht="30" x14ac:dyDescent="0.35">
      <c r="A216" s="14">
        <f>IF(base!A216="","",base!A216)</f>
        <v>6200214</v>
      </c>
      <c r="B216" s="13">
        <f>IF(base!BN216="","",base!BN216)</f>
        <v>46303.625</v>
      </c>
      <c r="C216" s="12" t="str">
        <f>IF(base!C216="","",base!C216)</f>
        <v>ZETABURGOS SRL</v>
      </c>
      <c r="D216" s="12" t="str">
        <f>IF(base!E216="","",base!E216)</f>
        <v>ENTREGADO</v>
      </c>
      <c r="E216" s="12" t="str">
        <f>IF(base!BF216="","",base!BF216)</f>
        <v/>
      </c>
      <c r="F216" s="12" t="str">
        <f>IF(D216="","",IF(OR(ISNUMBER(SEARCH("VISITA",D216)),ISNUMBER(SEARCH("RUTA",D216)),ISNUMBER(SEARCH("ARRIB",D216)),ISNUMBER(SEARCH("MATRIZ",D216)),ISNUMBER(SEARCH("PENDIENTE",D216))),"VISITA COORDINADA CON EL CLIENTE","N/A"))</f>
        <v>N/A</v>
      </c>
      <c r="G216" s="12" t="str">
        <f>IF(base!G216="","",base!G216)</f>
        <v>2000018857041302</v>
      </c>
      <c r="H216" s="12" t="str">
        <f>IF(base!I216="","",base!I216)</f>
        <v>FLEX</v>
      </c>
      <c r="I216" s="12" t="str">
        <f>IF(base!S216="","",base!S216)</f>
        <v>Prueba 214</v>
      </c>
      <c r="J216" s="12" t="str">
        <f>IF(base!T216="","",base!T216)</f>
        <v>Calle 123
Piso 2</v>
      </c>
      <c r="K216" s="12" t="str">
        <f>IF(base!U216="","",base!U216)</f>
        <v/>
      </c>
      <c r="L216" s="12" t="str">
        <f>IF(base!Y216="","",base!Y216)</f>
        <v/>
      </c>
      <c r="M216" s="12" t="str">
        <f>IF(base!AH216="","",base!AH216)</f>
        <v/>
      </c>
      <c r="N216" s="12" t="str">
        <f>IF(base!AI216="","",base!AI216)</f>
        <v>34.072273</v>
      </c>
      <c r="O216" s="12">
        <f>IF(base!BA216="","",base!BA216)</f>
        <v>1875</v>
      </c>
      <c r="P216" s="13">
        <f>IF(base!BK216="","",base!BK216)</f>
        <v>46303.805902777778</v>
      </c>
      <c r="Q216" s="15" t="str">
        <f>IF(base!BS216="","",base!BS216)</f>
        <v/>
      </c>
    </row>
    <row r="217" spans="1:17" ht="30" x14ac:dyDescent="0.35">
      <c r="A217" s="14">
        <f>IF(base!A217="","",base!A217)</f>
        <v>6200215</v>
      </c>
      <c r="B217" s="13">
        <f>IF(base!BN217="","",base!BN217)</f>
        <v>46303.625</v>
      </c>
      <c r="C217" s="12" t="str">
        <f>IF(base!C217="","",base!C217)</f>
        <v>ZETABURGOS SRL</v>
      </c>
      <c r="D217" s="12" t="str">
        <f>IF(base!E217="","",base!E217)</f>
        <v>REPROGRAMACIÓN</v>
      </c>
      <c r="E217" s="12" t="str">
        <f>IF(base!BF217="","",base!BF217)</f>
        <v/>
      </c>
      <c r="F217" s="12" t="str">
        <f>IF(D217="","",IF(OR(ISNUMBER(SEARCH("VISITA",D217)),ISNUMBER(SEARCH("RUTA",D217)),ISNUMBER(SEARCH("ARRIB",D217)),ISNUMBER(SEARCH("MATRIZ",D217)),ISNUMBER(SEARCH("PENDIENTE",D217))),"VISITA COORDINADA CON EL CLIENTE","N/A"))</f>
        <v>N/A</v>
      </c>
      <c r="G217" s="12" t="str">
        <f>IF(base!G217="","",base!G217)</f>
        <v>001234</v>
      </c>
      <c r="H217" s="12" t="str">
        <f>IF(base!I217="","",base!I217)</f>
        <v>FLEX</v>
      </c>
      <c r="I217" s="12" t="str">
        <f>IF(base!S217="","",base!S217)</f>
        <v>Prueba 215</v>
      </c>
      <c r="J217" s="12" t="str">
        <f>IF(base!T217="","",base!T217)</f>
        <v>Calle 123
Piso 2</v>
      </c>
      <c r="K217" s="12" t="str">
        <f>IF(base!U217="","",base!U217)</f>
        <v/>
      </c>
      <c r="L217" s="12" t="str">
        <f>IF(base!Y217="","",base!Y217)</f>
        <v/>
      </c>
      <c r="M217" s="12" t="str">
        <f>IF(base!AH217="","",base!AH217)</f>
        <v/>
      </c>
      <c r="N217" s="12" t="str">
        <f>IF(base!AI217="","",base!AI217)</f>
        <v>34.072273</v>
      </c>
      <c r="O217" s="12">
        <f>IF(base!BA217="","",base!BA217)</f>
        <v>1875</v>
      </c>
      <c r="P217" s="13">
        <f>IF(base!BK217="","",base!BK217)</f>
        <v>46303.805902777778</v>
      </c>
      <c r="Q217" s="15" t="str">
        <f>IF(base!BS217="","",base!BS217)</f>
        <v/>
      </c>
    </row>
    <row r="218" spans="1:17" ht="30" x14ac:dyDescent="0.35">
      <c r="A218" s="14">
        <f>IF(base!A218="","",base!A218)</f>
        <v>6200216</v>
      </c>
      <c r="B218" s="13">
        <f>IF(base!BN218="","",base!BN218)</f>
        <v>46303.625</v>
      </c>
      <c r="C218" s="12" t="str">
        <f>IF(base!C218="","",base!C218)</f>
        <v>ZETABURGOS SRL</v>
      </c>
      <c r="D218" s="12" t="str">
        <f>IF(base!E218="","",base!E218)</f>
        <v>1RVT - 1° VISITA</v>
      </c>
      <c r="E218" s="12" t="str">
        <f>IF(base!BF218="","",base!BF218)</f>
        <v/>
      </c>
      <c r="F218" s="12" t="str">
        <f>IF(D218="","",IF(OR(ISNUMBER(SEARCH("VISITA",D218)),ISNUMBER(SEARCH("RUTA",D218)),ISNUMBER(SEARCH("ARRIB",D218)),ISNUMBER(SEARCH("MATRIZ",D218)),ISNUMBER(SEARCH("PENDIENTE",D218))),"VISITA COORDINADA CON EL CLIENTE","N/A"))</f>
        <v>VISITA COORDINADA CON EL CLIENTE</v>
      </c>
      <c r="G218" s="12" t="str">
        <f>"#ABC"</f>
        <v>#ABC</v>
      </c>
      <c r="H218" s="12" t="str">
        <f>IF(base!I218="","",base!I218)</f>
        <v>SAMEDAY</v>
      </c>
      <c r="I218" s="12" t="str">
        <f>IF(base!S218="","",base!S218)</f>
        <v>Prueba 216</v>
      </c>
      <c r="J218" s="12" t="str">
        <f>IF(base!T218="","",base!T218)</f>
        <v>Calle 123
Piso 2</v>
      </c>
      <c r="K218" s="12" t="str">
        <f>IF(base!U218="","",base!U218)</f>
        <v/>
      </c>
      <c r="L218" s="12" t="str">
        <f>IF(base!Y218="","",base!Y218)</f>
        <v/>
      </c>
      <c r="M218" s="12" t="str">
        <f>IF(base!AH218="","",base!AH218)</f>
        <v/>
      </c>
      <c r="N218" s="12" t="str">
        <f>IF(base!AI218="","",base!AI218)</f>
        <v>34.072273</v>
      </c>
      <c r="O218" s="12">
        <f>IF(base!BA218="","",base!BA218)</f>
        <v>1875</v>
      </c>
      <c r="P218" s="13">
        <f>IF(base!BK218="","",base!BK218)</f>
        <v>46303.805902777778</v>
      </c>
      <c r="Q218" s="15" t="str">
        <f>IF(base!BS218="","",base!BS218)</f>
        <v/>
      </c>
    </row>
    <row r="219" spans="1:17" ht="30" x14ac:dyDescent="0.35">
      <c r="A219" s="14">
        <f>IF(base!A219="","",base!A219)</f>
        <v>6200217</v>
      </c>
      <c r="B219" s="13">
        <f>IF(base!BN219="","",base!BN219)</f>
        <v>46303.625</v>
      </c>
      <c r="C219" s="12" t="str">
        <f>IF(base!C219="","",base!C219)</f>
        <v>ZETABURGOS SRL</v>
      </c>
      <c r="D219" s="12" t="str">
        <f>IF(base!E219="","",base!E219)</f>
        <v>ENTREGADO</v>
      </c>
      <c r="E219" s="12" t="str">
        <f>IF(base!BF219="","",base!BF219)</f>
        <v/>
      </c>
      <c r="F219" s="12" t="str">
        <f>IF(D219="","",IF(OR(ISNUMBER(SEARCH("VISITA",D219)),ISNUMBER(SEARCH("RUTA",D219)),ISNUMBER(SEARCH("ARRIB",D219)),ISNUMBER(SEARCH("MATRIZ",D219)),ISNUMBER(SEARCH("PENDIENTE",D219))),"VISITA COORDINADA CON EL CLIENTE","N/A"))</f>
        <v>N/A</v>
      </c>
      <c r="G219" s="12">
        <f>IF(base!G219="","",base!G219)</f>
        <v>470123456</v>
      </c>
      <c r="H219" s="12" t="str">
        <f>IF(base!I219="","",base!I219)</f>
        <v>FLEX</v>
      </c>
      <c r="I219" s="12" t="str">
        <f>IF(base!S219="","",base!S219)</f>
        <v>Prueba 217</v>
      </c>
      <c r="J219" s="12" t="str">
        <f>IF(base!T219="","",base!T219)</f>
        <v>Calle 123
Piso 2</v>
      </c>
      <c r="K219" s="12" t="str">
        <f>IF(base!U219="","",base!U219)</f>
        <v/>
      </c>
      <c r="L219" s="12" t="str">
        <f>IF(base!Y219="","",base!Y219)</f>
        <v/>
      </c>
      <c r="M219" s="12" t="str">
        <f>IF(base!AH219="","",base!AH219)</f>
        <v/>
      </c>
      <c r="N219" s="12" t="str">
        <f>IF(base!AI219="","",base!AI219)</f>
        <v>34.072273</v>
      </c>
      <c r="O219" s="12">
        <f>IF(base!BA219="","",base!BA219)</f>
        <v>1875</v>
      </c>
      <c r="P219" s="13">
        <f>IF(base!BK219="","",base!BK219)</f>
        <v>46303.805902777778</v>
      </c>
      <c r="Q219" s="15" t="str">
        <f>IF(base!BS219="","",base!BS219)</f>
        <v/>
      </c>
    </row>
    <row r="220" spans="1:17" ht="30" x14ac:dyDescent="0.35">
      <c r="A220" s="14">
        <f>IF(base!A220="","",base!A220)</f>
        <v>6200218</v>
      </c>
      <c r="B220" s="13">
        <f>IF(base!BN220="","",base!BN220)</f>
        <v>46303.625</v>
      </c>
      <c r="C220" s="12" t="str">
        <f>IF(base!C220="","",base!C220)</f>
        <v>ZETABURGOS SRL</v>
      </c>
      <c r="D220" s="12" t="str">
        <f>IF(base!E220="","",base!E220)</f>
        <v>REPROGRAMACIÓN</v>
      </c>
      <c r="E220" s="12" t="str">
        <f>IF(base!BF220="","",base!BF220)</f>
        <v/>
      </c>
      <c r="F220" s="12" t="str">
        <f>IF(D220="","",IF(OR(ISNUMBER(SEARCH("VISITA",D220)),ISNUMBER(SEARCH("RUTA",D220)),ISNUMBER(SEARCH("ARRIB",D220)),ISNUMBER(SEARCH("MATRIZ",D220)),ISNUMBER(SEARCH("PENDIENTE",D220))),"VISITA COORDINADA CON EL CLIENTE","N/A"))</f>
        <v>N/A</v>
      </c>
      <c r="G220" s="12" t="str">
        <f>IF(base!G220="","",base!G220)</f>
        <v>ABC001</v>
      </c>
      <c r="H220" s="12" t="str">
        <f>IF(base!I220="","",base!I220)</f>
        <v>SAMEDAY</v>
      </c>
      <c r="I220" s="12" t="str">
        <f>IF(base!S220="","",base!S220)</f>
        <v>Prueba 218</v>
      </c>
      <c r="J220" s="12" t="str">
        <f>IF(base!T220="","",base!T220)</f>
        <v>Calle 123
Piso 2</v>
      </c>
      <c r="K220" s="12" t="str">
        <f>IF(base!U220="","",base!U220)</f>
        <v/>
      </c>
      <c r="L220" s="12" t="str">
        <f>IF(base!Y220="","",base!Y220)</f>
        <v/>
      </c>
      <c r="M220" s="12" t="str">
        <f>IF(base!AH220="","",base!AH220)</f>
        <v/>
      </c>
      <c r="N220" s="12" t="str">
        <f>IF(base!AI220="","",base!AI220)</f>
        <v>34.072273</v>
      </c>
      <c r="O220" s="12">
        <f>IF(base!BA220="","",base!BA220)</f>
        <v>1875</v>
      </c>
      <c r="P220" s="13">
        <f>IF(base!BK220="","",base!BK220)</f>
        <v>46303.805902777778</v>
      </c>
      <c r="Q220" s="15" t="str">
        <f>IF(base!BS220="","",base!BS220)</f>
        <v/>
      </c>
    </row>
    <row r="221" spans="1:17" ht="30" x14ac:dyDescent="0.35">
      <c r="A221" s="14">
        <f>IF(base!A221="","",base!A221)</f>
        <v>6200219</v>
      </c>
      <c r="B221" s="13">
        <f>IF(base!BN221="","",base!BN221)</f>
        <v>46303.625</v>
      </c>
      <c r="C221" s="12" t="str">
        <f>IF(base!C221="","",base!C221)</f>
        <v>ZETABURGOS SRL</v>
      </c>
      <c r="D221" s="12" t="str">
        <f>IF(base!E221="","",base!E221)</f>
        <v>1RVT - 1° VISITA</v>
      </c>
      <c r="E221" s="12" t="str">
        <f>IF(base!BF221="","",base!BF221)</f>
        <v/>
      </c>
      <c r="F221" s="12" t="str">
        <f>IF(D221="","",IF(OR(ISNUMBER(SEARCH("VISITA",D221)),ISNUMBER(SEARCH("RUTA",D221)),ISNUMBER(SEARCH("ARRIB",D221)),ISNUMBER(SEARCH("MATRIZ",D221)),ISNUMBER(SEARCH("PENDIENTE",D221))),"VISITA COORDINADA CON EL CLIENTE","N/A"))</f>
        <v>VISITA COORDINADA CON EL CLIENTE</v>
      </c>
      <c r="G221" s="12" t="str">
        <f>IF(base!G221="","",base!G221)</f>
        <v>2000018857041302</v>
      </c>
      <c r="H221" s="12" t="str">
        <f>IF(base!I221="","",base!I221)</f>
        <v>FLEX</v>
      </c>
      <c r="I221" s="12" t="str">
        <f>IF(base!S221="","",base!S221)</f>
        <v>Prueba 219</v>
      </c>
      <c r="J221" s="12" t="str">
        <f>IF(base!T221="","",base!T221)</f>
        <v>Calle 123
Piso 2</v>
      </c>
      <c r="K221" s="12" t="str">
        <f>IF(base!U221="","",base!U221)</f>
        <v/>
      </c>
      <c r="L221" s="12" t="str">
        <f>IF(base!Y221="","",base!Y221)</f>
        <v/>
      </c>
      <c r="M221" s="12" t="str">
        <f>IF(base!AH221="","",base!AH221)</f>
        <v/>
      </c>
      <c r="N221" s="12" t="str">
        <f>IF(base!AI221="","",base!AI221)</f>
        <v>34.072273</v>
      </c>
      <c r="O221" s="12">
        <f>IF(base!BA221="","",base!BA221)</f>
        <v>1875</v>
      </c>
      <c r="P221" s="13">
        <f>IF(base!BK221="","",base!BK221)</f>
        <v>46303.805902777778</v>
      </c>
      <c r="Q221" s="15" t="str">
        <f>IF(base!BS221="","",base!BS221)</f>
        <v/>
      </c>
    </row>
    <row r="222" spans="1:17" ht="30" x14ac:dyDescent="0.35">
      <c r="A222" s="14">
        <f>IF(base!A222="","",base!A222)</f>
        <v>6200220</v>
      </c>
      <c r="B222" s="13">
        <f>IF(base!BN222="","",base!BN222)</f>
        <v>46303.625</v>
      </c>
      <c r="C222" s="12" t="str">
        <f>IF(base!C222="","",base!C222)</f>
        <v>ZETABURGOS SRL</v>
      </c>
      <c r="D222" s="12" t="str">
        <f>IF(base!E222="","",base!E222)</f>
        <v>ENTREGADO</v>
      </c>
      <c r="E222" s="12" t="str">
        <f>IF(base!BF222="","",base!BF222)</f>
        <v/>
      </c>
      <c r="F222" s="12" t="str">
        <f>IF(D222="","",IF(OR(ISNUMBER(SEARCH("VISITA",D222)),ISNUMBER(SEARCH("RUTA",D222)),ISNUMBER(SEARCH("ARRIB",D222)),ISNUMBER(SEARCH("MATRIZ",D222)),ISNUMBER(SEARCH("PENDIENTE",D222))),"VISITA COORDINADA CON EL CLIENTE","N/A"))</f>
        <v>N/A</v>
      </c>
      <c r="G222" s="12" t="str">
        <f>IF(base!G222="","",base!G222)</f>
        <v>001234</v>
      </c>
      <c r="H222" s="12" t="str">
        <f>IF(base!I222="","",base!I222)</f>
        <v>FLEX</v>
      </c>
      <c r="I222" s="12" t="str">
        <f>IF(base!S222="","",base!S222)</f>
        <v>Prueba 220</v>
      </c>
      <c r="J222" s="12" t="str">
        <f>IF(base!T222="","",base!T222)</f>
        <v>Calle 123
Piso 2</v>
      </c>
      <c r="K222" s="12" t="str">
        <f>IF(base!U222="","",base!U222)</f>
        <v/>
      </c>
      <c r="L222" s="12" t="str">
        <f>IF(base!Y222="","",base!Y222)</f>
        <v/>
      </c>
      <c r="M222" s="12" t="str">
        <f>IF(base!AH222="","",base!AH222)</f>
        <v/>
      </c>
      <c r="N222" s="12" t="str">
        <f>IF(base!AI222="","",base!AI222)</f>
        <v>34.072273</v>
      </c>
      <c r="O222" s="12">
        <f>IF(base!BA222="","",base!BA222)</f>
        <v>1875</v>
      </c>
      <c r="P222" s="13">
        <f>IF(base!BK222="","",base!BK222)</f>
        <v>46303.805902777778</v>
      </c>
      <c r="Q222" s="15" t="str">
        <f>IF(base!BS222="","",base!BS222)</f>
        <v/>
      </c>
    </row>
    <row r="223" spans="1:17" ht="30" x14ac:dyDescent="0.35">
      <c r="A223" s="14">
        <f>IF(base!A223="","",base!A223)</f>
        <v>6200221</v>
      </c>
      <c r="B223" s="13">
        <f>IF(base!BN223="","",base!BN223)</f>
        <v>46303.625</v>
      </c>
      <c r="C223" s="12" t="str">
        <f>IF(base!C223="","",base!C223)</f>
        <v>ZETABURGOS SRL</v>
      </c>
      <c r="D223" s="12" t="str">
        <f>IF(base!E223="","",base!E223)</f>
        <v>REPROGRAMACIÓN</v>
      </c>
      <c r="E223" s="12" t="str">
        <f>IF(base!BF223="","",base!BF223)</f>
        <v/>
      </c>
      <c r="F223" s="12" t="str">
        <f>IF(D223="","",IF(OR(ISNUMBER(SEARCH("VISITA",D223)),ISNUMBER(SEARCH("RUTA",D223)),ISNUMBER(SEARCH("ARRIB",D223)),ISNUMBER(SEARCH("MATRIZ",D223)),ISNUMBER(SEARCH("PENDIENTE",D223))),"VISITA COORDINADA CON EL CLIENTE","N/A"))</f>
        <v>N/A</v>
      </c>
      <c r="G223" s="12" t="str">
        <f>"#ABC"</f>
        <v>#ABC</v>
      </c>
      <c r="H223" s="12" t="str">
        <f>IF(base!I223="","",base!I223)</f>
        <v>SAMEDAY</v>
      </c>
      <c r="I223" s="12" t="str">
        <f>IF(base!S223="","",base!S223)</f>
        <v>Prueba 221</v>
      </c>
      <c r="J223" s="12" t="str">
        <f>IF(base!T223="","",base!T223)</f>
        <v>Calle 123
Piso 2</v>
      </c>
      <c r="K223" s="12" t="str">
        <f>IF(base!U223="","",base!U223)</f>
        <v/>
      </c>
      <c r="L223" s="12" t="str">
        <f>IF(base!Y223="","",base!Y223)</f>
        <v/>
      </c>
      <c r="M223" s="12" t="str">
        <f>IF(base!AH223="","",base!AH223)</f>
        <v/>
      </c>
      <c r="N223" s="12" t="str">
        <f>IF(base!AI223="","",base!AI223)</f>
        <v>34.072273</v>
      </c>
      <c r="O223" s="12">
        <f>IF(base!BA223="","",base!BA223)</f>
        <v>1875</v>
      </c>
      <c r="P223" s="13">
        <f>IF(base!BK223="","",base!BK223)</f>
        <v>46303.805902777778</v>
      </c>
      <c r="Q223" s="15" t="str">
        <f>IF(base!BS223="","",base!BS223)</f>
        <v/>
      </c>
    </row>
    <row r="224" spans="1:17" ht="30" x14ac:dyDescent="0.35">
      <c r="A224" s="14">
        <f>IF(base!A224="","",base!A224)</f>
        <v>6200222</v>
      </c>
      <c r="B224" s="13">
        <f>IF(base!BN224="","",base!BN224)</f>
        <v>46303.625</v>
      </c>
      <c r="C224" s="12" t="str">
        <f>IF(base!C224="","",base!C224)</f>
        <v>ZETABURGOS SRL</v>
      </c>
      <c r="D224" s="12" t="str">
        <f>IF(base!E224="","",base!E224)</f>
        <v>1RVT - 1° VISITA</v>
      </c>
      <c r="E224" s="12" t="str">
        <f>IF(base!BF224="","",base!BF224)</f>
        <v/>
      </c>
      <c r="F224" s="12" t="str">
        <f>IF(D224="","",IF(OR(ISNUMBER(SEARCH("VISITA",D224)),ISNUMBER(SEARCH("RUTA",D224)),ISNUMBER(SEARCH("ARRIB",D224)),ISNUMBER(SEARCH("MATRIZ",D224)),ISNUMBER(SEARCH("PENDIENTE",D224))),"VISITA COORDINADA CON EL CLIENTE","N/A"))</f>
        <v>VISITA COORDINADA CON EL CLIENTE</v>
      </c>
      <c r="G224" s="12">
        <f>IF(base!G224="","",base!G224)</f>
        <v>470123456</v>
      </c>
      <c r="H224" s="12" t="str">
        <f>IF(base!I224="","",base!I224)</f>
        <v>FLEX</v>
      </c>
      <c r="I224" s="12" t="str">
        <f>IF(base!S224="","",base!S224)</f>
        <v>Prueba 222</v>
      </c>
      <c r="J224" s="12" t="str">
        <f>IF(base!T224="","",base!T224)</f>
        <v>Calle 123
Piso 2</v>
      </c>
      <c r="K224" s="12" t="str">
        <f>IF(base!U224="","",base!U224)</f>
        <v/>
      </c>
      <c r="L224" s="12" t="str">
        <f>IF(base!Y224="","",base!Y224)</f>
        <v/>
      </c>
      <c r="M224" s="12" t="str">
        <f>IF(base!AH224="","",base!AH224)</f>
        <v/>
      </c>
      <c r="N224" s="12" t="str">
        <f>IF(base!AI224="","",base!AI224)</f>
        <v>34.072273</v>
      </c>
      <c r="O224" s="12">
        <f>IF(base!BA224="","",base!BA224)</f>
        <v>1875</v>
      </c>
      <c r="P224" s="13">
        <f>IF(base!BK224="","",base!BK224)</f>
        <v>46303.805902777778</v>
      </c>
      <c r="Q224" s="15" t="str">
        <f>IF(base!BS224="","",base!BS224)</f>
        <v/>
      </c>
    </row>
    <row r="225" spans="1:17" ht="30" x14ac:dyDescent="0.35">
      <c r="A225" s="14">
        <f>IF(base!A225="","",base!A225)</f>
        <v>6200223</v>
      </c>
      <c r="B225" s="13">
        <f>IF(base!BN225="","",base!BN225)</f>
        <v>46303.625</v>
      </c>
      <c r="C225" s="12" t="str">
        <f>IF(base!C225="","",base!C225)</f>
        <v>ZETABURGOS SRL</v>
      </c>
      <c r="D225" s="12" t="str">
        <f>IF(base!E225="","",base!E225)</f>
        <v>ENTREGADO</v>
      </c>
      <c r="E225" s="12" t="str">
        <f>IF(base!BF225="","",base!BF225)</f>
        <v/>
      </c>
      <c r="F225" s="12" t="str">
        <f>IF(D225="","",IF(OR(ISNUMBER(SEARCH("VISITA",D225)),ISNUMBER(SEARCH("RUTA",D225)),ISNUMBER(SEARCH("ARRIB",D225)),ISNUMBER(SEARCH("MATRIZ",D225)),ISNUMBER(SEARCH("PENDIENTE",D225))),"VISITA COORDINADA CON EL CLIENTE","N/A"))</f>
        <v>N/A</v>
      </c>
      <c r="G225" s="12" t="str">
        <f>IF(base!G225="","",base!G225)</f>
        <v>ABC001</v>
      </c>
      <c r="H225" s="12" t="str">
        <f>IF(base!I225="","",base!I225)</f>
        <v>SAMEDAY</v>
      </c>
      <c r="I225" s="12" t="str">
        <f>IF(base!S225="","",base!S225)</f>
        <v>Prueba 223</v>
      </c>
      <c r="J225" s="12" t="str">
        <f>IF(base!T225="","",base!T225)</f>
        <v>Calle 123
Piso 2</v>
      </c>
      <c r="K225" s="12" t="str">
        <f>IF(base!U225="","",base!U225)</f>
        <v/>
      </c>
      <c r="L225" s="12" t="str">
        <f>IF(base!Y225="","",base!Y225)</f>
        <v/>
      </c>
      <c r="M225" s="12" t="str">
        <f>IF(base!AH225="","",base!AH225)</f>
        <v/>
      </c>
      <c r="N225" s="12" t="str">
        <f>IF(base!AI225="","",base!AI225)</f>
        <v>34.072273</v>
      </c>
      <c r="O225" s="12">
        <f>IF(base!BA225="","",base!BA225)</f>
        <v>1875</v>
      </c>
      <c r="P225" s="13">
        <f>IF(base!BK225="","",base!BK225)</f>
        <v>46303.805902777778</v>
      </c>
      <c r="Q225" s="15" t="str">
        <f>IF(base!BS225="","",base!BS225)</f>
        <v/>
      </c>
    </row>
    <row r="226" spans="1:17" ht="30" x14ac:dyDescent="0.35">
      <c r="A226" s="14">
        <f>IF(base!A226="","",base!A226)</f>
        <v>6200224</v>
      </c>
      <c r="B226" s="13">
        <f>IF(base!BN226="","",base!BN226)</f>
        <v>46303.625</v>
      </c>
      <c r="C226" s="12" t="str">
        <f>IF(base!C226="","",base!C226)</f>
        <v>ZETABURGOS SRL</v>
      </c>
      <c r="D226" s="12" t="str">
        <f>IF(base!E226="","",base!E226)</f>
        <v>REPROGRAMACIÓN</v>
      </c>
      <c r="E226" s="12" t="str">
        <f>IF(base!BF226="","",base!BF226)</f>
        <v/>
      </c>
      <c r="F226" s="12" t="str">
        <f>IF(D226="","",IF(OR(ISNUMBER(SEARCH("VISITA",D226)),ISNUMBER(SEARCH("RUTA",D226)),ISNUMBER(SEARCH("ARRIB",D226)),ISNUMBER(SEARCH("MATRIZ",D226)),ISNUMBER(SEARCH("PENDIENTE",D226))),"VISITA COORDINADA CON EL CLIENTE","N/A"))</f>
        <v>N/A</v>
      </c>
      <c r="G226" s="12" t="str">
        <f>IF(base!G226="","",base!G226)</f>
        <v>2000018857041302</v>
      </c>
      <c r="H226" s="12" t="str">
        <f>IF(base!I226="","",base!I226)</f>
        <v>FLEX</v>
      </c>
      <c r="I226" s="12" t="str">
        <f>IF(base!S226="","",base!S226)</f>
        <v>Prueba 224</v>
      </c>
      <c r="J226" s="12" t="str">
        <f>IF(base!T226="","",base!T226)</f>
        <v>Calle 123
Piso 2</v>
      </c>
      <c r="K226" s="12" t="str">
        <f>IF(base!U226="","",base!U226)</f>
        <v/>
      </c>
      <c r="L226" s="12" t="str">
        <f>IF(base!Y226="","",base!Y226)</f>
        <v/>
      </c>
      <c r="M226" s="12" t="str">
        <f>IF(base!AH226="","",base!AH226)</f>
        <v/>
      </c>
      <c r="N226" s="12" t="str">
        <f>IF(base!AI226="","",base!AI226)</f>
        <v>34.072273</v>
      </c>
      <c r="O226" s="12">
        <f>IF(base!BA226="","",base!BA226)</f>
        <v>1875</v>
      </c>
      <c r="P226" s="13">
        <f>IF(base!BK226="","",base!BK226)</f>
        <v>46303.805902777778</v>
      </c>
      <c r="Q226" s="15" t="str">
        <f>IF(base!BS226="","",base!BS226)</f>
        <v/>
      </c>
    </row>
    <row r="227" spans="1:17" ht="30" x14ac:dyDescent="0.35">
      <c r="A227" s="14">
        <f>IF(base!A227="","",base!A227)</f>
        <v>6200225</v>
      </c>
      <c r="B227" s="13">
        <f>IF(base!BN227="","",base!BN227)</f>
        <v>46303.625</v>
      </c>
      <c r="C227" s="12" t="str">
        <f>IF(base!C227="","",base!C227)</f>
        <v>ZETABURGOS SRL</v>
      </c>
      <c r="D227" s="12" t="str">
        <f>IF(base!E227="","",base!E227)</f>
        <v>1RVT - 1° VISITA</v>
      </c>
      <c r="E227" s="12" t="str">
        <f>IF(base!BF227="","",base!BF227)</f>
        <v/>
      </c>
      <c r="F227" s="12" t="str">
        <f>IF(D227="","",IF(OR(ISNUMBER(SEARCH("VISITA",D227)),ISNUMBER(SEARCH("RUTA",D227)),ISNUMBER(SEARCH("ARRIB",D227)),ISNUMBER(SEARCH("MATRIZ",D227)),ISNUMBER(SEARCH("PENDIENTE",D227))),"VISITA COORDINADA CON EL CLIENTE","N/A"))</f>
        <v>VISITA COORDINADA CON EL CLIENTE</v>
      </c>
      <c r="G227" s="12" t="str">
        <f>IF(base!G227="","",base!G227)</f>
        <v>001234</v>
      </c>
      <c r="H227" s="12" t="str">
        <f>IF(base!I227="","",base!I227)</f>
        <v>FLEX</v>
      </c>
      <c r="I227" s="12" t="str">
        <f>IF(base!S227="","",base!S227)</f>
        <v>Prueba 225</v>
      </c>
      <c r="J227" s="12" t="str">
        <f>IF(base!T227="","",base!T227)</f>
        <v>Calle 123
Piso 2</v>
      </c>
      <c r="K227" s="12" t="str">
        <f>IF(base!U227="","",base!U227)</f>
        <v/>
      </c>
      <c r="L227" s="12" t="str">
        <f>IF(base!Y227="","",base!Y227)</f>
        <v/>
      </c>
      <c r="M227" s="12" t="str">
        <f>IF(base!AH227="","",base!AH227)</f>
        <v/>
      </c>
      <c r="N227" s="12" t="str">
        <f>IF(base!AI227="","",base!AI227)</f>
        <v>34.072273</v>
      </c>
      <c r="O227" s="12">
        <f>IF(base!BA227="","",base!BA227)</f>
        <v>1875</v>
      </c>
      <c r="P227" s="13">
        <f>IF(base!BK227="","",base!BK227)</f>
        <v>46303.805902777778</v>
      </c>
      <c r="Q227" s="15" t="str">
        <f>IF(base!BS227="","",base!BS227)</f>
        <v/>
      </c>
    </row>
    <row r="228" spans="1:17" ht="30" x14ac:dyDescent="0.35">
      <c r="A228" s="14">
        <f>IF(base!A228="","",base!A228)</f>
        <v>6200226</v>
      </c>
      <c r="B228" s="13">
        <f>IF(base!BN228="","",base!BN228)</f>
        <v>46303.625</v>
      </c>
      <c r="C228" s="12" t="str">
        <f>IF(base!C228="","",base!C228)</f>
        <v>ZETABURGOS SRL</v>
      </c>
      <c r="D228" s="12" t="str">
        <f>IF(base!E228="","",base!E228)</f>
        <v>ENTREGADO</v>
      </c>
      <c r="E228" s="12" t="str">
        <f>IF(base!BF228="","",base!BF228)</f>
        <v/>
      </c>
      <c r="F228" s="12" t="str">
        <f>IF(D228="","",IF(OR(ISNUMBER(SEARCH("VISITA",D228)),ISNUMBER(SEARCH("RUTA",D228)),ISNUMBER(SEARCH("ARRIB",D228)),ISNUMBER(SEARCH("MATRIZ",D228)),ISNUMBER(SEARCH("PENDIENTE",D228))),"VISITA COORDINADA CON EL CLIENTE","N/A"))</f>
        <v>N/A</v>
      </c>
      <c r="G228" s="12" t="str">
        <f>"#ABC"</f>
        <v>#ABC</v>
      </c>
      <c r="H228" s="12" t="str">
        <f>IF(base!I228="","",base!I228)</f>
        <v>SAMEDAY</v>
      </c>
      <c r="I228" s="12" t="str">
        <f>IF(base!S228="","",base!S228)</f>
        <v>Prueba 226</v>
      </c>
      <c r="J228" s="12" t="str">
        <f>IF(base!T228="","",base!T228)</f>
        <v>Calle 123
Piso 2</v>
      </c>
      <c r="K228" s="12" t="str">
        <f>IF(base!U228="","",base!U228)</f>
        <v/>
      </c>
      <c r="L228" s="12" t="str">
        <f>IF(base!Y228="","",base!Y228)</f>
        <v/>
      </c>
      <c r="M228" s="12" t="str">
        <f>IF(base!AH228="","",base!AH228)</f>
        <v/>
      </c>
      <c r="N228" s="12" t="str">
        <f>IF(base!AI228="","",base!AI228)</f>
        <v>34.072273</v>
      </c>
      <c r="O228" s="12">
        <f>IF(base!BA228="","",base!BA228)</f>
        <v>1875</v>
      </c>
      <c r="P228" s="13">
        <f>IF(base!BK228="","",base!BK228)</f>
        <v>46303.805902777778</v>
      </c>
      <c r="Q228" s="15" t="str">
        <f>IF(base!BS228="","",base!BS228)</f>
        <v/>
      </c>
    </row>
    <row r="229" spans="1:17" ht="30" x14ac:dyDescent="0.35">
      <c r="A229" s="14">
        <f>IF(base!A229="","",base!A229)</f>
        <v>6200227</v>
      </c>
      <c r="B229" s="13">
        <f>IF(base!BN229="","",base!BN229)</f>
        <v>46303.625</v>
      </c>
      <c r="C229" s="12" t="str">
        <f>IF(base!C229="","",base!C229)</f>
        <v>ZETABURGOS SRL</v>
      </c>
      <c r="D229" s="12" t="str">
        <f>IF(base!E229="","",base!E229)</f>
        <v>REPROGRAMACIÓN</v>
      </c>
      <c r="E229" s="12" t="str">
        <f>IF(base!BF229="","",base!BF229)</f>
        <v/>
      </c>
      <c r="F229" s="12" t="str">
        <f>IF(D229="","",IF(OR(ISNUMBER(SEARCH("VISITA",D229)),ISNUMBER(SEARCH("RUTA",D229)),ISNUMBER(SEARCH("ARRIB",D229)),ISNUMBER(SEARCH("MATRIZ",D229)),ISNUMBER(SEARCH("PENDIENTE",D229))),"VISITA COORDINADA CON EL CLIENTE","N/A"))</f>
        <v>N/A</v>
      </c>
      <c r="G229" s="12">
        <f>IF(base!G229="","",base!G229)</f>
        <v>470123456</v>
      </c>
      <c r="H229" s="12" t="str">
        <f>IF(base!I229="","",base!I229)</f>
        <v>FLEX</v>
      </c>
      <c r="I229" s="12" t="str">
        <f>IF(base!S229="","",base!S229)</f>
        <v>Prueba 227</v>
      </c>
      <c r="J229" s="12" t="str">
        <f>IF(base!T229="","",base!T229)</f>
        <v>Calle 123
Piso 2</v>
      </c>
      <c r="K229" s="12" t="str">
        <f>IF(base!U229="","",base!U229)</f>
        <v/>
      </c>
      <c r="L229" s="12" t="str">
        <f>IF(base!Y229="","",base!Y229)</f>
        <v/>
      </c>
      <c r="M229" s="12" t="str">
        <f>IF(base!AH229="","",base!AH229)</f>
        <v/>
      </c>
      <c r="N229" s="12" t="str">
        <f>IF(base!AI229="","",base!AI229)</f>
        <v>34.072273</v>
      </c>
      <c r="O229" s="12">
        <f>IF(base!BA229="","",base!BA229)</f>
        <v>1875</v>
      </c>
      <c r="P229" s="13">
        <f>IF(base!BK229="","",base!BK229)</f>
        <v>46303.805902777778</v>
      </c>
      <c r="Q229" s="15" t="str">
        <f>IF(base!BS229="","",base!BS229)</f>
        <v/>
      </c>
    </row>
    <row r="230" spans="1:17" ht="30" x14ac:dyDescent="0.35">
      <c r="A230" s="14">
        <f>IF(base!A230="","",base!A230)</f>
        <v>6200228</v>
      </c>
      <c r="B230" s="13">
        <f>IF(base!BN230="","",base!BN230)</f>
        <v>46303.625</v>
      </c>
      <c r="C230" s="12" t="str">
        <f>IF(base!C230="","",base!C230)</f>
        <v>ZETABURGOS SRL</v>
      </c>
      <c r="D230" s="12" t="str">
        <f>IF(base!E230="","",base!E230)</f>
        <v>1RVT - 1° VISITA</v>
      </c>
      <c r="E230" s="12" t="str">
        <f>IF(base!BF230="","",base!BF230)</f>
        <v/>
      </c>
      <c r="F230" s="12" t="str">
        <f>IF(D230="","",IF(OR(ISNUMBER(SEARCH("VISITA",D230)),ISNUMBER(SEARCH("RUTA",D230)),ISNUMBER(SEARCH("ARRIB",D230)),ISNUMBER(SEARCH("MATRIZ",D230)),ISNUMBER(SEARCH("PENDIENTE",D230))),"VISITA COORDINADA CON EL CLIENTE","N/A"))</f>
        <v>VISITA COORDINADA CON EL CLIENTE</v>
      </c>
      <c r="G230" s="12" t="str">
        <f>IF(base!G230="","",base!G230)</f>
        <v>ABC001</v>
      </c>
      <c r="H230" s="12" t="str">
        <f>IF(base!I230="","",base!I230)</f>
        <v>SAMEDAY</v>
      </c>
      <c r="I230" s="12" t="str">
        <f>IF(base!S230="","",base!S230)</f>
        <v>Prueba 228</v>
      </c>
      <c r="J230" s="12" t="str">
        <f>IF(base!T230="","",base!T230)</f>
        <v>Calle 123
Piso 2</v>
      </c>
      <c r="K230" s="12" t="str">
        <f>IF(base!U230="","",base!U230)</f>
        <v/>
      </c>
      <c r="L230" s="12" t="str">
        <f>IF(base!Y230="","",base!Y230)</f>
        <v/>
      </c>
      <c r="M230" s="12" t="str">
        <f>IF(base!AH230="","",base!AH230)</f>
        <v/>
      </c>
      <c r="N230" s="12" t="str">
        <f>IF(base!AI230="","",base!AI230)</f>
        <v>34.072273</v>
      </c>
      <c r="O230" s="12">
        <f>IF(base!BA230="","",base!BA230)</f>
        <v>1875</v>
      </c>
      <c r="P230" s="13">
        <f>IF(base!BK230="","",base!BK230)</f>
        <v>46303.805902777778</v>
      </c>
      <c r="Q230" s="15" t="str">
        <f>IF(base!BS230="","",base!BS230)</f>
        <v/>
      </c>
    </row>
    <row r="231" spans="1:17" ht="30" x14ac:dyDescent="0.35">
      <c r="A231" s="14">
        <f>IF(base!A231="","",base!A231)</f>
        <v>6200229</v>
      </c>
      <c r="B231" s="13">
        <f>IF(base!BN231="","",base!BN231)</f>
        <v>46303.625</v>
      </c>
      <c r="C231" s="12" t="str">
        <f>IF(base!C231="","",base!C231)</f>
        <v>ZETABURGOS SRL</v>
      </c>
      <c r="D231" s="12" t="str">
        <f>IF(base!E231="","",base!E231)</f>
        <v>ENTREGADO</v>
      </c>
      <c r="E231" s="12" t="str">
        <f>IF(base!BF231="","",base!BF231)</f>
        <v/>
      </c>
      <c r="F231" s="12" t="str">
        <f>IF(D231="","",IF(OR(ISNUMBER(SEARCH("VISITA",D231)),ISNUMBER(SEARCH("RUTA",D231)),ISNUMBER(SEARCH("ARRIB",D231)),ISNUMBER(SEARCH("MATRIZ",D231)),ISNUMBER(SEARCH("PENDIENTE",D231))),"VISITA COORDINADA CON EL CLIENTE","N/A"))</f>
        <v>N/A</v>
      </c>
      <c r="G231" s="12" t="str">
        <f>IF(base!G231="","",base!G231)</f>
        <v>2000018857041302</v>
      </c>
      <c r="H231" s="12" t="str">
        <f>IF(base!I231="","",base!I231)</f>
        <v>FLEX</v>
      </c>
      <c r="I231" s="12" t="str">
        <f>IF(base!S231="","",base!S231)</f>
        <v>Prueba 229</v>
      </c>
      <c r="J231" s="12" t="str">
        <f>IF(base!T231="","",base!T231)</f>
        <v>Calle 123
Piso 2</v>
      </c>
      <c r="K231" s="12" t="str">
        <f>IF(base!U231="","",base!U231)</f>
        <v/>
      </c>
      <c r="L231" s="12" t="str">
        <f>IF(base!Y231="","",base!Y231)</f>
        <v/>
      </c>
      <c r="M231" s="12" t="str">
        <f>IF(base!AH231="","",base!AH231)</f>
        <v/>
      </c>
      <c r="N231" s="12" t="str">
        <f>IF(base!AI231="","",base!AI231)</f>
        <v>34.072273</v>
      </c>
      <c r="O231" s="12">
        <f>IF(base!BA231="","",base!BA231)</f>
        <v>1875</v>
      </c>
      <c r="P231" s="13">
        <f>IF(base!BK231="","",base!BK231)</f>
        <v>46303.805902777778</v>
      </c>
      <c r="Q231" s="15" t="str">
        <f>IF(base!BS231="","",base!BS231)</f>
        <v/>
      </c>
    </row>
    <row r="232" spans="1:17" ht="30" x14ac:dyDescent="0.35">
      <c r="A232" s="14">
        <f>IF(base!A232="","",base!A232)</f>
        <v>6200230</v>
      </c>
      <c r="B232" s="13">
        <f>IF(base!BN232="","",base!BN232)</f>
        <v>46303.625</v>
      </c>
      <c r="C232" s="12" t="str">
        <f>IF(base!C232="","",base!C232)</f>
        <v>ZETABURGOS SRL</v>
      </c>
      <c r="D232" s="12" t="str">
        <f>IF(base!E232="","",base!E232)</f>
        <v>REPROGRAMACIÓN</v>
      </c>
      <c r="E232" s="12" t="str">
        <f>IF(base!BF232="","",base!BF232)</f>
        <v/>
      </c>
      <c r="F232" s="12" t="str">
        <f>IF(D232="","",IF(OR(ISNUMBER(SEARCH("VISITA",D232)),ISNUMBER(SEARCH("RUTA",D232)),ISNUMBER(SEARCH("ARRIB",D232)),ISNUMBER(SEARCH("MATRIZ",D232)),ISNUMBER(SEARCH("PENDIENTE",D232))),"VISITA COORDINADA CON EL CLIENTE","N/A"))</f>
        <v>N/A</v>
      </c>
      <c r="G232" s="12" t="str">
        <f>IF(base!G232="","",base!G232)</f>
        <v>001234</v>
      </c>
      <c r="H232" s="12" t="str">
        <f>IF(base!I232="","",base!I232)</f>
        <v>FLEX</v>
      </c>
      <c r="I232" s="12" t="str">
        <f>IF(base!S232="","",base!S232)</f>
        <v>Prueba 230</v>
      </c>
      <c r="J232" s="12" t="str">
        <f>IF(base!T232="","",base!T232)</f>
        <v>Calle 123
Piso 2</v>
      </c>
      <c r="K232" s="12" t="str">
        <f>IF(base!U232="","",base!U232)</f>
        <v/>
      </c>
      <c r="L232" s="12" t="str">
        <f>IF(base!Y232="","",base!Y232)</f>
        <v/>
      </c>
      <c r="M232" s="12" t="str">
        <f>IF(base!AH232="","",base!AH232)</f>
        <v/>
      </c>
      <c r="N232" s="12" t="str">
        <f>IF(base!AI232="","",base!AI232)</f>
        <v>34.072273</v>
      </c>
      <c r="O232" s="12">
        <f>IF(base!BA232="","",base!BA232)</f>
        <v>1875</v>
      </c>
      <c r="P232" s="13">
        <f>IF(base!BK232="","",base!BK232)</f>
        <v>46303.805902777778</v>
      </c>
      <c r="Q232" s="15" t="str">
        <f>IF(base!BS232="","",base!BS232)</f>
        <v/>
      </c>
    </row>
    <row r="233" spans="1:17" ht="30" x14ac:dyDescent="0.35">
      <c r="A233" s="14">
        <f>IF(base!A233="","",base!A233)</f>
        <v>6200231</v>
      </c>
      <c r="B233" s="13">
        <f>IF(base!BN233="","",base!BN233)</f>
        <v>46303.625</v>
      </c>
      <c r="C233" s="12" t="str">
        <f>IF(base!C233="","",base!C233)</f>
        <v>ZETABURGOS SRL</v>
      </c>
      <c r="D233" s="12" t="str">
        <f>IF(base!E233="","",base!E233)</f>
        <v>1RVT - 1° VISITA</v>
      </c>
      <c r="E233" s="12" t="str">
        <f>IF(base!BF233="","",base!BF233)</f>
        <v/>
      </c>
      <c r="F233" s="12" t="str">
        <f>IF(D233="","",IF(OR(ISNUMBER(SEARCH("VISITA",D233)),ISNUMBER(SEARCH("RUTA",D233)),ISNUMBER(SEARCH("ARRIB",D233)),ISNUMBER(SEARCH("MATRIZ",D233)),ISNUMBER(SEARCH("PENDIENTE",D233))),"VISITA COORDINADA CON EL CLIENTE","N/A"))</f>
        <v>VISITA COORDINADA CON EL CLIENTE</v>
      </c>
      <c r="G233" s="12" t="str">
        <f>"#ABC"</f>
        <v>#ABC</v>
      </c>
      <c r="H233" s="12" t="str">
        <f>IF(base!I233="","",base!I233)</f>
        <v>SAMEDAY</v>
      </c>
      <c r="I233" s="12" t="str">
        <f>IF(base!S233="","",base!S233)</f>
        <v>Prueba 231</v>
      </c>
      <c r="J233" s="12" t="str">
        <f>IF(base!T233="","",base!T233)</f>
        <v>Calle 123
Piso 2</v>
      </c>
      <c r="K233" s="12" t="str">
        <f>IF(base!U233="","",base!U233)</f>
        <v/>
      </c>
      <c r="L233" s="12" t="str">
        <f>IF(base!Y233="","",base!Y233)</f>
        <v/>
      </c>
      <c r="M233" s="12" t="str">
        <f>IF(base!AH233="","",base!AH233)</f>
        <v/>
      </c>
      <c r="N233" s="12" t="str">
        <f>IF(base!AI233="","",base!AI233)</f>
        <v>34.072273</v>
      </c>
      <c r="O233" s="12">
        <f>IF(base!BA233="","",base!BA233)</f>
        <v>1875</v>
      </c>
      <c r="P233" s="13">
        <f>IF(base!BK233="","",base!BK233)</f>
        <v>46303.805902777778</v>
      </c>
      <c r="Q233" s="15" t="str">
        <f>IF(base!BS233="","",base!BS233)</f>
        <v/>
      </c>
    </row>
    <row r="234" spans="1:17" ht="30" x14ac:dyDescent="0.35">
      <c r="A234" s="14">
        <f>IF(base!A234="","",base!A234)</f>
        <v>6200232</v>
      </c>
      <c r="B234" s="13">
        <f>IF(base!BN234="","",base!BN234)</f>
        <v>46303.625</v>
      </c>
      <c r="C234" s="12" t="str">
        <f>IF(base!C234="","",base!C234)</f>
        <v>ZETABURGOS SRL</v>
      </c>
      <c r="D234" s="12" t="str">
        <f>IF(base!E234="","",base!E234)</f>
        <v>ENTREGADO</v>
      </c>
      <c r="E234" s="12" t="str">
        <f>IF(base!BF234="","",base!BF234)</f>
        <v/>
      </c>
      <c r="F234" s="12" t="str">
        <f>IF(D234="","",IF(OR(ISNUMBER(SEARCH("VISITA",D234)),ISNUMBER(SEARCH("RUTA",D234)),ISNUMBER(SEARCH("ARRIB",D234)),ISNUMBER(SEARCH("MATRIZ",D234)),ISNUMBER(SEARCH("PENDIENTE",D234))),"VISITA COORDINADA CON EL CLIENTE","N/A"))</f>
        <v>N/A</v>
      </c>
      <c r="G234" s="12">
        <f>IF(base!G234="","",base!G234)</f>
        <v>470123456</v>
      </c>
      <c r="H234" s="12" t="str">
        <f>IF(base!I234="","",base!I234)</f>
        <v>FLEX</v>
      </c>
      <c r="I234" s="12" t="str">
        <f>IF(base!S234="","",base!S234)</f>
        <v>Prueba 232</v>
      </c>
      <c r="J234" s="12" t="str">
        <f>IF(base!T234="","",base!T234)</f>
        <v>Calle 123
Piso 2</v>
      </c>
      <c r="K234" s="12" t="str">
        <f>IF(base!U234="","",base!U234)</f>
        <v/>
      </c>
      <c r="L234" s="12" t="str">
        <f>IF(base!Y234="","",base!Y234)</f>
        <v/>
      </c>
      <c r="M234" s="12" t="str">
        <f>IF(base!AH234="","",base!AH234)</f>
        <v/>
      </c>
      <c r="N234" s="12" t="str">
        <f>IF(base!AI234="","",base!AI234)</f>
        <v>34.072273</v>
      </c>
      <c r="O234" s="12">
        <f>IF(base!BA234="","",base!BA234)</f>
        <v>1875</v>
      </c>
      <c r="P234" s="13">
        <f>IF(base!BK234="","",base!BK234)</f>
        <v>46303.805902777778</v>
      </c>
      <c r="Q234" s="15" t="str">
        <f>IF(base!BS234="","",base!BS234)</f>
        <v/>
      </c>
    </row>
    <row r="235" spans="1:17" ht="30" x14ac:dyDescent="0.35">
      <c r="A235" s="14">
        <f>IF(base!A235="","",base!A235)</f>
        <v>6200233</v>
      </c>
      <c r="B235" s="13">
        <f>IF(base!BN235="","",base!BN235)</f>
        <v>46303.625</v>
      </c>
      <c r="C235" s="12" t="str">
        <f>IF(base!C235="","",base!C235)</f>
        <v>ZETABURGOS SRL</v>
      </c>
      <c r="D235" s="12" t="str">
        <f>IF(base!E235="","",base!E235)</f>
        <v>REPROGRAMACIÓN</v>
      </c>
      <c r="E235" s="12" t="str">
        <f>IF(base!BF235="","",base!BF235)</f>
        <v/>
      </c>
      <c r="F235" s="12" t="str">
        <f>IF(D235="","",IF(OR(ISNUMBER(SEARCH("VISITA",D235)),ISNUMBER(SEARCH("RUTA",D235)),ISNUMBER(SEARCH("ARRIB",D235)),ISNUMBER(SEARCH("MATRIZ",D235)),ISNUMBER(SEARCH("PENDIENTE",D235))),"VISITA COORDINADA CON EL CLIENTE","N/A"))</f>
        <v>N/A</v>
      </c>
      <c r="G235" s="12" t="str">
        <f>IF(base!G235="","",base!G235)</f>
        <v>ABC001</v>
      </c>
      <c r="H235" s="12" t="str">
        <f>IF(base!I235="","",base!I235)</f>
        <v>SAMEDAY</v>
      </c>
      <c r="I235" s="12" t="str">
        <f>IF(base!S235="","",base!S235)</f>
        <v>Prueba 233</v>
      </c>
      <c r="J235" s="12" t="str">
        <f>IF(base!T235="","",base!T235)</f>
        <v>Calle 123
Piso 2</v>
      </c>
      <c r="K235" s="12" t="str">
        <f>IF(base!U235="","",base!U235)</f>
        <v/>
      </c>
      <c r="L235" s="12" t="str">
        <f>IF(base!Y235="","",base!Y235)</f>
        <v/>
      </c>
      <c r="M235" s="12" t="str">
        <f>IF(base!AH235="","",base!AH235)</f>
        <v/>
      </c>
      <c r="N235" s="12" t="str">
        <f>IF(base!AI235="","",base!AI235)</f>
        <v>34.072273</v>
      </c>
      <c r="O235" s="12">
        <f>IF(base!BA235="","",base!BA235)</f>
        <v>1875</v>
      </c>
      <c r="P235" s="13">
        <f>IF(base!BK235="","",base!BK235)</f>
        <v>46303.805902777778</v>
      </c>
      <c r="Q235" s="15" t="str">
        <f>IF(base!BS235="","",base!BS235)</f>
        <v/>
      </c>
    </row>
    <row r="236" spans="1:17" ht="30" x14ac:dyDescent="0.35">
      <c r="A236" s="14">
        <f>IF(base!A236="","",base!A236)</f>
        <v>6200234</v>
      </c>
      <c r="B236" s="13">
        <f>IF(base!BN236="","",base!BN236)</f>
        <v>46303.625</v>
      </c>
      <c r="C236" s="12" t="str">
        <f>IF(base!C236="","",base!C236)</f>
        <v>ZETABURGOS SRL</v>
      </c>
      <c r="D236" s="12" t="str">
        <f>IF(base!E236="","",base!E236)</f>
        <v>1RVT - 1° VISITA</v>
      </c>
      <c r="E236" s="12" t="str">
        <f>IF(base!BF236="","",base!BF236)</f>
        <v/>
      </c>
      <c r="F236" s="12" t="str">
        <f>IF(D236="","",IF(OR(ISNUMBER(SEARCH("VISITA",D236)),ISNUMBER(SEARCH("RUTA",D236)),ISNUMBER(SEARCH("ARRIB",D236)),ISNUMBER(SEARCH("MATRIZ",D236)),ISNUMBER(SEARCH("PENDIENTE",D236))),"VISITA COORDINADA CON EL CLIENTE","N/A"))</f>
        <v>VISITA COORDINADA CON EL CLIENTE</v>
      </c>
      <c r="G236" s="12" t="str">
        <f>IF(base!G236="","",base!G236)</f>
        <v>2000018857041302</v>
      </c>
      <c r="H236" s="12" t="str">
        <f>IF(base!I236="","",base!I236)</f>
        <v>FLEX</v>
      </c>
      <c r="I236" s="12" t="str">
        <f>IF(base!S236="","",base!S236)</f>
        <v>Prueba 234</v>
      </c>
      <c r="J236" s="12" t="str">
        <f>IF(base!T236="","",base!T236)</f>
        <v>Calle 123
Piso 2</v>
      </c>
      <c r="K236" s="12" t="str">
        <f>IF(base!U236="","",base!U236)</f>
        <v/>
      </c>
      <c r="L236" s="12" t="str">
        <f>IF(base!Y236="","",base!Y236)</f>
        <v/>
      </c>
      <c r="M236" s="12" t="str">
        <f>IF(base!AH236="","",base!AH236)</f>
        <v/>
      </c>
      <c r="N236" s="12" t="str">
        <f>IF(base!AI236="","",base!AI236)</f>
        <v>34.072273</v>
      </c>
      <c r="O236" s="12">
        <f>IF(base!BA236="","",base!BA236)</f>
        <v>1875</v>
      </c>
      <c r="P236" s="13">
        <f>IF(base!BK236="","",base!BK236)</f>
        <v>46303.805902777778</v>
      </c>
      <c r="Q236" s="15" t="str">
        <f>IF(base!BS236="","",base!BS236)</f>
        <v/>
      </c>
    </row>
    <row r="237" spans="1:17" ht="30" x14ac:dyDescent="0.35">
      <c r="A237" s="14">
        <f>IF(base!A237="","",base!A237)</f>
        <v>6200235</v>
      </c>
      <c r="B237" s="13">
        <f>IF(base!BN237="","",base!BN237)</f>
        <v>46303.625</v>
      </c>
      <c r="C237" s="12" t="str">
        <f>IF(base!C237="","",base!C237)</f>
        <v>ZETABURGOS SRL</v>
      </c>
      <c r="D237" s="12" t="str">
        <f>IF(base!E237="","",base!E237)</f>
        <v>ENTREGADO</v>
      </c>
      <c r="E237" s="12" t="str">
        <f>IF(base!BF237="","",base!BF237)</f>
        <v/>
      </c>
      <c r="F237" s="12" t="str">
        <f>IF(D237="","",IF(OR(ISNUMBER(SEARCH("VISITA",D237)),ISNUMBER(SEARCH("RUTA",D237)),ISNUMBER(SEARCH("ARRIB",D237)),ISNUMBER(SEARCH("MATRIZ",D237)),ISNUMBER(SEARCH("PENDIENTE",D237))),"VISITA COORDINADA CON EL CLIENTE","N/A"))</f>
        <v>N/A</v>
      </c>
      <c r="G237" s="12" t="str">
        <f>IF(base!G237="","",base!G237)</f>
        <v>001234</v>
      </c>
      <c r="H237" s="12" t="str">
        <f>IF(base!I237="","",base!I237)</f>
        <v>FLEX</v>
      </c>
      <c r="I237" s="12" t="str">
        <f>IF(base!S237="","",base!S237)</f>
        <v>Prueba 235</v>
      </c>
      <c r="J237" s="12" t="str">
        <f>IF(base!T237="","",base!T237)</f>
        <v>Calle 123
Piso 2</v>
      </c>
      <c r="K237" s="12" t="str">
        <f>IF(base!U237="","",base!U237)</f>
        <v/>
      </c>
      <c r="L237" s="12" t="str">
        <f>IF(base!Y237="","",base!Y237)</f>
        <v/>
      </c>
      <c r="M237" s="12" t="str">
        <f>IF(base!AH237="","",base!AH237)</f>
        <v/>
      </c>
      <c r="N237" s="12" t="str">
        <f>IF(base!AI237="","",base!AI237)</f>
        <v>34.072273</v>
      </c>
      <c r="O237" s="12">
        <f>IF(base!BA237="","",base!BA237)</f>
        <v>1875</v>
      </c>
      <c r="P237" s="13">
        <f>IF(base!BK237="","",base!BK237)</f>
        <v>46303.805902777778</v>
      </c>
      <c r="Q237" s="15" t="str">
        <f>IF(base!BS237="","",base!BS237)</f>
        <v/>
      </c>
    </row>
    <row r="238" spans="1:17" ht="30" x14ac:dyDescent="0.35">
      <c r="A238" s="14">
        <f>IF(base!A238="","",base!A238)</f>
        <v>6200236</v>
      </c>
      <c r="B238" s="13">
        <f>IF(base!BN238="","",base!BN238)</f>
        <v>46303.625</v>
      </c>
      <c r="C238" s="12" t="str">
        <f>IF(base!C238="","",base!C238)</f>
        <v>ZETABURGOS SRL</v>
      </c>
      <c r="D238" s="12" t="str">
        <f>IF(base!E238="","",base!E238)</f>
        <v>REPROGRAMACIÓN</v>
      </c>
      <c r="E238" s="12" t="str">
        <f>IF(base!BF238="","",base!BF238)</f>
        <v/>
      </c>
      <c r="F238" s="12" t="str">
        <f>IF(D238="","",IF(OR(ISNUMBER(SEARCH("VISITA",D238)),ISNUMBER(SEARCH("RUTA",D238)),ISNUMBER(SEARCH("ARRIB",D238)),ISNUMBER(SEARCH("MATRIZ",D238)),ISNUMBER(SEARCH("PENDIENTE",D238))),"VISITA COORDINADA CON EL CLIENTE","N/A"))</f>
        <v>N/A</v>
      </c>
      <c r="G238" s="12" t="str">
        <f>"#ABC"</f>
        <v>#ABC</v>
      </c>
      <c r="H238" s="12" t="str">
        <f>IF(base!I238="","",base!I238)</f>
        <v>SAMEDAY</v>
      </c>
      <c r="I238" s="12" t="str">
        <f>IF(base!S238="","",base!S238)</f>
        <v>Prueba 236</v>
      </c>
      <c r="J238" s="12" t="str">
        <f>IF(base!T238="","",base!T238)</f>
        <v>Calle 123
Piso 2</v>
      </c>
      <c r="K238" s="12" t="str">
        <f>IF(base!U238="","",base!U238)</f>
        <v/>
      </c>
      <c r="L238" s="12" t="str">
        <f>IF(base!Y238="","",base!Y238)</f>
        <v/>
      </c>
      <c r="M238" s="12" t="str">
        <f>IF(base!AH238="","",base!AH238)</f>
        <v/>
      </c>
      <c r="N238" s="12" t="str">
        <f>IF(base!AI238="","",base!AI238)</f>
        <v>34.072273</v>
      </c>
      <c r="O238" s="12">
        <f>IF(base!BA238="","",base!BA238)</f>
        <v>1875</v>
      </c>
      <c r="P238" s="13">
        <f>IF(base!BK238="","",base!BK238)</f>
        <v>46303.805902777778</v>
      </c>
      <c r="Q238" s="15" t="str">
        <f>IF(base!BS238="","",base!BS238)</f>
        <v/>
      </c>
    </row>
    <row r="239" spans="1:17" ht="30" x14ac:dyDescent="0.35">
      <c r="A239" s="14">
        <f>IF(base!A239="","",base!A239)</f>
        <v>6200237</v>
      </c>
      <c r="B239" s="13">
        <f>IF(base!BN239="","",base!BN239)</f>
        <v>46303.625</v>
      </c>
      <c r="C239" s="12" t="str">
        <f>IF(base!C239="","",base!C239)</f>
        <v>ZETABURGOS SRL</v>
      </c>
      <c r="D239" s="12" t="str">
        <f>IF(base!E239="","",base!E239)</f>
        <v>1RVT - 1° VISITA</v>
      </c>
      <c r="E239" s="12" t="str">
        <f>IF(base!BF239="","",base!BF239)</f>
        <v/>
      </c>
      <c r="F239" s="12" t="str">
        <f>IF(D239="","",IF(OR(ISNUMBER(SEARCH("VISITA",D239)),ISNUMBER(SEARCH("RUTA",D239)),ISNUMBER(SEARCH("ARRIB",D239)),ISNUMBER(SEARCH("MATRIZ",D239)),ISNUMBER(SEARCH("PENDIENTE",D239))),"VISITA COORDINADA CON EL CLIENTE","N/A"))</f>
        <v>VISITA COORDINADA CON EL CLIENTE</v>
      </c>
      <c r="G239" s="12">
        <f>IF(base!G239="","",base!G239)</f>
        <v>470123456</v>
      </c>
      <c r="H239" s="12" t="str">
        <f>IF(base!I239="","",base!I239)</f>
        <v>FLEX</v>
      </c>
      <c r="I239" s="12" t="str">
        <f>IF(base!S239="","",base!S239)</f>
        <v>Prueba 237</v>
      </c>
      <c r="J239" s="12" t="str">
        <f>IF(base!T239="","",base!T239)</f>
        <v>Calle 123
Piso 2</v>
      </c>
      <c r="K239" s="12" t="str">
        <f>IF(base!U239="","",base!U239)</f>
        <v/>
      </c>
      <c r="L239" s="12" t="str">
        <f>IF(base!Y239="","",base!Y239)</f>
        <v/>
      </c>
      <c r="M239" s="12" t="str">
        <f>IF(base!AH239="","",base!AH239)</f>
        <v/>
      </c>
      <c r="N239" s="12" t="str">
        <f>IF(base!AI239="","",base!AI239)</f>
        <v>34.072273</v>
      </c>
      <c r="O239" s="12">
        <f>IF(base!BA239="","",base!BA239)</f>
        <v>1875</v>
      </c>
      <c r="P239" s="13">
        <f>IF(base!BK239="","",base!BK239)</f>
        <v>46303.805902777778</v>
      </c>
      <c r="Q239" s="15" t="str">
        <f>IF(base!BS239="","",base!BS239)</f>
        <v/>
      </c>
    </row>
    <row r="240" spans="1:17" ht="30" x14ac:dyDescent="0.35">
      <c r="A240" s="14">
        <f>IF(base!A240="","",base!A240)</f>
        <v>6200238</v>
      </c>
      <c r="B240" s="13">
        <f>IF(base!BN240="","",base!BN240)</f>
        <v>46303.625</v>
      </c>
      <c r="C240" s="12" t="str">
        <f>IF(base!C240="","",base!C240)</f>
        <v>ZETABURGOS SRL</v>
      </c>
      <c r="D240" s="12" t="str">
        <f>IF(base!E240="","",base!E240)</f>
        <v>ENTREGADO</v>
      </c>
      <c r="E240" s="12" t="str">
        <f>IF(base!BF240="","",base!BF240)</f>
        <v/>
      </c>
      <c r="F240" s="12" t="str">
        <f>IF(D240="","",IF(OR(ISNUMBER(SEARCH("VISITA",D240)),ISNUMBER(SEARCH("RUTA",D240)),ISNUMBER(SEARCH("ARRIB",D240)),ISNUMBER(SEARCH("MATRIZ",D240)),ISNUMBER(SEARCH("PENDIENTE",D240))),"VISITA COORDINADA CON EL CLIENTE","N/A"))</f>
        <v>N/A</v>
      </c>
      <c r="G240" s="12" t="str">
        <f>IF(base!G240="","",base!G240)</f>
        <v>ABC001</v>
      </c>
      <c r="H240" s="12" t="str">
        <f>IF(base!I240="","",base!I240)</f>
        <v>SAMEDAY</v>
      </c>
      <c r="I240" s="12" t="str">
        <f>IF(base!S240="","",base!S240)</f>
        <v>Prueba 238</v>
      </c>
      <c r="J240" s="12" t="str">
        <f>IF(base!T240="","",base!T240)</f>
        <v>Calle 123
Piso 2</v>
      </c>
      <c r="K240" s="12" t="str">
        <f>IF(base!U240="","",base!U240)</f>
        <v/>
      </c>
      <c r="L240" s="12" t="str">
        <f>IF(base!Y240="","",base!Y240)</f>
        <v/>
      </c>
      <c r="M240" s="12" t="str">
        <f>IF(base!AH240="","",base!AH240)</f>
        <v/>
      </c>
      <c r="N240" s="12" t="str">
        <f>IF(base!AI240="","",base!AI240)</f>
        <v>34.072273</v>
      </c>
      <c r="O240" s="12">
        <f>IF(base!BA240="","",base!BA240)</f>
        <v>1875</v>
      </c>
      <c r="P240" s="13">
        <f>IF(base!BK240="","",base!BK240)</f>
        <v>46303.805902777778</v>
      </c>
      <c r="Q240" s="15" t="str">
        <f>IF(base!BS240="","",base!BS240)</f>
        <v/>
      </c>
    </row>
    <row r="241" spans="1:17" ht="30" x14ac:dyDescent="0.35">
      <c r="A241" s="14">
        <f>IF(base!A241="","",base!A241)</f>
        <v>6200239</v>
      </c>
      <c r="B241" s="13">
        <f>IF(base!BN241="","",base!BN241)</f>
        <v>46303.625</v>
      </c>
      <c r="C241" s="12" t="str">
        <f>IF(base!C241="","",base!C241)</f>
        <v>ZETABURGOS SRL</v>
      </c>
      <c r="D241" s="12" t="str">
        <f>IF(base!E241="","",base!E241)</f>
        <v>REPROGRAMACIÓN</v>
      </c>
      <c r="E241" s="12" t="str">
        <f>IF(base!BF241="","",base!BF241)</f>
        <v/>
      </c>
      <c r="F241" s="12" t="str">
        <f>IF(D241="","",IF(OR(ISNUMBER(SEARCH("VISITA",D241)),ISNUMBER(SEARCH("RUTA",D241)),ISNUMBER(SEARCH("ARRIB",D241)),ISNUMBER(SEARCH("MATRIZ",D241)),ISNUMBER(SEARCH("PENDIENTE",D241))),"VISITA COORDINADA CON EL CLIENTE","N/A"))</f>
        <v>N/A</v>
      </c>
      <c r="G241" s="12" t="str">
        <f>IF(base!G241="","",base!G241)</f>
        <v>2000018857041302</v>
      </c>
      <c r="H241" s="12" t="str">
        <f>IF(base!I241="","",base!I241)</f>
        <v>FLEX</v>
      </c>
      <c r="I241" s="12" t="str">
        <f>IF(base!S241="","",base!S241)</f>
        <v>Prueba 239</v>
      </c>
      <c r="J241" s="12" t="str">
        <f>IF(base!T241="","",base!T241)</f>
        <v>Calle 123
Piso 2</v>
      </c>
      <c r="K241" s="12" t="str">
        <f>IF(base!U241="","",base!U241)</f>
        <v/>
      </c>
      <c r="L241" s="12" t="str">
        <f>IF(base!Y241="","",base!Y241)</f>
        <v/>
      </c>
      <c r="M241" s="12" t="str">
        <f>IF(base!AH241="","",base!AH241)</f>
        <v/>
      </c>
      <c r="N241" s="12" t="str">
        <f>IF(base!AI241="","",base!AI241)</f>
        <v>34.072273</v>
      </c>
      <c r="O241" s="12">
        <f>IF(base!BA241="","",base!BA241)</f>
        <v>1875</v>
      </c>
      <c r="P241" s="13">
        <f>IF(base!BK241="","",base!BK241)</f>
        <v>46303.805902777778</v>
      </c>
      <c r="Q241" s="15" t="str">
        <f>IF(base!BS241="","",base!BS241)</f>
        <v/>
      </c>
    </row>
    <row r="242" spans="1:17" ht="30" x14ac:dyDescent="0.35">
      <c r="A242" s="14">
        <f>IF(base!A242="","",base!A242)</f>
        <v>6200240</v>
      </c>
      <c r="B242" s="13">
        <f>IF(base!BN242="","",base!BN242)</f>
        <v>46303.625</v>
      </c>
      <c r="C242" s="12" t="str">
        <f>IF(base!C242="","",base!C242)</f>
        <v>ZETABURGOS SRL</v>
      </c>
      <c r="D242" s="12" t="str">
        <f>IF(base!E242="","",base!E242)</f>
        <v>1RVT - 1° VISITA</v>
      </c>
      <c r="E242" s="12" t="str">
        <f>IF(base!BF242="","",base!BF242)</f>
        <v/>
      </c>
      <c r="F242" s="12" t="str">
        <f>IF(D242="","",IF(OR(ISNUMBER(SEARCH("VISITA",D242)),ISNUMBER(SEARCH("RUTA",D242)),ISNUMBER(SEARCH("ARRIB",D242)),ISNUMBER(SEARCH("MATRIZ",D242)),ISNUMBER(SEARCH("PENDIENTE",D242))),"VISITA COORDINADA CON EL CLIENTE","N/A"))</f>
        <v>VISITA COORDINADA CON EL CLIENTE</v>
      </c>
      <c r="G242" s="12" t="str">
        <f>IF(base!G242="","",base!G242)</f>
        <v>001234</v>
      </c>
      <c r="H242" s="12" t="str">
        <f>IF(base!I242="","",base!I242)</f>
        <v>FLEX</v>
      </c>
      <c r="I242" s="12" t="str">
        <f>IF(base!S242="","",base!S242)</f>
        <v>Prueba 240</v>
      </c>
      <c r="J242" s="12" t="str">
        <f>IF(base!T242="","",base!T242)</f>
        <v>Calle 123
Piso 2</v>
      </c>
      <c r="K242" s="12" t="str">
        <f>IF(base!U242="","",base!U242)</f>
        <v/>
      </c>
      <c r="L242" s="12" t="str">
        <f>IF(base!Y242="","",base!Y242)</f>
        <v/>
      </c>
      <c r="M242" s="12" t="str">
        <f>IF(base!AH242="","",base!AH242)</f>
        <v/>
      </c>
      <c r="N242" s="12" t="str">
        <f>IF(base!AI242="","",base!AI242)</f>
        <v>34.072273</v>
      </c>
      <c r="O242" s="12">
        <f>IF(base!BA242="","",base!BA242)</f>
        <v>1875</v>
      </c>
      <c r="P242" s="13">
        <f>IF(base!BK242="","",base!BK242)</f>
        <v>46303.805902777778</v>
      </c>
      <c r="Q242" s="15" t="str">
        <f>IF(base!BS242="","",base!BS242)</f>
        <v/>
      </c>
    </row>
    <row r="243" spans="1:17" ht="30" x14ac:dyDescent="0.35">
      <c r="A243" s="14">
        <f>IF(base!A243="","",base!A243)</f>
        <v>6200241</v>
      </c>
      <c r="B243" s="13">
        <f>IF(base!BN243="","",base!BN243)</f>
        <v>46303.625</v>
      </c>
      <c r="C243" s="12" t="str">
        <f>IF(base!C243="","",base!C243)</f>
        <v>ZETABURGOS SRL</v>
      </c>
      <c r="D243" s="12" t="str">
        <f>IF(base!E243="","",base!E243)</f>
        <v>ENTREGADO</v>
      </c>
      <c r="E243" s="12" t="str">
        <f>IF(base!BF243="","",base!BF243)</f>
        <v/>
      </c>
      <c r="F243" s="12" t="str">
        <f>IF(D243="","",IF(OR(ISNUMBER(SEARCH("VISITA",D243)),ISNUMBER(SEARCH("RUTA",D243)),ISNUMBER(SEARCH("ARRIB",D243)),ISNUMBER(SEARCH("MATRIZ",D243)),ISNUMBER(SEARCH("PENDIENTE",D243))),"VISITA COORDINADA CON EL CLIENTE","N/A"))</f>
        <v>N/A</v>
      </c>
      <c r="G243" s="12" t="str">
        <f>"#ABC"</f>
        <v>#ABC</v>
      </c>
      <c r="H243" s="12" t="str">
        <f>IF(base!I243="","",base!I243)</f>
        <v>SAMEDAY</v>
      </c>
      <c r="I243" s="12" t="str">
        <f>IF(base!S243="","",base!S243)</f>
        <v>Prueba 241</v>
      </c>
      <c r="J243" s="12" t="str">
        <f>IF(base!T243="","",base!T243)</f>
        <v>Calle 123
Piso 2</v>
      </c>
      <c r="K243" s="12" t="str">
        <f>IF(base!U243="","",base!U243)</f>
        <v/>
      </c>
      <c r="L243" s="12" t="str">
        <f>IF(base!Y243="","",base!Y243)</f>
        <v/>
      </c>
      <c r="M243" s="12" t="str">
        <f>IF(base!AH243="","",base!AH243)</f>
        <v/>
      </c>
      <c r="N243" s="12" t="str">
        <f>IF(base!AI243="","",base!AI243)</f>
        <v>34.072273</v>
      </c>
      <c r="O243" s="12">
        <f>IF(base!BA243="","",base!BA243)</f>
        <v>1875</v>
      </c>
      <c r="P243" s="13">
        <f>IF(base!BK243="","",base!BK243)</f>
        <v>46303.805902777778</v>
      </c>
      <c r="Q243" s="15" t="str">
        <f>IF(base!BS243="","",base!BS243)</f>
        <v/>
      </c>
    </row>
    <row r="244" spans="1:17" ht="30" x14ac:dyDescent="0.35">
      <c r="A244" s="14">
        <f>IF(base!A244="","",base!A244)</f>
        <v>6200242</v>
      </c>
      <c r="B244" s="13">
        <f>IF(base!BN244="","",base!BN244)</f>
        <v>46303.625</v>
      </c>
      <c r="C244" s="12" t="str">
        <f>IF(base!C244="","",base!C244)</f>
        <v>ZETABURGOS SRL</v>
      </c>
      <c r="D244" s="12" t="str">
        <f>IF(base!E244="","",base!E244)</f>
        <v>REPROGRAMACIÓN</v>
      </c>
      <c r="E244" s="12" t="str">
        <f>IF(base!BF244="","",base!BF244)</f>
        <v/>
      </c>
      <c r="F244" s="12" t="str">
        <f>IF(D244="","",IF(OR(ISNUMBER(SEARCH("VISITA",D244)),ISNUMBER(SEARCH("RUTA",D244)),ISNUMBER(SEARCH("ARRIB",D244)),ISNUMBER(SEARCH("MATRIZ",D244)),ISNUMBER(SEARCH("PENDIENTE",D244))),"VISITA COORDINADA CON EL CLIENTE","N/A"))</f>
        <v>N/A</v>
      </c>
      <c r="G244" s="12">
        <f>IF(base!G244="","",base!G244)</f>
        <v>470123456</v>
      </c>
      <c r="H244" s="12" t="str">
        <f>IF(base!I244="","",base!I244)</f>
        <v>FLEX</v>
      </c>
      <c r="I244" s="12" t="str">
        <f>IF(base!S244="","",base!S244)</f>
        <v>Prueba 242</v>
      </c>
      <c r="J244" s="12" t="str">
        <f>IF(base!T244="","",base!T244)</f>
        <v>Calle 123
Piso 2</v>
      </c>
      <c r="K244" s="12" t="str">
        <f>IF(base!U244="","",base!U244)</f>
        <v/>
      </c>
      <c r="L244" s="12" t="str">
        <f>IF(base!Y244="","",base!Y244)</f>
        <v/>
      </c>
      <c r="M244" s="12" t="str">
        <f>IF(base!AH244="","",base!AH244)</f>
        <v/>
      </c>
      <c r="N244" s="12" t="str">
        <f>IF(base!AI244="","",base!AI244)</f>
        <v>34.072273</v>
      </c>
      <c r="O244" s="12">
        <f>IF(base!BA244="","",base!BA244)</f>
        <v>1875</v>
      </c>
      <c r="P244" s="13">
        <f>IF(base!BK244="","",base!BK244)</f>
        <v>46303.805902777778</v>
      </c>
      <c r="Q244" s="15" t="str">
        <f>IF(base!BS244="","",base!BS244)</f>
        <v/>
      </c>
    </row>
    <row r="245" spans="1:17" ht="30" x14ac:dyDescent="0.35">
      <c r="A245" s="14">
        <f>IF(base!A245="","",base!A245)</f>
        <v>6200243</v>
      </c>
      <c r="B245" s="13">
        <f>IF(base!BN245="","",base!BN245)</f>
        <v>46303.625</v>
      </c>
      <c r="C245" s="12" t="str">
        <f>IF(base!C245="","",base!C245)</f>
        <v>ZETABURGOS SRL</v>
      </c>
      <c r="D245" s="12" t="str">
        <f>IF(base!E245="","",base!E245)</f>
        <v>1RVT - 1° VISITA</v>
      </c>
      <c r="E245" s="12" t="str">
        <f>IF(base!BF245="","",base!BF245)</f>
        <v/>
      </c>
      <c r="F245" s="12" t="str">
        <f>IF(D245="","",IF(OR(ISNUMBER(SEARCH("VISITA",D245)),ISNUMBER(SEARCH("RUTA",D245)),ISNUMBER(SEARCH("ARRIB",D245)),ISNUMBER(SEARCH("MATRIZ",D245)),ISNUMBER(SEARCH("PENDIENTE",D245))),"VISITA COORDINADA CON EL CLIENTE","N/A"))</f>
        <v>VISITA COORDINADA CON EL CLIENTE</v>
      </c>
      <c r="G245" s="12" t="str">
        <f>IF(base!G245="","",base!G245)</f>
        <v>ABC001</v>
      </c>
      <c r="H245" s="12" t="str">
        <f>IF(base!I245="","",base!I245)</f>
        <v>SAMEDAY</v>
      </c>
      <c r="I245" s="12" t="str">
        <f>IF(base!S245="","",base!S245)</f>
        <v>Prueba 243</v>
      </c>
      <c r="J245" s="12" t="str">
        <f>IF(base!T245="","",base!T245)</f>
        <v>Calle 123
Piso 2</v>
      </c>
      <c r="K245" s="12" t="str">
        <f>IF(base!U245="","",base!U245)</f>
        <v/>
      </c>
      <c r="L245" s="12" t="str">
        <f>IF(base!Y245="","",base!Y245)</f>
        <v/>
      </c>
      <c r="M245" s="12" t="str">
        <f>IF(base!AH245="","",base!AH245)</f>
        <v/>
      </c>
      <c r="N245" s="12" t="str">
        <f>IF(base!AI245="","",base!AI245)</f>
        <v>34.072273</v>
      </c>
      <c r="O245" s="12">
        <f>IF(base!BA245="","",base!BA245)</f>
        <v>1875</v>
      </c>
      <c r="P245" s="13">
        <f>IF(base!BK245="","",base!BK245)</f>
        <v>46303.805902777778</v>
      </c>
      <c r="Q245" s="15" t="str">
        <f>IF(base!BS245="","",base!BS245)</f>
        <v/>
      </c>
    </row>
    <row r="246" spans="1:17" ht="30" x14ac:dyDescent="0.35">
      <c r="A246" s="14">
        <f>IF(base!A246="","",base!A246)</f>
        <v>6200244</v>
      </c>
      <c r="B246" s="13">
        <f>IF(base!BN246="","",base!BN246)</f>
        <v>46303.625</v>
      </c>
      <c r="C246" s="12" t="str">
        <f>IF(base!C246="","",base!C246)</f>
        <v>ZETABURGOS SRL</v>
      </c>
      <c r="D246" s="12" t="str">
        <f>IF(base!E246="","",base!E246)</f>
        <v>ENTREGADO</v>
      </c>
      <c r="E246" s="12" t="str">
        <f>IF(base!BF246="","",base!BF246)</f>
        <v/>
      </c>
      <c r="F246" s="12" t="str">
        <f>IF(D246="","",IF(OR(ISNUMBER(SEARCH("VISITA",D246)),ISNUMBER(SEARCH("RUTA",D246)),ISNUMBER(SEARCH("ARRIB",D246)),ISNUMBER(SEARCH("MATRIZ",D246)),ISNUMBER(SEARCH("PENDIENTE",D246))),"VISITA COORDINADA CON EL CLIENTE","N/A"))</f>
        <v>N/A</v>
      </c>
      <c r="G246" s="12" t="str">
        <f>IF(base!G246="","",base!G246)</f>
        <v>2000018857041302</v>
      </c>
      <c r="H246" s="12" t="str">
        <f>IF(base!I246="","",base!I246)</f>
        <v>FLEX</v>
      </c>
      <c r="I246" s="12" t="str">
        <f>IF(base!S246="","",base!S246)</f>
        <v>Prueba 244</v>
      </c>
      <c r="J246" s="12" t="str">
        <f>IF(base!T246="","",base!T246)</f>
        <v>Calle 123
Piso 2</v>
      </c>
      <c r="K246" s="12" t="str">
        <f>IF(base!U246="","",base!U246)</f>
        <v/>
      </c>
      <c r="L246" s="12" t="str">
        <f>IF(base!Y246="","",base!Y246)</f>
        <v/>
      </c>
      <c r="M246" s="12" t="str">
        <f>IF(base!AH246="","",base!AH246)</f>
        <v/>
      </c>
      <c r="N246" s="12" t="str">
        <f>IF(base!AI246="","",base!AI246)</f>
        <v>34.072273</v>
      </c>
      <c r="O246" s="12">
        <f>IF(base!BA246="","",base!BA246)</f>
        <v>1875</v>
      </c>
      <c r="P246" s="13">
        <f>IF(base!BK246="","",base!BK246)</f>
        <v>46303.805902777778</v>
      </c>
      <c r="Q246" s="15" t="str">
        <f>IF(base!BS246="","",base!BS246)</f>
        <v/>
      </c>
    </row>
    <row r="247" spans="1:17" ht="30" x14ac:dyDescent="0.35">
      <c r="A247" s="14">
        <f>IF(base!A247="","",base!A247)</f>
        <v>6200245</v>
      </c>
      <c r="B247" s="13">
        <f>IF(base!BN247="","",base!BN247)</f>
        <v>46303.625</v>
      </c>
      <c r="C247" s="12" t="str">
        <f>IF(base!C247="","",base!C247)</f>
        <v>ZETABURGOS SRL</v>
      </c>
      <c r="D247" s="12" t="str">
        <f>IF(base!E247="","",base!E247)</f>
        <v>REPROGRAMACIÓN</v>
      </c>
      <c r="E247" s="12" t="str">
        <f>IF(base!BF247="","",base!BF247)</f>
        <v/>
      </c>
      <c r="F247" s="12" t="str">
        <f>IF(D247="","",IF(OR(ISNUMBER(SEARCH("VISITA",D247)),ISNUMBER(SEARCH("RUTA",D247)),ISNUMBER(SEARCH("ARRIB",D247)),ISNUMBER(SEARCH("MATRIZ",D247)),ISNUMBER(SEARCH("PENDIENTE",D247))),"VISITA COORDINADA CON EL CLIENTE","N/A"))</f>
        <v>N/A</v>
      </c>
      <c r="G247" s="12" t="str">
        <f>IF(base!G247="","",base!G247)</f>
        <v>001234</v>
      </c>
      <c r="H247" s="12" t="str">
        <f>IF(base!I247="","",base!I247)</f>
        <v>FLEX</v>
      </c>
      <c r="I247" s="12" t="str">
        <f>IF(base!S247="","",base!S247)</f>
        <v>Prueba 245</v>
      </c>
      <c r="J247" s="12" t="str">
        <f>IF(base!T247="","",base!T247)</f>
        <v>Calle 123
Piso 2</v>
      </c>
      <c r="K247" s="12" t="str">
        <f>IF(base!U247="","",base!U247)</f>
        <v/>
      </c>
      <c r="L247" s="12" t="str">
        <f>IF(base!Y247="","",base!Y247)</f>
        <v/>
      </c>
      <c r="M247" s="12" t="str">
        <f>IF(base!AH247="","",base!AH247)</f>
        <v/>
      </c>
      <c r="N247" s="12" t="str">
        <f>IF(base!AI247="","",base!AI247)</f>
        <v>34.072273</v>
      </c>
      <c r="O247" s="12">
        <f>IF(base!BA247="","",base!BA247)</f>
        <v>1875</v>
      </c>
      <c r="P247" s="13">
        <f>IF(base!BK247="","",base!BK247)</f>
        <v>46303.805902777778</v>
      </c>
      <c r="Q247" s="15" t="str">
        <f>IF(base!BS247="","",base!BS247)</f>
        <v/>
      </c>
    </row>
    <row r="248" spans="1:17" ht="30" x14ac:dyDescent="0.35">
      <c r="A248" s="14">
        <f>IF(base!A248="","",base!A248)</f>
        <v>6200246</v>
      </c>
      <c r="B248" s="13">
        <f>IF(base!BN248="","",base!BN248)</f>
        <v>46303.625</v>
      </c>
      <c r="C248" s="12" t="str">
        <f>IF(base!C248="","",base!C248)</f>
        <v>ZETABURGOS SRL</v>
      </c>
      <c r="D248" s="12" t="str">
        <f>IF(base!E248="","",base!E248)</f>
        <v>1RVT - 1° VISITA</v>
      </c>
      <c r="E248" s="12" t="str">
        <f>IF(base!BF248="","",base!BF248)</f>
        <v/>
      </c>
      <c r="F248" s="12" t="str">
        <f>IF(D248="","",IF(OR(ISNUMBER(SEARCH("VISITA",D248)),ISNUMBER(SEARCH("RUTA",D248)),ISNUMBER(SEARCH("ARRIB",D248)),ISNUMBER(SEARCH("MATRIZ",D248)),ISNUMBER(SEARCH("PENDIENTE",D248))),"VISITA COORDINADA CON EL CLIENTE","N/A"))</f>
        <v>VISITA COORDINADA CON EL CLIENTE</v>
      </c>
      <c r="G248" s="12" t="str">
        <f>"#ABC"</f>
        <v>#ABC</v>
      </c>
      <c r="H248" s="12" t="str">
        <f>IF(base!I248="","",base!I248)</f>
        <v>SAMEDAY</v>
      </c>
      <c r="I248" s="12" t="str">
        <f>IF(base!S248="","",base!S248)</f>
        <v>Prueba 246</v>
      </c>
      <c r="J248" s="12" t="str">
        <f>IF(base!T248="","",base!T248)</f>
        <v>Calle 123
Piso 2</v>
      </c>
      <c r="K248" s="12" t="str">
        <f>IF(base!U248="","",base!U248)</f>
        <v/>
      </c>
      <c r="L248" s="12" t="str">
        <f>IF(base!Y248="","",base!Y248)</f>
        <v/>
      </c>
      <c r="M248" s="12" t="str">
        <f>IF(base!AH248="","",base!AH248)</f>
        <v/>
      </c>
      <c r="N248" s="12" t="str">
        <f>IF(base!AI248="","",base!AI248)</f>
        <v>34.072273</v>
      </c>
      <c r="O248" s="12">
        <f>IF(base!BA248="","",base!BA248)</f>
        <v>1875</v>
      </c>
      <c r="P248" s="13">
        <f>IF(base!BK248="","",base!BK248)</f>
        <v>46303.805902777778</v>
      </c>
      <c r="Q248" s="15" t="str">
        <f>IF(base!BS248="","",base!BS248)</f>
        <v/>
      </c>
    </row>
    <row r="249" spans="1:17" ht="30" x14ac:dyDescent="0.35">
      <c r="A249" s="14">
        <f>IF(base!A249="","",base!A249)</f>
        <v>6200247</v>
      </c>
      <c r="B249" s="13">
        <f>IF(base!BN249="","",base!BN249)</f>
        <v>46303.625</v>
      </c>
      <c r="C249" s="12" t="str">
        <f>IF(base!C249="","",base!C249)</f>
        <v>ZETABURGOS SRL</v>
      </c>
      <c r="D249" s="12" t="str">
        <f>IF(base!E249="","",base!E249)</f>
        <v>ENTREGADO</v>
      </c>
      <c r="E249" s="12" t="str">
        <f>IF(base!BF249="","",base!BF249)</f>
        <v/>
      </c>
      <c r="F249" s="12" t="str">
        <f>IF(D249="","",IF(OR(ISNUMBER(SEARCH("VISITA",D249)),ISNUMBER(SEARCH("RUTA",D249)),ISNUMBER(SEARCH("ARRIB",D249)),ISNUMBER(SEARCH("MATRIZ",D249)),ISNUMBER(SEARCH("PENDIENTE",D249))),"VISITA COORDINADA CON EL CLIENTE","N/A"))</f>
        <v>N/A</v>
      </c>
      <c r="G249" s="12">
        <f>IF(base!G249="","",base!G249)</f>
        <v>470123456</v>
      </c>
      <c r="H249" s="12" t="str">
        <f>IF(base!I249="","",base!I249)</f>
        <v>FLEX</v>
      </c>
      <c r="I249" s="12" t="str">
        <f>IF(base!S249="","",base!S249)</f>
        <v>Prueba 247</v>
      </c>
      <c r="J249" s="12" t="str">
        <f>IF(base!T249="","",base!T249)</f>
        <v>Calle 123
Piso 2</v>
      </c>
      <c r="K249" s="12" t="str">
        <f>IF(base!U249="","",base!U249)</f>
        <v/>
      </c>
      <c r="L249" s="12" t="str">
        <f>IF(base!Y249="","",base!Y249)</f>
        <v/>
      </c>
      <c r="M249" s="12" t="str">
        <f>IF(base!AH249="","",base!AH249)</f>
        <v/>
      </c>
      <c r="N249" s="12" t="str">
        <f>IF(base!AI249="","",base!AI249)</f>
        <v>34.072273</v>
      </c>
      <c r="O249" s="12">
        <f>IF(base!BA249="","",base!BA249)</f>
        <v>1875</v>
      </c>
      <c r="P249" s="13">
        <f>IF(base!BK249="","",base!BK249)</f>
        <v>46303.805902777778</v>
      </c>
      <c r="Q249" s="15" t="str">
        <f>IF(base!BS249="","",base!BS249)</f>
        <v/>
      </c>
    </row>
    <row r="250" spans="1:17" ht="30" x14ac:dyDescent="0.35">
      <c r="A250" s="14">
        <f>IF(base!A250="","",base!A250)</f>
        <v>6200248</v>
      </c>
      <c r="B250" s="13">
        <f>IF(base!BN250="","",base!BN250)</f>
        <v>46303.625</v>
      </c>
      <c r="C250" s="12" t="str">
        <f>IF(base!C250="","",base!C250)</f>
        <v>ZETABURGOS SRL</v>
      </c>
      <c r="D250" s="12" t="str">
        <f>IF(base!E250="","",base!E250)</f>
        <v>REPROGRAMACIÓN</v>
      </c>
      <c r="E250" s="12" t="str">
        <f>IF(base!BF250="","",base!BF250)</f>
        <v/>
      </c>
      <c r="F250" s="12" t="str">
        <f>IF(D250="","",IF(OR(ISNUMBER(SEARCH("VISITA",D250)),ISNUMBER(SEARCH("RUTA",D250)),ISNUMBER(SEARCH("ARRIB",D250)),ISNUMBER(SEARCH("MATRIZ",D250)),ISNUMBER(SEARCH("PENDIENTE",D250))),"VISITA COORDINADA CON EL CLIENTE","N/A"))</f>
        <v>N/A</v>
      </c>
      <c r="G250" s="12" t="str">
        <f>IF(base!G250="","",base!G250)</f>
        <v>ABC001</v>
      </c>
      <c r="H250" s="12" t="str">
        <f>IF(base!I250="","",base!I250)</f>
        <v>SAMEDAY</v>
      </c>
      <c r="I250" s="12" t="str">
        <f>IF(base!S250="","",base!S250)</f>
        <v>Prueba 248</v>
      </c>
      <c r="J250" s="12" t="str">
        <f>IF(base!T250="","",base!T250)</f>
        <v>Calle 123
Piso 2</v>
      </c>
      <c r="K250" s="12" t="str">
        <f>IF(base!U250="","",base!U250)</f>
        <v/>
      </c>
      <c r="L250" s="12" t="str">
        <f>IF(base!Y250="","",base!Y250)</f>
        <v/>
      </c>
      <c r="M250" s="12" t="str">
        <f>IF(base!AH250="","",base!AH250)</f>
        <v/>
      </c>
      <c r="N250" s="12" t="str">
        <f>IF(base!AI250="","",base!AI250)</f>
        <v>34.072273</v>
      </c>
      <c r="O250" s="12">
        <f>IF(base!BA250="","",base!BA250)</f>
        <v>1875</v>
      </c>
      <c r="P250" s="13">
        <f>IF(base!BK250="","",base!BK250)</f>
        <v>46303.805902777778</v>
      </c>
      <c r="Q250" s="15" t="str">
        <f>IF(base!BS250="","",base!BS250)</f>
        <v/>
      </c>
    </row>
    <row r="251" spans="1:17" ht="30" x14ac:dyDescent="0.35">
      <c r="A251" s="14">
        <f>IF(base!A251="","",base!A251)</f>
        <v>6200249</v>
      </c>
      <c r="B251" s="13">
        <f>IF(base!BN251="","",base!BN251)</f>
        <v>46303.625</v>
      </c>
      <c r="C251" s="12" t="str">
        <f>IF(base!C251="","",base!C251)</f>
        <v>ZETABURGOS SRL</v>
      </c>
      <c r="D251" s="12" t="str">
        <f>IF(base!E251="","",base!E251)</f>
        <v>1RVT - 1° VISITA</v>
      </c>
      <c r="E251" s="12" t="str">
        <f>IF(base!BF251="","",base!BF251)</f>
        <v/>
      </c>
      <c r="F251" s="12" t="str">
        <f>IF(D251="","",IF(OR(ISNUMBER(SEARCH("VISITA",D251)),ISNUMBER(SEARCH("RUTA",D251)),ISNUMBER(SEARCH("ARRIB",D251)),ISNUMBER(SEARCH("MATRIZ",D251)),ISNUMBER(SEARCH("PENDIENTE",D251))),"VISITA COORDINADA CON EL CLIENTE","N/A"))</f>
        <v>VISITA COORDINADA CON EL CLIENTE</v>
      </c>
      <c r="G251" s="12" t="str">
        <f>IF(base!G251="","",base!G251)</f>
        <v>2000018857041302</v>
      </c>
      <c r="H251" s="12" t="str">
        <f>IF(base!I251="","",base!I251)</f>
        <v>FLEX</v>
      </c>
      <c r="I251" s="12" t="str">
        <f>IF(base!S251="","",base!S251)</f>
        <v>Prueba 249</v>
      </c>
      <c r="J251" s="12" t="str">
        <f>IF(base!T251="","",base!T251)</f>
        <v>Calle 123
Piso 2</v>
      </c>
      <c r="K251" s="12" t="str">
        <f>IF(base!U251="","",base!U251)</f>
        <v/>
      </c>
      <c r="L251" s="12" t="str">
        <f>IF(base!Y251="","",base!Y251)</f>
        <v/>
      </c>
      <c r="M251" s="12" t="str">
        <f>IF(base!AH251="","",base!AH251)</f>
        <v/>
      </c>
      <c r="N251" s="12" t="str">
        <f>IF(base!AI251="","",base!AI251)</f>
        <v>34.072273</v>
      </c>
      <c r="O251" s="12">
        <f>IF(base!BA251="","",base!BA251)</f>
        <v>1875</v>
      </c>
      <c r="P251" s="13">
        <f>IF(base!BK251="","",base!BK251)</f>
        <v>46303.805902777778</v>
      </c>
      <c r="Q251" s="15" t="str">
        <f>IF(base!BS251="","",base!BS251)</f>
        <v/>
      </c>
    </row>
    <row r="252" spans="1:17" ht="30" x14ac:dyDescent="0.35">
      <c r="A252" s="14">
        <f>IF(base!A252="","",base!A252)</f>
        <v>6200250</v>
      </c>
      <c r="B252" s="13">
        <f>IF(base!BN252="","",base!BN252)</f>
        <v>46303.625</v>
      </c>
      <c r="C252" s="12" t="str">
        <f>IF(base!C252="","",base!C252)</f>
        <v>ZETABURGOS SRL</v>
      </c>
      <c r="D252" s="12" t="str">
        <f>IF(base!E252="","",base!E252)</f>
        <v>ENTREGADO</v>
      </c>
      <c r="E252" s="12" t="str">
        <f>IF(base!BF252="","",base!BF252)</f>
        <v/>
      </c>
      <c r="F252" s="12" t="str">
        <f>IF(D252="","",IF(OR(ISNUMBER(SEARCH("VISITA",D252)),ISNUMBER(SEARCH("RUTA",D252)),ISNUMBER(SEARCH("ARRIB",D252)),ISNUMBER(SEARCH("MATRIZ",D252)),ISNUMBER(SEARCH("PENDIENTE",D252))),"VISITA COORDINADA CON EL CLIENTE","N/A"))</f>
        <v>N/A</v>
      </c>
      <c r="G252" s="12" t="str">
        <f>IF(base!G252="","",base!G252)</f>
        <v>001234</v>
      </c>
      <c r="H252" s="12" t="str">
        <f>IF(base!I252="","",base!I252)</f>
        <v>FLEX</v>
      </c>
      <c r="I252" s="12" t="str">
        <f>IF(base!S252="","",base!S252)</f>
        <v>Prueba 250</v>
      </c>
      <c r="J252" s="12" t="str">
        <f>IF(base!T252="","",base!T252)</f>
        <v>Calle 123
Piso 2</v>
      </c>
      <c r="K252" s="12" t="str">
        <f>IF(base!U252="","",base!U252)</f>
        <v/>
      </c>
      <c r="L252" s="12" t="str">
        <f>IF(base!Y252="","",base!Y252)</f>
        <v/>
      </c>
      <c r="M252" s="12" t="str">
        <f>IF(base!AH252="","",base!AH252)</f>
        <v/>
      </c>
      <c r="N252" s="12" t="str">
        <f>IF(base!AI252="","",base!AI252)</f>
        <v>34.072273</v>
      </c>
      <c r="O252" s="12">
        <f>IF(base!BA252="","",base!BA252)</f>
        <v>1875</v>
      </c>
      <c r="P252" s="13">
        <f>IF(base!BK252="","",base!BK252)</f>
        <v>46303.805902777778</v>
      </c>
      <c r="Q252" s="15" t="str">
        <f>IF(base!BS252="","",base!BS252)</f>
        <v/>
      </c>
    </row>
    <row r="253" spans="1:17" ht="30" x14ac:dyDescent="0.35">
      <c r="A253" s="14">
        <f>IF(base!A253="","",base!A253)</f>
        <v>6200251</v>
      </c>
      <c r="B253" s="13">
        <f>IF(base!BN253="","",base!BN253)</f>
        <v>46303.625</v>
      </c>
      <c r="C253" s="12" t="str">
        <f>IF(base!C253="","",base!C253)</f>
        <v>ZETABURGOS SRL</v>
      </c>
      <c r="D253" s="12" t="str">
        <f>IF(base!E253="","",base!E253)</f>
        <v>REPROGRAMACIÓN</v>
      </c>
      <c r="E253" s="12" t="str">
        <f>IF(base!BF253="","",base!BF253)</f>
        <v/>
      </c>
      <c r="F253" s="12" t="str">
        <f>IF(D253="","",IF(OR(ISNUMBER(SEARCH("VISITA",D253)),ISNUMBER(SEARCH("RUTA",D253)),ISNUMBER(SEARCH("ARRIB",D253)),ISNUMBER(SEARCH("MATRIZ",D253)),ISNUMBER(SEARCH("PENDIENTE",D253))),"VISITA COORDINADA CON EL CLIENTE","N/A"))</f>
        <v>N/A</v>
      </c>
      <c r="G253" s="12" t="str">
        <f>"#ABC"</f>
        <v>#ABC</v>
      </c>
      <c r="H253" s="12" t="str">
        <f>IF(base!I253="","",base!I253)</f>
        <v>SAMEDAY</v>
      </c>
      <c r="I253" s="12" t="str">
        <f>IF(base!S253="","",base!S253)</f>
        <v>Prueba 251</v>
      </c>
      <c r="J253" s="12" t="str">
        <f>IF(base!T253="","",base!T253)</f>
        <v>Calle 123
Piso 2</v>
      </c>
      <c r="K253" s="12" t="str">
        <f>IF(base!U253="","",base!U253)</f>
        <v/>
      </c>
      <c r="L253" s="12" t="str">
        <f>IF(base!Y253="","",base!Y253)</f>
        <v/>
      </c>
      <c r="M253" s="12" t="str">
        <f>IF(base!AH253="","",base!AH253)</f>
        <v/>
      </c>
      <c r="N253" s="12" t="str">
        <f>IF(base!AI253="","",base!AI253)</f>
        <v>34.072273</v>
      </c>
      <c r="O253" s="12">
        <f>IF(base!BA253="","",base!BA253)</f>
        <v>1875</v>
      </c>
      <c r="P253" s="13">
        <f>IF(base!BK253="","",base!BK253)</f>
        <v>46303.805902777778</v>
      </c>
      <c r="Q253" s="15" t="str">
        <f>IF(base!BS253="","",base!BS253)</f>
        <v/>
      </c>
    </row>
    <row r="254" spans="1:17" ht="30" x14ac:dyDescent="0.35">
      <c r="A254" s="14">
        <f>IF(base!A254="","",base!A254)</f>
        <v>6200252</v>
      </c>
      <c r="B254" s="13">
        <f>IF(base!BN254="","",base!BN254)</f>
        <v>46303.625</v>
      </c>
      <c r="C254" s="12" t="str">
        <f>IF(base!C254="","",base!C254)</f>
        <v>ZETABURGOS SRL</v>
      </c>
      <c r="D254" s="12" t="str">
        <f>IF(base!E254="","",base!E254)</f>
        <v>1RVT - 1° VISITA</v>
      </c>
      <c r="E254" s="12" t="str">
        <f>IF(base!BF254="","",base!BF254)</f>
        <v/>
      </c>
      <c r="F254" s="12" t="str">
        <f>IF(D254="","",IF(OR(ISNUMBER(SEARCH("VISITA",D254)),ISNUMBER(SEARCH("RUTA",D254)),ISNUMBER(SEARCH("ARRIB",D254)),ISNUMBER(SEARCH("MATRIZ",D254)),ISNUMBER(SEARCH("PENDIENTE",D254))),"VISITA COORDINADA CON EL CLIENTE","N/A"))</f>
        <v>VISITA COORDINADA CON EL CLIENTE</v>
      </c>
      <c r="G254" s="12">
        <f>IF(base!G254="","",base!G254)</f>
        <v>470123456</v>
      </c>
      <c r="H254" s="12" t="str">
        <f>IF(base!I254="","",base!I254)</f>
        <v>FLEX</v>
      </c>
      <c r="I254" s="12" t="str">
        <f>IF(base!S254="","",base!S254)</f>
        <v>Prueba 252</v>
      </c>
      <c r="J254" s="12" t="str">
        <f>IF(base!T254="","",base!T254)</f>
        <v>Calle 123
Piso 2</v>
      </c>
      <c r="K254" s="12" t="str">
        <f>IF(base!U254="","",base!U254)</f>
        <v/>
      </c>
      <c r="L254" s="12" t="str">
        <f>IF(base!Y254="","",base!Y254)</f>
        <v/>
      </c>
      <c r="M254" s="12" t="str">
        <f>IF(base!AH254="","",base!AH254)</f>
        <v/>
      </c>
      <c r="N254" s="12" t="str">
        <f>IF(base!AI254="","",base!AI254)</f>
        <v>34.072273</v>
      </c>
      <c r="O254" s="12">
        <f>IF(base!BA254="","",base!BA254)</f>
        <v>1875</v>
      </c>
      <c r="P254" s="13">
        <f>IF(base!BK254="","",base!BK254)</f>
        <v>46303.805902777778</v>
      </c>
      <c r="Q254" s="15" t="str">
        <f>IF(base!BS254="","",base!BS254)</f>
        <v/>
      </c>
    </row>
    <row r="255" spans="1:17" ht="30" x14ac:dyDescent="0.35">
      <c r="A255" s="14">
        <f>IF(base!A255="","",base!A255)</f>
        <v>6200253</v>
      </c>
      <c r="B255" s="13">
        <f>IF(base!BN255="","",base!BN255)</f>
        <v>46303.625</v>
      </c>
      <c r="C255" s="12" t="str">
        <f>IF(base!C255="","",base!C255)</f>
        <v>ZETABURGOS SRL</v>
      </c>
      <c r="D255" s="12" t="str">
        <f>IF(base!E255="","",base!E255)</f>
        <v>ENTREGADO</v>
      </c>
      <c r="E255" s="12" t="str">
        <f>IF(base!BF255="","",base!BF255)</f>
        <v/>
      </c>
      <c r="F255" s="12" t="str">
        <f>IF(D255="","",IF(OR(ISNUMBER(SEARCH("VISITA",D255)),ISNUMBER(SEARCH("RUTA",D255)),ISNUMBER(SEARCH("ARRIB",D255)),ISNUMBER(SEARCH("MATRIZ",D255)),ISNUMBER(SEARCH("PENDIENTE",D255))),"VISITA COORDINADA CON EL CLIENTE","N/A"))</f>
        <v>N/A</v>
      </c>
      <c r="G255" s="12" t="str">
        <f>IF(base!G255="","",base!G255)</f>
        <v>ABC001</v>
      </c>
      <c r="H255" s="12" t="str">
        <f>IF(base!I255="","",base!I255)</f>
        <v>SAMEDAY</v>
      </c>
      <c r="I255" s="12" t="str">
        <f>IF(base!S255="","",base!S255)</f>
        <v>Prueba 253</v>
      </c>
      <c r="J255" s="12" t="str">
        <f>IF(base!T255="","",base!T255)</f>
        <v>Calle 123
Piso 2</v>
      </c>
      <c r="K255" s="12" t="str">
        <f>IF(base!U255="","",base!U255)</f>
        <v/>
      </c>
      <c r="L255" s="12" t="str">
        <f>IF(base!Y255="","",base!Y255)</f>
        <v/>
      </c>
      <c r="M255" s="12" t="str">
        <f>IF(base!AH255="","",base!AH255)</f>
        <v/>
      </c>
      <c r="N255" s="12" t="str">
        <f>IF(base!AI255="","",base!AI255)</f>
        <v>34.072273</v>
      </c>
      <c r="O255" s="12">
        <f>IF(base!BA255="","",base!BA255)</f>
        <v>1875</v>
      </c>
      <c r="P255" s="13">
        <f>IF(base!BK255="","",base!BK255)</f>
        <v>46303.805902777778</v>
      </c>
      <c r="Q255" s="15" t="str">
        <f>IF(base!BS255="","",base!BS255)</f>
        <v/>
      </c>
    </row>
    <row r="256" spans="1:17" ht="30" x14ac:dyDescent="0.35">
      <c r="A256" s="14">
        <f>IF(base!A256="","",base!A256)</f>
        <v>6200254</v>
      </c>
      <c r="B256" s="13">
        <f>IF(base!BN256="","",base!BN256)</f>
        <v>46303.625</v>
      </c>
      <c r="C256" s="12" t="str">
        <f>IF(base!C256="","",base!C256)</f>
        <v>ZETABURGOS SRL</v>
      </c>
      <c r="D256" s="12" t="str">
        <f>IF(base!E256="","",base!E256)</f>
        <v>REPROGRAMACIÓN</v>
      </c>
      <c r="E256" s="12" t="str">
        <f>IF(base!BF256="","",base!BF256)</f>
        <v/>
      </c>
      <c r="F256" s="12" t="str">
        <f>IF(D256="","",IF(OR(ISNUMBER(SEARCH("VISITA",D256)),ISNUMBER(SEARCH("RUTA",D256)),ISNUMBER(SEARCH("ARRIB",D256)),ISNUMBER(SEARCH("MATRIZ",D256)),ISNUMBER(SEARCH("PENDIENTE",D256))),"VISITA COORDINADA CON EL CLIENTE","N/A"))</f>
        <v>N/A</v>
      </c>
      <c r="G256" s="12" t="str">
        <f>IF(base!G256="","",base!G256)</f>
        <v>2000018857041302</v>
      </c>
      <c r="H256" s="12" t="str">
        <f>IF(base!I256="","",base!I256)</f>
        <v>FLEX</v>
      </c>
      <c r="I256" s="12" t="str">
        <f>IF(base!S256="","",base!S256)</f>
        <v>Prueba 254</v>
      </c>
      <c r="J256" s="12" t="str">
        <f>IF(base!T256="","",base!T256)</f>
        <v>Calle 123
Piso 2</v>
      </c>
      <c r="K256" s="12" t="str">
        <f>IF(base!U256="","",base!U256)</f>
        <v/>
      </c>
      <c r="L256" s="12" t="str">
        <f>IF(base!Y256="","",base!Y256)</f>
        <v/>
      </c>
      <c r="M256" s="12" t="str">
        <f>IF(base!AH256="","",base!AH256)</f>
        <v/>
      </c>
      <c r="N256" s="12" t="str">
        <f>IF(base!AI256="","",base!AI256)</f>
        <v>34.072273</v>
      </c>
      <c r="O256" s="12">
        <f>IF(base!BA256="","",base!BA256)</f>
        <v>1875</v>
      </c>
      <c r="P256" s="13">
        <f>IF(base!BK256="","",base!BK256)</f>
        <v>46303.805902777778</v>
      </c>
      <c r="Q256" s="15" t="str">
        <f>IF(base!BS256="","",base!BS256)</f>
        <v/>
      </c>
    </row>
    <row r="257" spans="1:17" ht="30" x14ac:dyDescent="0.35">
      <c r="A257" s="14">
        <f>IF(base!A257="","",base!A257)</f>
        <v>6200255</v>
      </c>
      <c r="B257" s="13">
        <f>IF(base!BN257="","",base!BN257)</f>
        <v>46303.625</v>
      </c>
      <c r="C257" s="12" t="str">
        <f>IF(base!C257="","",base!C257)</f>
        <v>ZETABURGOS SRL</v>
      </c>
      <c r="D257" s="12" t="str">
        <f>IF(base!E257="","",base!E257)</f>
        <v>1RVT - 1° VISITA</v>
      </c>
      <c r="E257" s="12" t="str">
        <f>IF(base!BF257="","",base!BF257)</f>
        <v/>
      </c>
      <c r="F257" s="12" t="str">
        <f>IF(D257="","",IF(OR(ISNUMBER(SEARCH("VISITA",D257)),ISNUMBER(SEARCH("RUTA",D257)),ISNUMBER(SEARCH("ARRIB",D257)),ISNUMBER(SEARCH("MATRIZ",D257)),ISNUMBER(SEARCH("PENDIENTE",D257))),"VISITA COORDINADA CON EL CLIENTE","N/A"))</f>
        <v>VISITA COORDINADA CON EL CLIENTE</v>
      </c>
      <c r="G257" s="12" t="str">
        <f>IF(base!G257="","",base!G257)</f>
        <v>001234</v>
      </c>
      <c r="H257" s="12" t="str">
        <f>IF(base!I257="","",base!I257)</f>
        <v>FLEX</v>
      </c>
      <c r="I257" s="12" t="str">
        <f>IF(base!S257="","",base!S257)</f>
        <v>Prueba 255</v>
      </c>
      <c r="J257" s="12" t="str">
        <f>IF(base!T257="","",base!T257)</f>
        <v>Calle 123
Piso 2</v>
      </c>
      <c r="K257" s="12" t="str">
        <f>IF(base!U257="","",base!U257)</f>
        <v/>
      </c>
      <c r="L257" s="12" t="str">
        <f>IF(base!Y257="","",base!Y257)</f>
        <v/>
      </c>
      <c r="M257" s="12" t="str">
        <f>IF(base!AH257="","",base!AH257)</f>
        <v/>
      </c>
      <c r="N257" s="12" t="str">
        <f>IF(base!AI257="","",base!AI257)</f>
        <v>34.072273</v>
      </c>
      <c r="O257" s="12">
        <f>IF(base!BA257="","",base!BA257)</f>
        <v>1875</v>
      </c>
      <c r="P257" s="13">
        <f>IF(base!BK257="","",base!BK257)</f>
        <v>46303.805902777778</v>
      </c>
      <c r="Q257" s="15" t="str">
        <f>IF(base!BS257="","",base!BS257)</f>
        <v/>
      </c>
    </row>
    <row r="258" spans="1:17" ht="30" x14ac:dyDescent="0.35">
      <c r="A258" s="14">
        <f>IF(base!A258="","",base!A258)</f>
        <v>6200256</v>
      </c>
      <c r="B258" s="13">
        <f>IF(base!BN258="","",base!BN258)</f>
        <v>46303.625</v>
      </c>
      <c r="C258" s="12" t="str">
        <f>IF(base!C258="","",base!C258)</f>
        <v>ZETABURGOS SRL</v>
      </c>
      <c r="D258" s="12" t="str">
        <f>IF(base!E258="","",base!E258)</f>
        <v>ENTREGADO</v>
      </c>
      <c r="E258" s="12" t="str">
        <f>IF(base!BF258="","",base!BF258)</f>
        <v/>
      </c>
      <c r="F258" s="12" t="str">
        <f>IF(D258="","",IF(OR(ISNUMBER(SEARCH("VISITA",D258)),ISNUMBER(SEARCH("RUTA",D258)),ISNUMBER(SEARCH("ARRIB",D258)),ISNUMBER(SEARCH("MATRIZ",D258)),ISNUMBER(SEARCH("PENDIENTE",D258))),"VISITA COORDINADA CON EL CLIENTE","N/A"))</f>
        <v>N/A</v>
      </c>
      <c r="G258" s="12" t="str">
        <f>"#ABC"</f>
        <v>#ABC</v>
      </c>
      <c r="H258" s="12" t="str">
        <f>IF(base!I258="","",base!I258)</f>
        <v>SAMEDAY</v>
      </c>
      <c r="I258" s="12" t="str">
        <f>IF(base!S258="","",base!S258)</f>
        <v>Prueba 256</v>
      </c>
      <c r="J258" s="12" t="str">
        <f>IF(base!T258="","",base!T258)</f>
        <v>Calle 123
Piso 2</v>
      </c>
      <c r="K258" s="12" t="str">
        <f>IF(base!U258="","",base!U258)</f>
        <v/>
      </c>
      <c r="L258" s="12" t="str">
        <f>IF(base!Y258="","",base!Y258)</f>
        <v/>
      </c>
      <c r="M258" s="12" t="str">
        <f>IF(base!AH258="","",base!AH258)</f>
        <v/>
      </c>
      <c r="N258" s="12" t="str">
        <f>IF(base!AI258="","",base!AI258)</f>
        <v>34.072273</v>
      </c>
      <c r="O258" s="12">
        <f>IF(base!BA258="","",base!BA258)</f>
        <v>1875</v>
      </c>
      <c r="P258" s="13">
        <f>IF(base!BK258="","",base!BK258)</f>
        <v>46303.805902777778</v>
      </c>
      <c r="Q258" s="15" t="str">
        <f>IF(base!BS258="","",base!BS258)</f>
        <v/>
      </c>
    </row>
    <row r="259" spans="1:17" ht="30" x14ac:dyDescent="0.35">
      <c r="A259" s="14">
        <f>IF(base!A259="","",base!A259)</f>
        <v>6200257</v>
      </c>
      <c r="B259" s="13">
        <f>IF(base!BN259="","",base!BN259)</f>
        <v>46303.625</v>
      </c>
      <c r="C259" s="12" t="str">
        <f>IF(base!C259="","",base!C259)</f>
        <v>ZETABURGOS SRL</v>
      </c>
      <c r="D259" s="12" t="str">
        <f>IF(base!E259="","",base!E259)</f>
        <v>REPROGRAMACIÓN</v>
      </c>
      <c r="E259" s="12" t="str">
        <f>IF(base!BF259="","",base!BF259)</f>
        <v/>
      </c>
      <c r="F259" s="12" t="str">
        <f>IF(D259="","",IF(OR(ISNUMBER(SEARCH("VISITA",D259)),ISNUMBER(SEARCH("RUTA",D259)),ISNUMBER(SEARCH("ARRIB",D259)),ISNUMBER(SEARCH("MATRIZ",D259)),ISNUMBER(SEARCH("PENDIENTE",D259))),"VISITA COORDINADA CON EL CLIENTE","N/A"))</f>
        <v>N/A</v>
      </c>
      <c r="G259" s="12">
        <f>IF(base!G259="","",base!G259)</f>
        <v>470123456</v>
      </c>
      <c r="H259" s="12" t="str">
        <f>IF(base!I259="","",base!I259)</f>
        <v>FLEX</v>
      </c>
      <c r="I259" s="12" t="str">
        <f>IF(base!S259="","",base!S259)</f>
        <v>Prueba 257</v>
      </c>
      <c r="J259" s="12" t="str">
        <f>IF(base!T259="","",base!T259)</f>
        <v>Calle 123
Piso 2</v>
      </c>
      <c r="K259" s="12" t="str">
        <f>IF(base!U259="","",base!U259)</f>
        <v/>
      </c>
      <c r="L259" s="12" t="str">
        <f>IF(base!Y259="","",base!Y259)</f>
        <v/>
      </c>
      <c r="M259" s="12" t="str">
        <f>IF(base!AH259="","",base!AH259)</f>
        <v/>
      </c>
      <c r="N259" s="12" t="str">
        <f>IF(base!AI259="","",base!AI259)</f>
        <v>34.072273</v>
      </c>
      <c r="O259" s="12">
        <f>IF(base!BA259="","",base!BA259)</f>
        <v>1875</v>
      </c>
      <c r="P259" s="13">
        <f>IF(base!BK259="","",base!BK259)</f>
        <v>46303.805902777778</v>
      </c>
      <c r="Q259" s="15" t="str">
        <f>IF(base!BS259="","",base!BS259)</f>
        <v/>
      </c>
    </row>
    <row r="260" spans="1:17" ht="30" x14ac:dyDescent="0.35">
      <c r="A260" s="14">
        <f>IF(base!A260="","",base!A260)</f>
        <v>6200258</v>
      </c>
      <c r="B260" s="13">
        <f>IF(base!BN260="","",base!BN260)</f>
        <v>46303.625</v>
      </c>
      <c r="C260" s="12" t="str">
        <f>IF(base!C260="","",base!C260)</f>
        <v>ZETABURGOS SRL</v>
      </c>
      <c r="D260" s="12" t="str">
        <f>IF(base!E260="","",base!E260)</f>
        <v>1RVT - 1° VISITA</v>
      </c>
      <c r="E260" s="12" t="str">
        <f>IF(base!BF260="","",base!BF260)</f>
        <v/>
      </c>
      <c r="F260" s="12" t="str">
        <f>IF(D260="","",IF(OR(ISNUMBER(SEARCH("VISITA",D260)),ISNUMBER(SEARCH("RUTA",D260)),ISNUMBER(SEARCH("ARRIB",D260)),ISNUMBER(SEARCH("MATRIZ",D260)),ISNUMBER(SEARCH("PENDIENTE",D260))),"VISITA COORDINADA CON EL CLIENTE","N/A"))</f>
        <v>VISITA COORDINADA CON EL CLIENTE</v>
      </c>
      <c r="G260" s="12" t="str">
        <f>IF(base!G260="","",base!G260)</f>
        <v>ABC001</v>
      </c>
      <c r="H260" s="12" t="str">
        <f>IF(base!I260="","",base!I260)</f>
        <v>SAMEDAY</v>
      </c>
      <c r="I260" s="12" t="str">
        <f>IF(base!S260="","",base!S260)</f>
        <v>Prueba 258</v>
      </c>
      <c r="J260" s="12" t="str">
        <f>IF(base!T260="","",base!T260)</f>
        <v>Calle 123
Piso 2</v>
      </c>
      <c r="K260" s="12" t="str">
        <f>IF(base!U260="","",base!U260)</f>
        <v/>
      </c>
      <c r="L260" s="12" t="str">
        <f>IF(base!Y260="","",base!Y260)</f>
        <v/>
      </c>
      <c r="M260" s="12" t="str">
        <f>IF(base!AH260="","",base!AH260)</f>
        <v/>
      </c>
      <c r="N260" s="12" t="str">
        <f>IF(base!AI260="","",base!AI260)</f>
        <v>34.072273</v>
      </c>
      <c r="O260" s="12">
        <f>IF(base!BA260="","",base!BA260)</f>
        <v>1875</v>
      </c>
      <c r="P260" s="13">
        <f>IF(base!BK260="","",base!BK260)</f>
        <v>46303.805902777778</v>
      </c>
      <c r="Q260" s="15" t="str">
        <f>IF(base!BS260="","",base!BS260)</f>
        <v/>
      </c>
    </row>
    <row r="261" spans="1:17" ht="30" x14ac:dyDescent="0.35">
      <c r="A261" s="14">
        <f>IF(base!A261="","",base!A261)</f>
        <v>6200259</v>
      </c>
      <c r="B261" s="13">
        <f>IF(base!BN261="","",base!BN261)</f>
        <v>46303.625</v>
      </c>
      <c r="C261" s="12" t="str">
        <f>IF(base!C261="","",base!C261)</f>
        <v>ZETABURGOS SRL</v>
      </c>
      <c r="D261" s="12" t="str">
        <f>IF(base!E261="","",base!E261)</f>
        <v>ENTREGADO</v>
      </c>
      <c r="E261" s="12" t="str">
        <f>IF(base!BF261="","",base!BF261)</f>
        <v/>
      </c>
      <c r="F261" s="12" t="str">
        <f>IF(D261="","",IF(OR(ISNUMBER(SEARCH("VISITA",D261)),ISNUMBER(SEARCH("RUTA",D261)),ISNUMBER(SEARCH("ARRIB",D261)),ISNUMBER(SEARCH("MATRIZ",D261)),ISNUMBER(SEARCH("PENDIENTE",D261))),"VISITA COORDINADA CON EL CLIENTE","N/A"))</f>
        <v>N/A</v>
      </c>
      <c r="G261" s="12" t="str">
        <f>IF(base!G261="","",base!G261)</f>
        <v>2000018857041302</v>
      </c>
      <c r="H261" s="12" t="str">
        <f>IF(base!I261="","",base!I261)</f>
        <v>FLEX</v>
      </c>
      <c r="I261" s="12" t="str">
        <f>IF(base!S261="","",base!S261)</f>
        <v>Prueba 259</v>
      </c>
      <c r="J261" s="12" t="str">
        <f>IF(base!T261="","",base!T261)</f>
        <v>Calle 123
Piso 2</v>
      </c>
      <c r="K261" s="12" t="str">
        <f>IF(base!U261="","",base!U261)</f>
        <v/>
      </c>
      <c r="L261" s="12" t="str">
        <f>IF(base!Y261="","",base!Y261)</f>
        <v/>
      </c>
      <c r="M261" s="12" t="str">
        <f>IF(base!AH261="","",base!AH261)</f>
        <v/>
      </c>
      <c r="N261" s="12" t="str">
        <f>IF(base!AI261="","",base!AI261)</f>
        <v>34.072273</v>
      </c>
      <c r="O261" s="12">
        <f>IF(base!BA261="","",base!BA261)</f>
        <v>1875</v>
      </c>
      <c r="P261" s="13">
        <f>IF(base!BK261="","",base!BK261)</f>
        <v>46303.805902777778</v>
      </c>
      <c r="Q261" s="15" t="str">
        <f>IF(base!BS261="","",base!BS261)</f>
        <v/>
      </c>
    </row>
    <row r="262" spans="1:17" ht="30" x14ac:dyDescent="0.35">
      <c r="A262" s="14">
        <f>IF(base!A262="","",base!A262)</f>
        <v>6200260</v>
      </c>
      <c r="B262" s="13">
        <f>IF(base!BN262="","",base!BN262)</f>
        <v>46303.625</v>
      </c>
      <c r="C262" s="12" t="str">
        <f>IF(base!C262="","",base!C262)</f>
        <v>ZETABURGOS SRL</v>
      </c>
      <c r="D262" s="12" t="str">
        <f>IF(base!E262="","",base!E262)</f>
        <v>REPROGRAMACIÓN</v>
      </c>
      <c r="E262" s="12" t="str">
        <f>IF(base!BF262="","",base!BF262)</f>
        <v/>
      </c>
      <c r="F262" s="12" t="str">
        <f>IF(D262="","",IF(OR(ISNUMBER(SEARCH("VISITA",D262)),ISNUMBER(SEARCH("RUTA",D262)),ISNUMBER(SEARCH("ARRIB",D262)),ISNUMBER(SEARCH("MATRIZ",D262)),ISNUMBER(SEARCH("PENDIENTE",D262))),"VISITA COORDINADA CON EL CLIENTE","N/A"))</f>
        <v>N/A</v>
      </c>
      <c r="G262" s="12" t="str">
        <f>IF(base!G262="","",base!G262)</f>
        <v>001234</v>
      </c>
      <c r="H262" s="12" t="str">
        <f>IF(base!I262="","",base!I262)</f>
        <v>FLEX</v>
      </c>
      <c r="I262" s="12" t="str">
        <f>IF(base!S262="","",base!S262)</f>
        <v>Prueba 260</v>
      </c>
      <c r="J262" s="12" t="str">
        <f>IF(base!T262="","",base!T262)</f>
        <v>Calle 123
Piso 2</v>
      </c>
      <c r="K262" s="12" t="str">
        <f>IF(base!U262="","",base!U262)</f>
        <v/>
      </c>
      <c r="L262" s="12" t="str">
        <f>IF(base!Y262="","",base!Y262)</f>
        <v/>
      </c>
      <c r="M262" s="12" t="str">
        <f>IF(base!AH262="","",base!AH262)</f>
        <v/>
      </c>
      <c r="N262" s="12" t="str">
        <f>IF(base!AI262="","",base!AI262)</f>
        <v>34.072273</v>
      </c>
      <c r="O262" s="12">
        <f>IF(base!BA262="","",base!BA262)</f>
        <v>1875</v>
      </c>
      <c r="P262" s="13">
        <f>IF(base!BK262="","",base!BK262)</f>
        <v>46303.805902777778</v>
      </c>
      <c r="Q262" s="15" t="str">
        <f>IF(base!BS262="","",base!BS262)</f>
        <v/>
      </c>
    </row>
    <row r="263" spans="1:17" ht="30" x14ac:dyDescent="0.35">
      <c r="A263" s="14">
        <f>IF(base!A263="","",base!A263)</f>
        <v>6200261</v>
      </c>
      <c r="B263" s="13">
        <f>IF(base!BN263="","",base!BN263)</f>
        <v>46303.625</v>
      </c>
      <c r="C263" s="12" t="str">
        <f>IF(base!C263="","",base!C263)</f>
        <v>ZETABURGOS SRL</v>
      </c>
      <c r="D263" s="12" t="str">
        <f>IF(base!E263="","",base!E263)</f>
        <v>1RVT - 1° VISITA</v>
      </c>
      <c r="E263" s="12" t="str">
        <f>IF(base!BF263="","",base!BF263)</f>
        <v/>
      </c>
      <c r="F263" s="12" t="str">
        <f>IF(D263="","",IF(OR(ISNUMBER(SEARCH("VISITA",D263)),ISNUMBER(SEARCH("RUTA",D263)),ISNUMBER(SEARCH("ARRIB",D263)),ISNUMBER(SEARCH("MATRIZ",D263)),ISNUMBER(SEARCH("PENDIENTE",D263))),"VISITA COORDINADA CON EL CLIENTE","N/A"))</f>
        <v>VISITA COORDINADA CON EL CLIENTE</v>
      </c>
      <c r="G263" s="12" t="str">
        <f>"#ABC"</f>
        <v>#ABC</v>
      </c>
      <c r="H263" s="12" t="str">
        <f>IF(base!I263="","",base!I263)</f>
        <v>SAMEDAY</v>
      </c>
      <c r="I263" s="12" t="str">
        <f>IF(base!S263="","",base!S263)</f>
        <v>Prueba 261</v>
      </c>
      <c r="J263" s="12" t="str">
        <f>IF(base!T263="","",base!T263)</f>
        <v>Calle 123
Piso 2</v>
      </c>
      <c r="K263" s="12" t="str">
        <f>IF(base!U263="","",base!U263)</f>
        <v/>
      </c>
      <c r="L263" s="12" t="str">
        <f>IF(base!Y263="","",base!Y263)</f>
        <v/>
      </c>
      <c r="M263" s="12" t="str">
        <f>IF(base!AH263="","",base!AH263)</f>
        <v/>
      </c>
      <c r="N263" s="12" t="str">
        <f>IF(base!AI263="","",base!AI263)</f>
        <v>34.072273</v>
      </c>
      <c r="O263" s="12">
        <f>IF(base!BA263="","",base!BA263)</f>
        <v>1875</v>
      </c>
      <c r="P263" s="13">
        <f>IF(base!BK263="","",base!BK263)</f>
        <v>46303.805902777778</v>
      </c>
      <c r="Q263" s="15" t="str">
        <f>IF(base!BS263="","",base!BS263)</f>
        <v/>
      </c>
    </row>
    <row r="264" spans="1:17" ht="30" x14ac:dyDescent="0.35">
      <c r="A264" s="14">
        <f>IF(base!A264="","",base!A264)</f>
        <v>6200262</v>
      </c>
      <c r="B264" s="13">
        <f>IF(base!BN264="","",base!BN264)</f>
        <v>46303.625</v>
      </c>
      <c r="C264" s="12" t="str">
        <f>IF(base!C264="","",base!C264)</f>
        <v>ZETABURGOS SRL</v>
      </c>
      <c r="D264" s="12" t="str">
        <f>IF(base!E264="","",base!E264)</f>
        <v>ENTREGADO</v>
      </c>
      <c r="E264" s="12" t="str">
        <f>IF(base!BF264="","",base!BF264)</f>
        <v/>
      </c>
      <c r="F264" s="12" t="str">
        <f>IF(D264="","",IF(OR(ISNUMBER(SEARCH("VISITA",D264)),ISNUMBER(SEARCH("RUTA",D264)),ISNUMBER(SEARCH("ARRIB",D264)),ISNUMBER(SEARCH("MATRIZ",D264)),ISNUMBER(SEARCH("PENDIENTE",D264))),"VISITA COORDINADA CON EL CLIENTE","N/A"))</f>
        <v>N/A</v>
      </c>
      <c r="G264" s="12">
        <f>IF(base!G264="","",base!G264)</f>
        <v>470123456</v>
      </c>
      <c r="H264" s="12" t="str">
        <f>IF(base!I264="","",base!I264)</f>
        <v>FLEX</v>
      </c>
      <c r="I264" s="12" t="str">
        <f>IF(base!S264="","",base!S264)</f>
        <v>Prueba 262</v>
      </c>
      <c r="J264" s="12" t="str">
        <f>IF(base!T264="","",base!T264)</f>
        <v>Calle 123
Piso 2</v>
      </c>
      <c r="K264" s="12" t="str">
        <f>IF(base!U264="","",base!U264)</f>
        <v/>
      </c>
      <c r="L264" s="12" t="str">
        <f>IF(base!Y264="","",base!Y264)</f>
        <v/>
      </c>
      <c r="M264" s="12" t="str">
        <f>IF(base!AH264="","",base!AH264)</f>
        <v/>
      </c>
      <c r="N264" s="12" t="str">
        <f>IF(base!AI264="","",base!AI264)</f>
        <v>34.072273</v>
      </c>
      <c r="O264" s="12">
        <f>IF(base!BA264="","",base!BA264)</f>
        <v>1875</v>
      </c>
      <c r="P264" s="13">
        <f>IF(base!BK264="","",base!BK264)</f>
        <v>46303.805902777778</v>
      </c>
      <c r="Q264" s="15" t="str">
        <f>IF(base!BS264="","",base!BS264)</f>
        <v/>
      </c>
    </row>
    <row r="265" spans="1:17" ht="30" x14ac:dyDescent="0.35">
      <c r="A265" s="14">
        <f>IF(base!A265="","",base!A265)</f>
        <v>6200263</v>
      </c>
      <c r="B265" s="13">
        <f>IF(base!BN265="","",base!BN265)</f>
        <v>46303.625</v>
      </c>
      <c r="C265" s="12" t="str">
        <f>IF(base!C265="","",base!C265)</f>
        <v>ZETABURGOS SRL</v>
      </c>
      <c r="D265" s="12" t="str">
        <f>IF(base!E265="","",base!E265)</f>
        <v>REPROGRAMACIÓN</v>
      </c>
      <c r="E265" s="12" t="str">
        <f>IF(base!BF265="","",base!BF265)</f>
        <v/>
      </c>
      <c r="F265" s="12" t="str">
        <f>IF(D265="","",IF(OR(ISNUMBER(SEARCH("VISITA",D265)),ISNUMBER(SEARCH("RUTA",D265)),ISNUMBER(SEARCH("ARRIB",D265)),ISNUMBER(SEARCH("MATRIZ",D265)),ISNUMBER(SEARCH("PENDIENTE",D265))),"VISITA COORDINADA CON EL CLIENTE","N/A"))</f>
        <v>N/A</v>
      </c>
      <c r="G265" s="12" t="str">
        <f>IF(base!G265="","",base!G265)</f>
        <v>ABC001</v>
      </c>
      <c r="H265" s="12" t="str">
        <f>IF(base!I265="","",base!I265)</f>
        <v>SAMEDAY</v>
      </c>
      <c r="I265" s="12" t="str">
        <f>IF(base!S265="","",base!S265)</f>
        <v>Prueba 263</v>
      </c>
      <c r="J265" s="12" t="str">
        <f>IF(base!T265="","",base!T265)</f>
        <v>Calle 123
Piso 2</v>
      </c>
      <c r="K265" s="12" t="str">
        <f>IF(base!U265="","",base!U265)</f>
        <v/>
      </c>
      <c r="L265" s="12" t="str">
        <f>IF(base!Y265="","",base!Y265)</f>
        <v/>
      </c>
      <c r="M265" s="12" t="str">
        <f>IF(base!AH265="","",base!AH265)</f>
        <v/>
      </c>
      <c r="N265" s="12" t="str">
        <f>IF(base!AI265="","",base!AI265)</f>
        <v>34.072273</v>
      </c>
      <c r="O265" s="12">
        <f>IF(base!BA265="","",base!BA265)</f>
        <v>1875</v>
      </c>
      <c r="P265" s="13">
        <f>IF(base!BK265="","",base!BK265)</f>
        <v>46303.805902777778</v>
      </c>
      <c r="Q265" s="15" t="str">
        <f>IF(base!BS265="","",base!BS265)</f>
        <v/>
      </c>
    </row>
    <row r="266" spans="1:17" ht="30" x14ac:dyDescent="0.35">
      <c r="A266" s="14">
        <f>IF(base!A266="","",base!A266)</f>
        <v>6200264</v>
      </c>
      <c r="B266" s="13">
        <f>IF(base!BN266="","",base!BN266)</f>
        <v>46303.625</v>
      </c>
      <c r="C266" s="12" t="str">
        <f>IF(base!C266="","",base!C266)</f>
        <v>ZETABURGOS SRL</v>
      </c>
      <c r="D266" s="12" t="str">
        <f>IF(base!E266="","",base!E266)</f>
        <v>1RVT - 1° VISITA</v>
      </c>
      <c r="E266" s="12" t="str">
        <f>IF(base!BF266="","",base!BF266)</f>
        <v/>
      </c>
      <c r="F266" s="12" t="str">
        <f>IF(D266="","",IF(OR(ISNUMBER(SEARCH("VISITA",D266)),ISNUMBER(SEARCH("RUTA",D266)),ISNUMBER(SEARCH("ARRIB",D266)),ISNUMBER(SEARCH("MATRIZ",D266)),ISNUMBER(SEARCH("PENDIENTE",D266))),"VISITA COORDINADA CON EL CLIENTE","N/A"))</f>
        <v>VISITA COORDINADA CON EL CLIENTE</v>
      </c>
      <c r="G266" s="12" t="str">
        <f>IF(base!G266="","",base!G266)</f>
        <v>2000018857041302</v>
      </c>
      <c r="H266" s="12" t="str">
        <f>IF(base!I266="","",base!I266)</f>
        <v>FLEX</v>
      </c>
      <c r="I266" s="12" t="str">
        <f>IF(base!S266="","",base!S266)</f>
        <v>Prueba 264</v>
      </c>
      <c r="J266" s="12" t="str">
        <f>IF(base!T266="","",base!T266)</f>
        <v>Calle 123
Piso 2</v>
      </c>
      <c r="K266" s="12" t="str">
        <f>IF(base!U266="","",base!U266)</f>
        <v/>
      </c>
      <c r="L266" s="12" t="str">
        <f>IF(base!Y266="","",base!Y266)</f>
        <v/>
      </c>
      <c r="M266" s="12" t="str">
        <f>IF(base!AH266="","",base!AH266)</f>
        <v/>
      </c>
      <c r="N266" s="12" t="str">
        <f>IF(base!AI266="","",base!AI266)</f>
        <v>34.072273</v>
      </c>
      <c r="O266" s="12">
        <f>IF(base!BA266="","",base!BA266)</f>
        <v>1875</v>
      </c>
      <c r="P266" s="13">
        <f>IF(base!BK266="","",base!BK266)</f>
        <v>46303.805902777778</v>
      </c>
      <c r="Q266" s="15" t="str">
        <f>IF(base!BS266="","",base!BS266)</f>
        <v/>
      </c>
    </row>
    <row r="267" spans="1:17" ht="30" x14ac:dyDescent="0.35">
      <c r="A267" s="14">
        <f>IF(base!A267="","",base!A267)</f>
        <v>6200265</v>
      </c>
      <c r="B267" s="13">
        <f>IF(base!BN267="","",base!BN267)</f>
        <v>46303.625</v>
      </c>
      <c r="C267" s="12" t="str">
        <f>IF(base!C267="","",base!C267)</f>
        <v>ZETABURGOS SRL</v>
      </c>
      <c r="D267" s="12" t="str">
        <f>IF(base!E267="","",base!E267)</f>
        <v>ENTREGADO</v>
      </c>
      <c r="E267" s="12" t="str">
        <f>IF(base!BF267="","",base!BF267)</f>
        <v/>
      </c>
      <c r="F267" s="12" t="str">
        <f>IF(D267="","",IF(OR(ISNUMBER(SEARCH("VISITA",D267)),ISNUMBER(SEARCH("RUTA",D267)),ISNUMBER(SEARCH("ARRIB",D267)),ISNUMBER(SEARCH("MATRIZ",D267)),ISNUMBER(SEARCH("PENDIENTE",D267))),"VISITA COORDINADA CON EL CLIENTE","N/A"))</f>
        <v>N/A</v>
      </c>
      <c r="G267" s="12" t="str">
        <f>IF(base!G267="","",base!G267)</f>
        <v>001234</v>
      </c>
      <c r="H267" s="12" t="str">
        <f>IF(base!I267="","",base!I267)</f>
        <v>FLEX</v>
      </c>
      <c r="I267" s="12" t="str">
        <f>IF(base!S267="","",base!S267)</f>
        <v>Prueba 265</v>
      </c>
      <c r="J267" s="12" t="str">
        <f>IF(base!T267="","",base!T267)</f>
        <v>Calle 123
Piso 2</v>
      </c>
      <c r="K267" s="12" t="str">
        <f>IF(base!U267="","",base!U267)</f>
        <v/>
      </c>
      <c r="L267" s="12" t="str">
        <f>IF(base!Y267="","",base!Y267)</f>
        <v/>
      </c>
      <c r="M267" s="12" t="str">
        <f>IF(base!AH267="","",base!AH267)</f>
        <v/>
      </c>
      <c r="N267" s="12" t="str">
        <f>IF(base!AI267="","",base!AI267)</f>
        <v>34.072273</v>
      </c>
      <c r="O267" s="12">
        <f>IF(base!BA267="","",base!BA267)</f>
        <v>1875</v>
      </c>
      <c r="P267" s="13">
        <f>IF(base!BK267="","",base!BK267)</f>
        <v>46303.805902777778</v>
      </c>
      <c r="Q267" s="15" t="str">
        <f>IF(base!BS267="","",base!BS267)</f>
        <v/>
      </c>
    </row>
    <row r="268" spans="1:17" ht="30" x14ac:dyDescent="0.35">
      <c r="A268" s="14">
        <f>IF(base!A268="","",base!A268)</f>
        <v>6200266</v>
      </c>
      <c r="B268" s="13">
        <f>IF(base!BN268="","",base!BN268)</f>
        <v>46303.625</v>
      </c>
      <c r="C268" s="12" t="str">
        <f>IF(base!C268="","",base!C268)</f>
        <v>ZETABURGOS SRL</v>
      </c>
      <c r="D268" s="12" t="str">
        <f>IF(base!E268="","",base!E268)</f>
        <v>REPROGRAMACIÓN</v>
      </c>
      <c r="E268" s="12" t="str">
        <f>IF(base!BF268="","",base!BF268)</f>
        <v/>
      </c>
      <c r="F268" s="12" t="str">
        <f>IF(D268="","",IF(OR(ISNUMBER(SEARCH("VISITA",D268)),ISNUMBER(SEARCH("RUTA",D268)),ISNUMBER(SEARCH("ARRIB",D268)),ISNUMBER(SEARCH("MATRIZ",D268)),ISNUMBER(SEARCH("PENDIENTE",D268))),"VISITA COORDINADA CON EL CLIENTE","N/A"))</f>
        <v>N/A</v>
      </c>
      <c r="G268" s="12" t="str">
        <f>"#ABC"</f>
        <v>#ABC</v>
      </c>
      <c r="H268" s="12" t="str">
        <f>IF(base!I268="","",base!I268)</f>
        <v>SAMEDAY</v>
      </c>
      <c r="I268" s="12" t="str">
        <f>IF(base!S268="","",base!S268)</f>
        <v>Prueba 266</v>
      </c>
      <c r="J268" s="12" t="str">
        <f>IF(base!T268="","",base!T268)</f>
        <v>Calle 123
Piso 2</v>
      </c>
      <c r="K268" s="12" t="str">
        <f>IF(base!U268="","",base!U268)</f>
        <v/>
      </c>
      <c r="L268" s="12" t="str">
        <f>IF(base!Y268="","",base!Y268)</f>
        <v/>
      </c>
      <c r="M268" s="12" t="str">
        <f>IF(base!AH268="","",base!AH268)</f>
        <v/>
      </c>
      <c r="N268" s="12" t="str">
        <f>IF(base!AI268="","",base!AI268)</f>
        <v>34.072273</v>
      </c>
      <c r="O268" s="12">
        <f>IF(base!BA268="","",base!BA268)</f>
        <v>1875</v>
      </c>
      <c r="P268" s="13">
        <f>IF(base!BK268="","",base!BK268)</f>
        <v>46303.805902777778</v>
      </c>
      <c r="Q268" s="15" t="str">
        <f>IF(base!BS268="","",base!BS268)</f>
        <v/>
      </c>
    </row>
    <row r="269" spans="1:17" ht="30" x14ac:dyDescent="0.35">
      <c r="A269" s="14">
        <f>IF(base!A269="","",base!A269)</f>
        <v>6200267</v>
      </c>
      <c r="B269" s="13">
        <f>IF(base!BN269="","",base!BN269)</f>
        <v>46303.625</v>
      </c>
      <c r="C269" s="12" t="str">
        <f>IF(base!C269="","",base!C269)</f>
        <v>ZETABURGOS SRL</v>
      </c>
      <c r="D269" s="12" t="str">
        <f>IF(base!E269="","",base!E269)</f>
        <v>1RVT - 1° VISITA</v>
      </c>
      <c r="E269" s="12" t="str">
        <f>IF(base!BF269="","",base!BF269)</f>
        <v/>
      </c>
      <c r="F269" s="12" t="str">
        <f>IF(D269="","",IF(OR(ISNUMBER(SEARCH("VISITA",D269)),ISNUMBER(SEARCH("RUTA",D269)),ISNUMBER(SEARCH("ARRIB",D269)),ISNUMBER(SEARCH("MATRIZ",D269)),ISNUMBER(SEARCH("PENDIENTE",D269))),"VISITA COORDINADA CON EL CLIENTE","N/A"))</f>
        <v>VISITA COORDINADA CON EL CLIENTE</v>
      </c>
      <c r="G269" s="12">
        <f>IF(base!G269="","",base!G269)</f>
        <v>470123456</v>
      </c>
      <c r="H269" s="12" t="str">
        <f>IF(base!I269="","",base!I269)</f>
        <v>FLEX</v>
      </c>
      <c r="I269" s="12" t="str">
        <f>IF(base!S269="","",base!S269)</f>
        <v>Prueba 267</v>
      </c>
      <c r="J269" s="12" t="str">
        <f>IF(base!T269="","",base!T269)</f>
        <v>Calle 123
Piso 2</v>
      </c>
      <c r="K269" s="12" t="str">
        <f>IF(base!U269="","",base!U269)</f>
        <v/>
      </c>
      <c r="L269" s="12" t="str">
        <f>IF(base!Y269="","",base!Y269)</f>
        <v/>
      </c>
      <c r="M269" s="12" t="str">
        <f>IF(base!AH269="","",base!AH269)</f>
        <v/>
      </c>
      <c r="N269" s="12" t="str">
        <f>IF(base!AI269="","",base!AI269)</f>
        <v>34.072273</v>
      </c>
      <c r="O269" s="12">
        <f>IF(base!BA269="","",base!BA269)</f>
        <v>1875</v>
      </c>
      <c r="P269" s="13">
        <f>IF(base!BK269="","",base!BK269)</f>
        <v>46303.805902777778</v>
      </c>
      <c r="Q269" s="15" t="str">
        <f>IF(base!BS269="","",base!BS269)</f>
        <v/>
      </c>
    </row>
    <row r="270" spans="1:17" ht="30" x14ac:dyDescent="0.35">
      <c r="A270" s="14">
        <f>IF(base!A270="","",base!A270)</f>
        <v>6200268</v>
      </c>
      <c r="B270" s="13">
        <f>IF(base!BN270="","",base!BN270)</f>
        <v>46303.625</v>
      </c>
      <c r="C270" s="12" t="str">
        <f>IF(base!C270="","",base!C270)</f>
        <v>ZETABURGOS SRL</v>
      </c>
      <c r="D270" s="12" t="str">
        <f>IF(base!E270="","",base!E270)</f>
        <v>ENTREGADO</v>
      </c>
      <c r="E270" s="12" t="str">
        <f>IF(base!BF270="","",base!BF270)</f>
        <v/>
      </c>
      <c r="F270" s="12" t="str">
        <f>IF(D270="","",IF(OR(ISNUMBER(SEARCH("VISITA",D270)),ISNUMBER(SEARCH("RUTA",D270)),ISNUMBER(SEARCH("ARRIB",D270)),ISNUMBER(SEARCH("MATRIZ",D270)),ISNUMBER(SEARCH("PENDIENTE",D270))),"VISITA COORDINADA CON EL CLIENTE","N/A"))</f>
        <v>N/A</v>
      </c>
      <c r="G270" s="12" t="str">
        <f>IF(base!G270="","",base!G270)</f>
        <v>ABC001</v>
      </c>
      <c r="H270" s="12" t="str">
        <f>IF(base!I270="","",base!I270)</f>
        <v>SAMEDAY</v>
      </c>
      <c r="I270" s="12" t="str">
        <f>IF(base!S270="","",base!S270)</f>
        <v>Prueba 268</v>
      </c>
      <c r="J270" s="12" t="str">
        <f>IF(base!T270="","",base!T270)</f>
        <v>Calle 123
Piso 2</v>
      </c>
      <c r="K270" s="12" t="str">
        <f>IF(base!U270="","",base!U270)</f>
        <v/>
      </c>
      <c r="L270" s="12" t="str">
        <f>IF(base!Y270="","",base!Y270)</f>
        <v/>
      </c>
      <c r="M270" s="12" t="str">
        <f>IF(base!AH270="","",base!AH270)</f>
        <v/>
      </c>
      <c r="N270" s="12" t="str">
        <f>IF(base!AI270="","",base!AI270)</f>
        <v>34.072273</v>
      </c>
      <c r="O270" s="12">
        <f>IF(base!BA270="","",base!BA270)</f>
        <v>1875</v>
      </c>
      <c r="P270" s="13">
        <f>IF(base!BK270="","",base!BK270)</f>
        <v>46303.805902777778</v>
      </c>
      <c r="Q270" s="15" t="str">
        <f>IF(base!BS270="","",base!BS270)</f>
        <v/>
      </c>
    </row>
    <row r="271" spans="1:17" ht="30" x14ac:dyDescent="0.35">
      <c r="A271" s="14">
        <f>IF(base!A271="","",base!A271)</f>
        <v>6200269</v>
      </c>
      <c r="B271" s="13">
        <f>IF(base!BN271="","",base!BN271)</f>
        <v>46303.625</v>
      </c>
      <c r="C271" s="12" t="str">
        <f>IF(base!C271="","",base!C271)</f>
        <v>ZETABURGOS SRL</v>
      </c>
      <c r="D271" s="12" t="str">
        <f>IF(base!E271="","",base!E271)</f>
        <v>REPROGRAMACIÓN</v>
      </c>
      <c r="E271" s="12" t="str">
        <f>IF(base!BF271="","",base!BF271)</f>
        <v/>
      </c>
      <c r="F271" s="12" t="str">
        <f>IF(D271="","",IF(OR(ISNUMBER(SEARCH("VISITA",D271)),ISNUMBER(SEARCH("RUTA",D271)),ISNUMBER(SEARCH("ARRIB",D271)),ISNUMBER(SEARCH("MATRIZ",D271)),ISNUMBER(SEARCH("PENDIENTE",D271))),"VISITA COORDINADA CON EL CLIENTE","N/A"))</f>
        <v>N/A</v>
      </c>
      <c r="G271" s="12" t="str">
        <f>IF(base!G271="","",base!G271)</f>
        <v>2000018857041302</v>
      </c>
      <c r="H271" s="12" t="str">
        <f>IF(base!I271="","",base!I271)</f>
        <v>FLEX</v>
      </c>
      <c r="I271" s="12" t="str">
        <f>IF(base!S271="","",base!S271)</f>
        <v>Prueba 269</v>
      </c>
      <c r="J271" s="12" t="str">
        <f>IF(base!T271="","",base!T271)</f>
        <v>Calle 123
Piso 2</v>
      </c>
      <c r="K271" s="12" t="str">
        <f>IF(base!U271="","",base!U271)</f>
        <v/>
      </c>
      <c r="L271" s="12" t="str">
        <f>IF(base!Y271="","",base!Y271)</f>
        <v/>
      </c>
      <c r="M271" s="12" t="str">
        <f>IF(base!AH271="","",base!AH271)</f>
        <v/>
      </c>
      <c r="N271" s="12" t="str">
        <f>IF(base!AI271="","",base!AI271)</f>
        <v>34.072273</v>
      </c>
      <c r="O271" s="12">
        <f>IF(base!BA271="","",base!BA271)</f>
        <v>1875</v>
      </c>
      <c r="P271" s="13">
        <f>IF(base!BK271="","",base!BK271)</f>
        <v>46303.805902777778</v>
      </c>
      <c r="Q271" s="15" t="str">
        <f>IF(base!BS271="","",base!BS271)</f>
        <v/>
      </c>
    </row>
    <row r="272" spans="1:17" ht="30" x14ac:dyDescent="0.35">
      <c r="A272" s="14">
        <f>IF(base!A272="","",base!A272)</f>
        <v>6200270</v>
      </c>
      <c r="B272" s="13">
        <f>IF(base!BN272="","",base!BN272)</f>
        <v>46303.625</v>
      </c>
      <c r="C272" s="12" t="str">
        <f>IF(base!C272="","",base!C272)</f>
        <v>ZETABURGOS SRL</v>
      </c>
      <c r="D272" s="12" t="str">
        <f>IF(base!E272="","",base!E272)</f>
        <v>1RVT - 1° VISITA</v>
      </c>
      <c r="E272" s="12" t="str">
        <f>IF(base!BF272="","",base!BF272)</f>
        <v/>
      </c>
      <c r="F272" s="12" t="str">
        <f>IF(D272="","",IF(OR(ISNUMBER(SEARCH("VISITA",D272)),ISNUMBER(SEARCH("RUTA",D272)),ISNUMBER(SEARCH("ARRIB",D272)),ISNUMBER(SEARCH("MATRIZ",D272)),ISNUMBER(SEARCH("PENDIENTE",D272))),"VISITA COORDINADA CON EL CLIENTE","N/A"))</f>
        <v>VISITA COORDINADA CON EL CLIENTE</v>
      </c>
      <c r="G272" s="12" t="str">
        <f>IF(base!G272="","",base!G272)</f>
        <v>001234</v>
      </c>
      <c r="H272" s="12" t="str">
        <f>IF(base!I272="","",base!I272)</f>
        <v>FLEX</v>
      </c>
      <c r="I272" s="12" t="str">
        <f>IF(base!S272="","",base!S272)</f>
        <v>Prueba 270</v>
      </c>
      <c r="J272" s="12" t="str">
        <f>IF(base!T272="","",base!T272)</f>
        <v>Calle 123
Piso 2</v>
      </c>
      <c r="K272" s="12" t="str">
        <f>IF(base!U272="","",base!U272)</f>
        <v/>
      </c>
      <c r="L272" s="12" t="str">
        <f>IF(base!Y272="","",base!Y272)</f>
        <v/>
      </c>
      <c r="M272" s="12" t="str">
        <f>IF(base!AH272="","",base!AH272)</f>
        <v/>
      </c>
      <c r="N272" s="12" t="str">
        <f>IF(base!AI272="","",base!AI272)</f>
        <v>34.072273</v>
      </c>
      <c r="O272" s="12">
        <f>IF(base!BA272="","",base!BA272)</f>
        <v>1875</v>
      </c>
      <c r="P272" s="13">
        <f>IF(base!BK272="","",base!BK272)</f>
        <v>46303.805902777778</v>
      </c>
      <c r="Q272" s="15" t="str">
        <f>IF(base!BS272="","",base!BS272)</f>
        <v/>
      </c>
    </row>
    <row r="273" spans="1:17" ht="30" x14ac:dyDescent="0.35">
      <c r="A273" s="14">
        <f>IF(base!A273="","",base!A273)</f>
        <v>6200271</v>
      </c>
      <c r="B273" s="13">
        <f>IF(base!BN273="","",base!BN273)</f>
        <v>46303.625</v>
      </c>
      <c r="C273" s="12" t="str">
        <f>IF(base!C273="","",base!C273)</f>
        <v>ZETABURGOS SRL</v>
      </c>
      <c r="D273" s="12" t="str">
        <f>IF(base!E273="","",base!E273)</f>
        <v>ENTREGADO</v>
      </c>
      <c r="E273" s="12" t="str">
        <f>IF(base!BF273="","",base!BF273)</f>
        <v/>
      </c>
      <c r="F273" s="12" t="str">
        <f>IF(D273="","",IF(OR(ISNUMBER(SEARCH("VISITA",D273)),ISNUMBER(SEARCH("RUTA",D273)),ISNUMBER(SEARCH("ARRIB",D273)),ISNUMBER(SEARCH("MATRIZ",D273)),ISNUMBER(SEARCH("PENDIENTE",D273))),"VISITA COORDINADA CON EL CLIENTE","N/A"))</f>
        <v>N/A</v>
      </c>
      <c r="G273" s="12" t="str">
        <f>"#ABC"</f>
        <v>#ABC</v>
      </c>
      <c r="H273" s="12" t="str">
        <f>IF(base!I273="","",base!I273)</f>
        <v>SAMEDAY</v>
      </c>
      <c r="I273" s="12" t="str">
        <f>IF(base!S273="","",base!S273)</f>
        <v>Prueba 271</v>
      </c>
      <c r="J273" s="12" t="str">
        <f>IF(base!T273="","",base!T273)</f>
        <v>Calle 123
Piso 2</v>
      </c>
      <c r="K273" s="12" t="str">
        <f>IF(base!U273="","",base!U273)</f>
        <v/>
      </c>
      <c r="L273" s="12" t="str">
        <f>IF(base!Y273="","",base!Y273)</f>
        <v/>
      </c>
      <c r="M273" s="12" t="str">
        <f>IF(base!AH273="","",base!AH273)</f>
        <v/>
      </c>
      <c r="N273" s="12" t="str">
        <f>IF(base!AI273="","",base!AI273)</f>
        <v>34.072273</v>
      </c>
      <c r="O273" s="12">
        <f>IF(base!BA273="","",base!BA273)</f>
        <v>1875</v>
      </c>
      <c r="P273" s="13">
        <f>IF(base!BK273="","",base!BK273)</f>
        <v>46303.805902777778</v>
      </c>
      <c r="Q273" s="15" t="str">
        <f>IF(base!BS273="","",base!BS273)</f>
        <v/>
      </c>
    </row>
    <row r="274" spans="1:17" ht="30" x14ac:dyDescent="0.35">
      <c r="A274" s="14">
        <f>IF(base!A274="","",base!A274)</f>
        <v>6200272</v>
      </c>
      <c r="B274" s="13">
        <f>IF(base!BN274="","",base!BN274)</f>
        <v>46303.625</v>
      </c>
      <c r="C274" s="12" t="str">
        <f>IF(base!C274="","",base!C274)</f>
        <v>ZETABURGOS SRL</v>
      </c>
      <c r="D274" s="12" t="str">
        <f>IF(base!E274="","",base!E274)</f>
        <v>REPROGRAMACIÓN</v>
      </c>
      <c r="E274" s="12" t="str">
        <f>IF(base!BF274="","",base!BF274)</f>
        <v/>
      </c>
      <c r="F274" s="12" t="str">
        <f>IF(D274="","",IF(OR(ISNUMBER(SEARCH("VISITA",D274)),ISNUMBER(SEARCH("RUTA",D274)),ISNUMBER(SEARCH("ARRIB",D274)),ISNUMBER(SEARCH("MATRIZ",D274)),ISNUMBER(SEARCH("PENDIENTE",D274))),"VISITA COORDINADA CON EL CLIENTE","N/A"))</f>
        <v>N/A</v>
      </c>
      <c r="G274" s="12">
        <f>IF(base!G274="","",base!G274)</f>
        <v>470123456</v>
      </c>
      <c r="H274" s="12" t="str">
        <f>IF(base!I274="","",base!I274)</f>
        <v>FLEX</v>
      </c>
      <c r="I274" s="12" t="str">
        <f>IF(base!S274="","",base!S274)</f>
        <v>Prueba 272</v>
      </c>
      <c r="J274" s="12" t="str">
        <f>IF(base!T274="","",base!T274)</f>
        <v>Calle 123
Piso 2</v>
      </c>
      <c r="K274" s="12" t="str">
        <f>IF(base!U274="","",base!U274)</f>
        <v/>
      </c>
      <c r="L274" s="12" t="str">
        <f>IF(base!Y274="","",base!Y274)</f>
        <v/>
      </c>
      <c r="M274" s="12" t="str">
        <f>IF(base!AH274="","",base!AH274)</f>
        <v/>
      </c>
      <c r="N274" s="12" t="str">
        <f>IF(base!AI274="","",base!AI274)</f>
        <v>34.072273</v>
      </c>
      <c r="O274" s="12">
        <f>IF(base!BA274="","",base!BA274)</f>
        <v>1875</v>
      </c>
      <c r="P274" s="13">
        <f>IF(base!BK274="","",base!BK274)</f>
        <v>46303.805902777778</v>
      </c>
      <c r="Q274" s="15" t="str">
        <f>IF(base!BS274="","",base!BS274)</f>
        <v/>
      </c>
    </row>
    <row r="275" spans="1:17" ht="30" x14ac:dyDescent="0.35">
      <c r="A275" s="14">
        <f>IF(base!A275="","",base!A275)</f>
        <v>6200273</v>
      </c>
      <c r="B275" s="13">
        <f>IF(base!BN275="","",base!BN275)</f>
        <v>46303.625</v>
      </c>
      <c r="C275" s="12" t="str">
        <f>IF(base!C275="","",base!C275)</f>
        <v>ZETABURGOS SRL</v>
      </c>
      <c r="D275" s="12" t="str">
        <f>IF(base!E275="","",base!E275)</f>
        <v>1RVT - 1° VISITA</v>
      </c>
      <c r="E275" s="12" t="str">
        <f>IF(base!BF275="","",base!BF275)</f>
        <v/>
      </c>
      <c r="F275" s="12" t="str">
        <f>IF(D275="","",IF(OR(ISNUMBER(SEARCH("VISITA",D275)),ISNUMBER(SEARCH("RUTA",D275)),ISNUMBER(SEARCH("ARRIB",D275)),ISNUMBER(SEARCH("MATRIZ",D275)),ISNUMBER(SEARCH("PENDIENTE",D275))),"VISITA COORDINADA CON EL CLIENTE","N/A"))</f>
        <v>VISITA COORDINADA CON EL CLIENTE</v>
      </c>
      <c r="G275" s="12" t="str">
        <f>IF(base!G275="","",base!G275)</f>
        <v>ABC001</v>
      </c>
      <c r="H275" s="12" t="str">
        <f>IF(base!I275="","",base!I275)</f>
        <v>SAMEDAY</v>
      </c>
      <c r="I275" s="12" t="str">
        <f>IF(base!S275="","",base!S275)</f>
        <v>Prueba 273</v>
      </c>
      <c r="J275" s="12" t="str">
        <f>IF(base!T275="","",base!T275)</f>
        <v>Calle 123
Piso 2</v>
      </c>
      <c r="K275" s="12" t="str">
        <f>IF(base!U275="","",base!U275)</f>
        <v/>
      </c>
      <c r="L275" s="12" t="str">
        <f>IF(base!Y275="","",base!Y275)</f>
        <v/>
      </c>
      <c r="M275" s="12" t="str">
        <f>IF(base!AH275="","",base!AH275)</f>
        <v/>
      </c>
      <c r="N275" s="12" t="str">
        <f>IF(base!AI275="","",base!AI275)</f>
        <v>34.072273</v>
      </c>
      <c r="O275" s="12">
        <f>IF(base!BA275="","",base!BA275)</f>
        <v>1875</v>
      </c>
      <c r="P275" s="13">
        <f>IF(base!BK275="","",base!BK275)</f>
        <v>46303.805902777778</v>
      </c>
      <c r="Q275" s="15" t="str">
        <f>IF(base!BS275="","",base!BS275)</f>
        <v/>
      </c>
    </row>
    <row r="276" spans="1:17" ht="30" x14ac:dyDescent="0.35">
      <c r="A276" s="14">
        <f>IF(base!A276="","",base!A276)</f>
        <v>6200274</v>
      </c>
      <c r="B276" s="13">
        <f>IF(base!BN276="","",base!BN276)</f>
        <v>46303.625</v>
      </c>
      <c r="C276" s="12" t="str">
        <f>IF(base!C276="","",base!C276)</f>
        <v>ZETABURGOS SRL</v>
      </c>
      <c r="D276" s="12" t="str">
        <f>IF(base!E276="","",base!E276)</f>
        <v>ENTREGADO</v>
      </c>
      <c r="E276" s="12" t="str">
        <f>IF(base!BF276="","",base!BF276)</f>
        <v/>
      </c>
      <c r="F276" s="12" t="str">
        <f>IF(D276="","",IF(OR(ISNUMBER(SEARCH("VISITA",D276)),ISNUMBER(SEARCH("RUTA",D276)),ISNUMBER(SEARCH("ARRIB",D276)),ISNUMBER(SEARCH("MATRIZ",D276)),ISNUMBER(SEARCH("PENDIENTE",D276))),"VISITA COORDINADA CON EL CLIENTE","N/A"))</f>
        <v>N/A</v>
      </c>
      <c r="G276" s="12" t="str">
        <f>IF(base!G276="","",base!G276)</f>
        <v>2000018857041302</v>
      </c>
      <c r="H276" s="12" t="str">
        <f>IF(base!I276="","",base!I276)</f>
        <v>FLEX</v>
      </c>
      <c r="I276" s="12" t="str">
        <f>IF(base!S276="","",base!S276)</f>
        <v>Prueba 274</v>
      </c>
      <c r="J276" s="12" t="str">
        <f>IF(base!T276="","",base!T276)</f>
        <v>Calle 123
Piso 2</v>
      </c>
      <c r="K276" s="12" t="str">
        <f>IF(base!U276="","",base!U276)</f>
        <v/>
      </c>
      <c r="L276" s="12" t="str">
        <f>IF(base!Y276="","",base!Y276)</f>
        <v/>
      </c>
      <c r="M276" s="12" t="str">
        <f>IF(base!AH276="","",base!AH276)</f>
        <v/>
      </c>
      <c r="N276" s="12" t="str">
        <f>IF(base!AI276="","",base!AI276)</f>
        <v>34.072273</v>
      </c>
      <c r="O276" s="12">
        <f>IF(base!BA276="","",base!BA276)</f>
        <v>1875</v>
      </c>
      <c r="P276" s="13">
        <f>IF(base!BK276="","",base!BK276)</f>
        <v>46303.805902777778</v>
      </c>
      <c r="Q276" s="15" t="str">
        <f>IF(base!BS276="","",base!BS276)</f>
        <v/>
      </c>
    </row>
    <row r="277" spans="1:17" ht="30" x14ac:dyDescent="0.35">
      <c r="A277" s="14">
        <f>IF(base!A277="","",base!A277)</f>
        <v>6200275</v>
      </c>
      <c r="B277" s="13">
        <f>IF(base!BN277="","",base!BN277)</f>
        <v>46303.625</v>
      </c>
      <c r="C277" s="12" t="str">
        <f>IF(base!C277="","",base!C277)</f>
        <v>ZETABURGOS SRL</v>
      </c>
      <c r="D277" s="12" t="str">
        <f>IF(base!E277="","",base!E277)</f>
        <v>REPROGRAMACIÓN</v>
      </c>
      <c r="E277" s="12" t="str">
        <f>IF(base!BF277="","",base!BF277)</f>
        <v/>
      </c>
      <c r="F277" s="12" t="str">
        <f>IF(D277="","",IF(OR(ISNUMBER(SEARCH("VISITA",D277)),ISNUMBER(SEARCH("RUTA",D277)),ISNUMBER(SEARCH("ARRIB",D277)),ISNUMBER(SEARCH("MATRIZ",D277)),ISNUMBER(SEARCH("PENDIENTE",D277))),"VISITA COORDINADA CON EL CLIENTE","N/A"))</f>
        <v>N/A</v>
      </c>
      <c r="G277" s="12" t="str">
        <f>IF(base!G277="","",base!G277)</f>
        <v>001234</v>
      </c>
      <c r="H277" s="12" t="str">
        <f>IF(base!I277="","",base!I277)</f>
        <v>FLEX</v>
      </c>
      <c r="I277" s="12" t="str">
        <f>IF(base!S277="","",base!S277)</f>
        <v>Prueba 275</v>
      </c>
      <c r="J277" s="12" t="str">
        <f>IF(base!T277="","",base!T277)</f>
        <v>Calle 123
Piso 2</v>
      </c>
      <c r="K277" s="12" t="str">
        <f>IF(base!U277="","",base!U277)</f>
        <v/>
      </c>
      <c r="L277" s="12" t="str">
        <f>IF(base!Y277="","",base!Y277)</f>
        <v/>
      </c>
      <c r="M277" s="12" t="str">
        <f>IF(base!AH277="","",base!AH277)</f>
        <v/>
      </c>
      <c r="N277" s="12" t="str">
        <f>IF(base!AI277="","",base!AI277)</f>
        <v>34.072273</v>
      </c>
      <c r="O277" s="12">
        <f>IF(base!BA277="","",base!BA277)</f>
        <v>1875</v>
      </c>
      <c r="P277" s="13">
        <f>IF(base!BK277="","",base!BK277)</f>
        <v>46303.805902777778</v>
      </c>
      <c r="Q277" s="15" t="str">
        <f>IF(base!BS277="","",base!BS277)</f>
        <v/>
      </c>
    </row>
    <row r="278" spans="1:17" ht="30" x14ac:dyDescent="0.35">
      <c r="A278" s="14">
        <f>IF(base!A278="","",base!A278)</f>
        <v>6200276</v>
      </c>
      <c r="B278" s="13">
        <f>IF(base!BN278="","",base!BN278)</f>
        <v>46303.625</v>
      </c>
      <c r="C278" s="12" t="str">
        <f>IF(base!C278="","",base!C278)</f>
        <v>ZETABURGOS SRL</v>
      </c>
      <c r="D278" s="12" t="str">
        <f>IF(base!E278="","",base!E278)</f>
        <v>1RVT - 1° VISITA</v>
      </c>
      <c r="E278" s="12" t="str">
        <f>IF(base!BF278="","",base!BF278)</f>
        <v/>
      </c>
      <c r="F278" s="12" t="str">
        <f>IF(D278="","",IF(OR(ISNUMBER(SEARCH("VISITA",D278)),ISNUMBER(SEARCH("RUTA",D278)),ISNUMBER(SEARCH("ARRIB",D278)),ISNUMBER(SEARCH("MATRIZ",D278)),ISNUMBER(SEARCH("PENDIENTE",D278))),"VISITA COORDINADA CON EL CLIENTE","N/A"))</f>
        <v>VISITA COORDINADA CON EL CLIENTE</v>
      </c>
      <c r="G278" s="12" t="str">
        <f>"#ABC"</f>
        <v>#ABC</v>
      </c>
      <c r="H278" s="12" t="str">
        <f>IF(base!I278="","",base!I278)</f>
        <v>SAMEDAY</v>
      </c>
      <c r="I278" s="12" t="str">
        <f>IF(base!S278="","",base!S278)</f>
        <v>Prueba 276</v>
      </c>
      <c r="J278" s="12" t="str">
        <f>IF(base!T278="","",base!T278)</f>
        <v>Calle 123
Piso 2</v>
      </c>
      <c r="K278" s="12" t="str">
        <f>IF(base!U278="","",base!U278)</f>
        <v/>
      </c>
      <c r="L278" s="12" t="str">
        <f>IF(base!Y278="","",base!Y278)</f>
        <v/>
      </c>
      <c r="M278" s="12" t="str">
        <f>IF(base!AH278="","",base!AH278)</f>
        <v/>
      </c>
      <c r="N278" s="12" t="str">
        <f>IF(base!AI278="","",base!AI278)</f>
        <v>34.072273</v>
      </c>
      <c r="O278" s="12">
        <f>IF(base!BA278="","",base!BA278)</f>
        <v>1875</v>
      </c>
      <c r="P278" s="13">
        <f>IF(base!BK278="","",base!BK278)</f>
        <v>46303.805902777778</v>
      </c>
      <c r="Q278" s="15" t="str">
        <f>IF(base!BS278="","",base!BS278)</f>
        <v/>
      </c>
    </row>
    <row r="279" spans="1:17" ht="30" x14ac:dyDescent="0.35">
      <c r="A279" s="14">
        <f>IF(base!A279="","",base!A279)</f>
        <v>6200277</v>
      </c>
      <c r="B279" s="13">
        <f>IF(base!BN279="","",base!BN279)</f>
        <v>46303.625</v>
      </c>
      <c r="C279" s="12" t="str">
        <f>IF(base!C279="","",base!C279)</f>
        <v>ZETABURGOS SRL</v>
      </c>
      <c r="D279" s="12" t="str">
        <f>IF(base!E279="","",base!E279)</f>
        <v>ENTREGADO</v>
      </c>
      <c r="E279" s="12" t="str">
        <f>IF(base!BF279="","",base!BF279)</f>
        <v/>
      </c>
      <c r="F279" s="12" t="str">
        <f>IF(D279="","",IF(OR(ISNUMBER(SEARCH("VISITA",D279)),ISNUMBER(SEARCH("RUTA",D279)),ISNUMBER(SEARCH("ARRIB",D279)),ISNUMBER(SEARCH("MATRIZ",D279)),ISNUMBER(SEARCH("PENDIENTE",D279))),"VISITA COORDINADA CON EL CLIENTE","N/A"))</f>
        <v>N/A</v>
      </c>
      <c r="G279" s="12">
        <f>IF(base!G279="","",base!G279)</f>
        <v>470123456</v>
      </c>
      <c r="H279" s="12" t="str">
        <f>IF(base!I279="","",base!I279)</f>
        <v>FLEX</v>
      </c>
      <c r="I279" s="12" t="str">
        <f>IF(base!S279="","",base!S279)</f>
        <v>Prueba 277</v>
      </c>
      <c r="J279" s="12" t="str">
        <f>IF(base!T279="","",base!T279)</f>
        <v>Calle 123
Piso 2</v>
      </c>
      <c r="K279" s="12" t="str">
        <f>IF(base!U279="","",base!U279)</f>
        <v/>
      </c>
      <c r="L279" s="12" t="str">
        <f>IF(base!Y279="","",base!Y279)</f>
        <v/>
      </c>
      <c r="M279" s="12" t="str">
        <f>IF(base!AH279="","",base!AH279)</f>
        <v/>
      </c>
      <c r="N279" s="12" t="str">
        <f>IF(base!AI279="","",base!AI279)</f>
        <v>34.072273</v>
      </c>
      <c r="O279" s="12">
        <f>IF(base!BA279="","",base!BA279)</f>
        <v>1875</v>
      </c>
      <c r="P279" s="13">
        <f>IF(base!BK279="","",base!BK279)</f>
        <v>46303.805902777778</v>
      </c>
      <c r="Q279" s="15" t="str">
        <f>IF(base!BS279="","",base!BS279)</f>
        <v/>
      </c>
    </row>
    <row r="280" spans="1:17" ht="30" x14ac:dyDescent="0.35">
      <c r="A280" s="14">
        <f>IF(base!A280="","",base!A280)</f>
        <v>6200278</v>
      </c>
      <c r="B280" s="13">
        <f>IF(base!BN280="","",base!BN280)</f>
        <v>46303.625</v>
      </c>
      <c r="C280" s="12" t="str">
        <f>IF(base!C280="","",base!C280)</f>
        <v>ZETABURGOS SRL</v>
      </c>
      <c r="D280" s="12" t="str">
        <f>IF(base!E280="","",base!E280)</f>
        <v>REPROGRAMACIÓN</v>
      </c>
      <c r="E280" s="12" t="str">
        <f>IF(base!BF280="","",base!BF280)</f>
        <v/>
      </c>
      <c r="F280" s="12" t="str">
        <f>IF(D280="","",IF(OR(ISNUMBER(SEARCH("VISITA",D280)),ISNUMBER(SEARCH("RUTA",D280)),ISNUMBER(SEARCH("ARRIB",D280)),ISNUMBER(SEARCH("MATRIZ",D280)),ISNUMBER(SEARCH("PENDIENTE",D280))),"VISITA COORDINADA CON EL CLIENTE","N/A"))</f>
        <v>N/A</v>
      </c>
      <c r="G280" s="12" t="str">
        <f>IF(base!G280="","",base!G280)</f>
        <v>ABC001</v>
      </c>
      <c r="H280" s="12" t="str">
        <f>IF(base!I280="","",base!I280)</f>
        <v>SAMEDAY</v>
      </c>
      <c r="I280" s="12" t="str">
        <f>IF(base!S280="","",base!S280)</f>
        <v>Prueba 278</v>
      </c>
      <c r="J280" s="12" t="str">
        <f>IF(base!T280="","",base!T280)</f>
        <v>Calle 123
Piso 2</v>
      </c>
      <c r="K280" s="12" t="str">
        <f>IF(base!U280="","",base!U280)</f>
        <v/>
      </c>
      <c r="L280" s="12" t="str">
        <f>IF(base!Y280="","",base!Y280)</f>
        <v/>
      </c>
      <c r="M280" s="12" t="str">
        <f>IF(base!AH280="","",base!AH280)</f>
        <v/>
      </c>
      <c r="N280" s="12" t="str">
        <f>IF(base!AI280="","",base!AI280)</f>
        <v>34.072273</v>
      </c>
      <c r="O280" s="12">
        <f>IF(base!BA280="","",base!BA280)</f>
        <v>1875</v>
      </c>
      <c r="P280" s="13">
        <f>IF(base!BK280="","",base!BK280)</f>
        <v>46303.805902777778</v>
      </c>
      <c r="Q280" s="15" t="str">
        <f>IF(base!BS280="","",base!BS280)</f>
        <v/>
      </c>
    </row>
    <row r="281" spans="1:17" ht="30" x14ac:dyDescent="0.35">
      <c r="A281" s="14">
        <f>IF(base!A281="","",base!A281)</f>
        <v>6200279</v>
      </c>
      <c r="B281" s="13">
        <f>IF(base!BN281="","",base!BN281)</f>
        <v>46303.625</v>
      </c>
      <c r="C281" s="12" t="str">
        <f>IF(base!C281="","",base!C281)</f>
        <v>ZETABURGOS SRL</v>
      </c>
      <c r="D281" s="12" t="str">
        <f>IF(base!E281="","",base!E281)</f>
        <v>1RVT - 1° VISITA</v>
      </c>
      <c r="E281" s="12" t="str">
        <f>IF(base!BF281="","",base!BF281)</f>
        <v/>
      </c>
      <c r="F281" s="12" t="str">
        <f>IF(D281="","",IF(OR(ISNUMBER(SEARCH("VISITA",D281)),ISNUMBER(SEARCH("RUTA",D281)),ISNUMBER(SEARCH("ARRIB",D281)),ISNUMBER(SEARCH("MATRIZ",D281)),ISNUMBER(SEARCH("PENDIENTE",D281))),"VISITA COORDINADA CON EL CLIENTE","N/A"))</f>
        <v>VISITA COORDINADA CON EL CLIENTE</v>
      </c>
      <c r="G281" s="12" t="str">
        <f>IF(base!G281="","",base!G281)</f>
        <v>2000018857041302</v>
      </c>
      <c r="H281" s="12" t="str">
        <f>IF(base!I281="","",base!I281)</f>
        <v>FLEX</v>
      </c>
      <c r="I281" s="12" t="str">
        <f>IF(base!S281="","",base!S281)</f>
        <v>Prueba 279</v>
      </c>
      <c r="J281" s="12" t="str">
        <f>IF(base!T281="","",base!T281)</f>
        <v>Calle 123
Piso 2</v>
      </c>
      <c r="K281" s="12" t="str">
        <f>IF(base!U281="","",base!U281)</f>
        <v/>
      </c>
      <c r="L281" s="12" t="str">
        <f>IF(base!Y281="","",base!Y281)</f>
        <v/>
      </c>
      <c r="M281" s="12" t="str">
        <f>IF(base!AH281="","",base!AH281)</f>
        <v/>
      </c>
      <c r="N281" s="12" t="str">
        <f>IF(base!AI281="","",base!AI281)</f>
        <v>34.072273</v>
      </c>
      <c r="O281" s="12">
        <f>IF(base!BA281="","",base!BA281)</f>
        <v>1875</v>
      </c>
      <c r="P281" s="13">
        <f>IF(base!BK281="","",base!BK281)</f>
        <v>46303.805902777778</v>
      </c>
      <c r="Q281" s="15" t="str">
        <f>IF(base!BS281="","",base!BS281)</f>
        <v/>
      </c>
    </row>
    <row r="282" spans="1:17" ht="30" x14ac:dyDescent="0.35">
      <c r="A282" s="14">
        <f>IF(base!A282="","",base!A282)</f>
        <v>6200280</v>
      </c>
      <c r="B282" s="13">
        <f>IF(base!BN282="","",base!BN282)</f>
        <v>46303.625</v>
      </c>
      <c r="C282" s="12" t="str">
        <f>IF(base!C282="","",base!C282)</f>
        <v>ZETABURGOS SRL</v>
      </c>
      <c r="D282" s="12" t="str">
        <f>IF(base!E282="","",base!E282)</f>
        <v>ENTREGADO</v>
      </c>
      <c r="E282" s="12" t="str">
        <f>IF(base!BF282="","",base!BF282)</f>
        <v/>
      </c>
      <c r="F282" s="12" t="str">
        <f>IF(D282="","",IF(OR(ISNUMBER(SEARCH("VISITA",D282)),ISNUMBER(SEARCH("RUTA",D282)),ISNUMBER(SEARCH("ARRIB",D282)),ISNUMBER(SEARCH("MATRIZ",D282)),ISNUMBER(SEARCH("PENDIENTE",D282))),"VISITA COORDINADA CON EL CLIENTE","N/A"))</f>
        <v>N/A</v>
      </c>
      <c r="G282" s="12" t="str">
        <f>IF(base!G282="","",base!G282)</f>
        <v>001234</v>
      </c>
      <c r="H282" s="12" t="str">
        <f>IF(base!I282="","",base!I282)</f>
        <v>FLEX</v>
      </c>
      <c r="I282" s="12" t="str">
        <f>IF(base!S282="","",base!S282)</f>
        <v>Prueba 280</v>
      </c>
      <c r="J282" s="12" t="str">
        <f>IF(base!T282="","",base!T282)</f>
        <v>Calle 123
Piso 2</v>
      </c>
      <c r="K282" s="12" t="str">
        <f>IF(base!U282="","",base!U282)</f>
        <v/>
      </c>
      <c r="L282" s="12" t="str">
        <f>IF(base!Y282="","",base!Y282)</f>
        <v/>
      </c>
      <c r="M282" s="12" t="str">
        <f>IF(base!AH282="","",base!AH282)</f>
        <v/>
      </c>
      <c r="N282" s="12" t="str">
        <f>IF(base!AI282="","",base!AI282)</f>
        <v>34.072273</v>
      </c>
      <c r="O282" s="12">
        <f>IF(base!BA282="","",base!BA282)</f>
        <v>1875</v>
      </c>
      <c r="P282" s="13">
        <f>IF(base!BK282="","",base!BK282)</f>
        <v>46303.805902777778</v>
      </c>
      <c r="Q282" s="15" t="str">
        <f>IF(base!BS282="","",base!BS282)</f>
        <v/>
      </c>
    </row>
    <row r="283" spans="1:17" ht="30" x14ac:dyDescent="0.35">
      <c r="A283" s="14">
        <f>IF(base!A283="","",base!A283)</f>
        <v>6200281</v>
      </c>
      <c r="B283" s="13">
        <f>IF(base!BN283="","",base!BN283)</f>
        <v>46303.625</v>
      </c>
      <c r="C283" s="12" t="str">
        <f>IF(base!C283="","",base!C283)</f>
        <v>ZETABURGOS SRL</v>
      </c>
      <c r="D283" s="12" t="str">
        <f>IF(base!E283="","",base!E283)</f>
        <v>REPROGRAMACIÓN</v>
      </c>
      <c r="E283" s="12" t="str">
        <f>IF(base!BF283="","",base!BF283)</f>
        <v/>
      </c>
      <c r="F283" s="12" t="str">
        <f>IF(D283="","",IF(OR(ISNUMBER(SEARCH("VISITA",D283)),ISNUMBER(SEARCH("RUTA",D283)),ISNUMBER(SEARCH("ARRIB",D283)),ISNUMBER(SEARCH("MATRIZ",D283)),ISNUMBER(SEARCH("PENDIENTE",D283))),"VISITA COORDINADA CON EL CLIENTE","N/A"))</f>
        <v>N/A</v>
      </c>
      <c r="G283" s="12" t="str">
        <f>"#ABC"</f>
        <v>#ABC</v>
      </c>
      <c r="H283" s="12" t="str">
        <f>IF(base!I283="","",base!I283)</f>
        <v>SAMEDAY</v>
      </c>
      <c r="I283" s="12" t="str">
        <f>IF(base!S283="","",base!S283)</f>
        <v>Prueba 281</v>
      </c>
      <c r="J283" s="12" t="str">
        <f>IF(base!T283="","",base!T283)</f>
        <v>Calle 123
Piso 2</v>
      </c>
      <c r="K283" s="12" t="str">
        <f>IF(base!U283="","",base!U283)</f>
        <v/>
      </c>
      <c r="L283" s="12" t="str">
        <f>IF(base!Y283="","",base!Y283)</f>
        <v/>
      </c>
      <c r="M283" s="12" t="str">
        <f>IF(base!AH283="","",base!AH283)</f>
        <v/>
      </c>
      <c r="N283" s="12" t="str">
        <f>IF(base!AI283="","",base!AI283)</f>
        <v>34.072273</v>
      </c>
      <c r="O283" s="12">
        <f>IF(base!BA283="","",base!BA283)</f>
        <v>1875</v>
      </c>
      <c r="P283" s="13">
        <f>IF(base!BK283="","",base!BK283)</f>
        <v>46303.805902777778</v>
      </c>
      <c r="Q283" s="15" t="str">
        <f>IF(base!BS283="","",base!BS283)</f>
        <v/>
      </c>
    </row>
    <row r="284" spans="1:17" ht="30" x14ac:dyDescent="0.35">
      <c r="A284" s="14">
        <f>IF(base!A284="","",base!A284)</f>
        <v>6200282</v>
      </c>
      <c r="B284" s="13">
        <f>IF(base!BN284="","",base!BN284)</f>
        <v>46303.625</v>
      </c>
      <c r="C284" s="12" t="str">
        <f>IF(base!C284="","",base!C284)</f>
        <v>ZETABURGOS SRL</v>
      </c>
      <c r="D284" s="12" t="str">
        <f>IF(base!E284="","",base!E284)</f>
        <v>1RVT - 1° VISITA</v>
      </c>
      <c r="E284" s="12" t="str">
        <f>IF(base!BF284="","",base!BF284)</f>
        <v/>
      </c>
      <c r="F284" s="12" t="str">
        <f>IF(D284="","",IF(OR(ISNUMBER(SEARCH("VISITA",D284)),ISNUMBER(SEARCH("RUTA",D284)),ISNUMBER(SEARCH("ARRIB",D284)),ISNUMBER(SEARCH("MATRIZ",D284)),ISNUMBER(SEARCH("PENDIENTE",D284))),"VISITA COORDINADA CON EL CLIENTE","N/A"))</f>
        <v>VISITA COORDINADA CON EL CLIENTE</v>
      </c>
      <c r="G284" s="12">
        <f>IF(base!G284="","",base!G284)</f>
        <v>470123456</v>
      </c>
      <c r="H284" s="12" t="str">
        <f>IF(base!I284="","",base!I284)</f>
        <v>FLEX</v>
      </c>
      <c r="I284" s="12" t="str">
        <f>IF(base!S284="","",base!S284)</f>
        <v>Prueba 282</v>
      </c>
      <c r="J284" s="12" t="str">
        <f>IF(base!T284="","",base!T284)</f>
        <v>Calle 123
Piso 2</v>
      </c>
      <c r="K284" s="12" t="str">
        <f>IF(base!U284="","",base!U284)</f>
        <v/>
      </c>
      <c r="L284" s="12" t="str">
        <f>IF(base!Y284="","",base!Y284)</f>
        <v/>
      </c>
      <c r="M284" s="12" t="str">
        <f>IF(base!AH284="","",base!AH284)</f>
        <v/>
      </c>
      <c r="N284" s="12" t="str">
        <f>IF(base!AI284="","",base!AI284)</f>
        <v>34.072273</v>
      </c>
      <c r="O284" s="12">
        <f>IF(base!BA284="","",base!BA284)</f>
        <v>1875</v>
      </c>
      <c r="P284" s="13">
        <f>IF(base!BK284="","",base!BK284)</f>
        <v>46303.805902777778</v>
      </c>
      <c r="Q284" s="15" t="str">
        <f>IF(base!BS284="","",base!BS284)</f>
        <v/>
      </c>
    </row>
    <row r="285" spans="1:17" ht="30" x14ac:dyDescent="0.35">
      <c r="A285" s="14">
        <f>IF(base!A285="","",base!A285)</f>
        <v>6200283</v>
      </c>
      <c r="B285" s="13">
        <f>IF(base!BN285="","",base!BN285)</f>
        <v>46303.625</v>
      </c>
      <c r="C285" s="12" t="str">
        <f>IF(base!C285="","",base!C285)</f>
        <v>ZETABURGOS SRL</v>
      </c>
      <c r="D285" s="12" t="str">
        <f>IF(base!E285="","",base!E285)</f>
        <v>ENTREGADO</v>
      </c>
      <c r="E285" s="12" t="str">
        <f>IF(base!BF285="","",base!BF285)</f>
        <v/>
      </c>
      <c r="F285" s="12" t="str">
        <f>IF(D285="","",IF(OR(ISNUMBER(SEARCH("VISITA",D285)),ISNUMBER(SEARCH("RUTA",D285)),ISNUMBER(SEARCH("ARRIB",D285)),ISNUMBER(SEARCH("MATRIZ",D285)),ISNUMBER(SEARCH("PENDIENTE",D285))),"VISITA COORDINADA CON EL CLIENTE","N/A"))</f>
        <v>N/A</v>
      </c>
      <c r="G285" s="12" t="str">
        <f>IF(base!G285="","",base!G285)</f>
        <v>ABC001</v>
      </c>
      <c r="H285" s="12" t="str">
        <f>IF(base!I285="","",base!I285)</f>
        <v>SAMEDAY</v>
      </c>
      <c r="I285" s="12" t="str">
        <f>IF(base!S285="","",base!S285)</f>
        <v>Prueba 283</v>
      </c>
      <c r="J285" s="12" t="str">
        <f>IF(base!T285="","",base!T285)</f>
        <v>Calle 123
Piso 2</v>
      </c>
      <c r="K285" s="12" t="str">
        <f>IF(base!U285="","",base!U285)</f>
        <v/>
      </c>
      <c r="L285" s="12" t="str">
        <f>IF(base!Y285="","",base!Y285)</f>
        <v/>
      </c>
      <c r="M285" s="12" t="str">
        <f>IF(base!AH285="","",base!AH285)</f>
        <v/>
      </c>
      <c r="N285" s="12" t="str">
        <f>IF(base!AI285="","",base!AI285)</f>
        <v>34.072273</v>
      </c>
      <c r="O285" s="12">
        <f>IF(base!BA285="","",base!BA285)</f>
        <v>1875</v>
      </c>
      <c r="P285" s="13">
        <f>IF(base!BK285="","",base!BK285)</f>
        <v>46303.805902777778</v>
      </c>
      <c r="Q285" s="15" t="str">
        <f>IF(base!BS285="","",base!BS285)</f>
        <v/>
      </c>
    </row>
    <row r="286" spans="1:17" ht="30" x14ac:dyDescent="0.35">
      <c r="A286" s="14">
        <f>IF(base!A286="","",base!A286)</f>
        <v>6200284</v>
      </c>
      <c r="B286" s="13">
        <f>IF(base!BN286="","",base!BN286)</f>
        <v>46303.625</v>
      </c>
      <c r="C286" s="12" t="str">
        <f>IF(base!C286="","",base!C286)</f>
        <v>ZETABURGOS SRL</v>
      </c>
      <c r="D286" s="12" t="str">
        <f>IF(base!E286="","",base!E286)</f>
        <v>REPROGRAMACIÓN</v>
      </c>
      <c r="E286" s="12" t="str">
        <f>IF(base!BF286="","",base!BF286)</f>
        <v/>
      </c>
      <c r="F286" s="12" t="str">
        <f>IF(D286="","",IF(OR(ISNUMBER(SEARCH("VISITA",D286)),ISNUMBER(SEARCH("RUTA",D286)),ISNUMBER(SEARCH("ARRIB",D286)),ISNUMBER(SEARCH("MATRIZ",D286)),ISNUMBER(SEARCH("PENDIENTE",D286))),"VISITA COORDINADA CON EL CLIENTE","N/A"))</f>
        <v>N/A</v>
      </c>
      <c r="G286" s="12" t="str">
        <f>IF(base!G286="","",base!G286)</f>
        <v>2000018857041302</v>
      </c>
      <c r="H286" s="12" t="str">
        <f>IF(base!I286="","",base!I286)</f>
        <v>FLEX</v>
      </c>
      <c r="I286" s="12" t="str">
        <f>IF(base!S286="","",base!S286)</f>
        <v>Prueba 284</v>
      </c>
      <c r="J286" s="12" t="str">
        <f>IF(base!T286="","",base!T286)</f>
        <v>Calle 123
Piso 2</v>
      </c>
      <c r="K286" s="12" t="str">
        <f>IF(base!U286="","",base!U286)</f>
        <v/>
      </c>
      <c r="L286" s="12" t="str">
        <f>IF(base!Y286="","",base!Y286)</f>
        <v/>
      </c>
      <c r="M286" s="12" t="str">
        <f>IF(base!AH286="","",base!AH286)</f>
        <v/>
      </c>
      <c r="N286" s="12" t="str">
        <f>IF(base!AI286="","",base!AI286)</f>
        <v>34.072273</v>
      </c>
      <c r="O286" s="12">
        <f>IF(base!BA286="","",base!BA286)</f>
        <v>1875</v>
      </c>
      <c r="P286" s="13">
        <f>IF(base!BK286="","",base!BK286)</f>
        <v>46303.805902777778</v>
      </c>
      <c r="Q286" s="15" t="str">
        <f>IF(base!BS286="","",base!BS286)</f>
        <v/>
      </c>
    </row>
    <row r="287" spans="1:17" ht="30" x14ac:dyDescent="0.35">
      <c r="A287" s="14">
        <f>IF(base!A287="","",base!A287)</f>
        <v>6200285</v>
      </c>
      <c r="B287" s="13">
        <f>IF(base!BN287="","",base!BN287)</f>
        <v>46303.625</v>
      </c>
      <c r="C287" s="12" t="str">
        <f>IF(base!C287="","",base!C287)</f>
        <v>ZETABURGOS SRL</v>
      </c>
      <c r="D287" s="12" t="str">
        <f>IF(base!E287="","",base!E287)</f>
        <v>1RVT - 1° VISITA</v>
      </c>
      <c r="E287" s="12" t="str">
        <f>IF(base!BF287="","",base!BF287)</f>
        <v/>
      </c>
      <c r="F287" s="12" t="str">
        <f>IF(D287="","",IF(OR(ISNUMBER(SEARCH("VISITA",D287)),ISNUMBER(SEARCH("RUTA",D287)),ISNUMBER(SEARCH("ARRIB",D287)),ISNUMBER(SEARCH("MATRIZ",D287)),ISNUMBER(SEARCH("PENDIENTE",D287))),"VISITA COORDINADA CON EL CLIENTE","N/A"))</f>
        <v>VISITA COORDINADA CON EL CLIENTE</v>
      </c>
      <c r="G287" s="12" t="str">
        <f>IF(base!G287="","",base!G287)</f>
        <v>001234</v>
      </c>
      <c r="H287" s="12" t="str">
        <f>IF(base!I287="","",base!I287)</f>
        <v>FLEX</v>
      </c>
      <c r="I287" s="12" t="str">
        <f>IF(base!S287="","",base!S287)</f>
        <v>Prueba 285</v>
      </c>
      <c r="J287" s="12" t="str">
        <f>IF(base!T287="","",base!T287)</f>
        <v>Calle 123
Piso 2</v>
      </c>
      <c r="K287" s="12" t="str">
        <f>IF(base!U287="","",base!U287)</f>
        <v/>
      </c>
      <c r="L287" s="12" t="str">
        <f>IF(base!Y287="","",base!Y287)</f>
        <v/>
      </c>
      <c r="M287" s="12" t="str">
        <f>IF(base!AH287="","",base!AH287)</f>
        <v/>
      </c>
      <c r="N287" s="12" t="str">
        <f>IF(base!AI287="","",base!AI287)</f>
        <v>34.072273</v>
      </c>
      <c r="O287" s="12">
        <f>IF(base!BA287="","",base!BA287)</f>
        <v>1875</v>
      </c>
      <c r="P287" s="13">
        <f>IF(base!BK287="","",base!BK287)</f>
        <v>46303.805902777778</v>
      </c>
      <c r="Q287" s="15" t="str">
        <f>IF(base!BS287="","",base!BS287)</f>
        <v/>
      </c>
    </row>
    <row r="288" spans="1:17" ht="30" x14ac:dyDescent="0.35">
      <c r="A288" s="14">
        <f>IF(base!A288="","",base!A288)</f>
        <v>6200286</v>
      </c>
      <c r="B288" s="13">
        <f>IF(base!BN288="","",base!BN288)</f>
        <v>46303.625</v>
      </c>
      <c r="C288" s="12" t="str">
        <f>IF(base!C288="","",base!C288)</f>
        <v>ZETABURGOS SRL</v>
      </c>
      <c r="D288" s="12" t="str">
        <f>IF(base!E288="","",base!E288)</f>
        <v>ENTREGADO</v>
      </c>
      <c r="E288" s="12" t="str">
        <f>IF(base!BF288="","",base!BF288)</f>
        <v/>
      </c>
      <c r="F288" s="12" t="str">
        <f>IF(D288="","",IF(OR(ISNUMBER(SEARCH("VISITA",D288)),ISNUMBER(SEARCH("RUTA",D288)),ISNUMBER(SEARCH("ARRIB",D288)),ISNUMBER(SEARCH("MATRIZ",D288)),ISNUMBER(SEARCH("PENDIENTE",D288))),"VISITA COORDINADA CON EL CLIENTE","N/A"))</f>
        <v>N/A</v>
      </c>
      <c r="G288" s="12" t="str">
        <f>"#ABC"</f>
        <v>#ABC</v>
      </c>
      <c r="H288" s="12" t="str">
        <f>IF(base!I288="","",base!I288)</f>
        <v>SAMEDAY</v>
      </c>
      <c r="I288" s="12" t="str">
        <f>IF(base!S288="","",base!S288)</f>
        <v>Prueba 286</v>
      </c>
      <c r="J288" s="12" t="str">
        <f>IF(base!T288="","",base!T288)</f>
        <v>Calle 123
Piso 2</v>
      </c>
      <c r="K288" s="12" t="str">
        <f>IF(base!U288="","",base!U288)</f>
        <v/>
      </c>
      <c r="L288" s="12" t="str">
        <f>IF(base!Y288="","",base!Y288)</f>
        <v/>
      </c>
      <c r="M288" s="12" t="str">
        <f>IF(base!AH288="","",base!AH288)</f>
        <v/>
      </c>
      <c r="N288" s="12" t="str">
        <f>IF(base!AI288="","",base!AI288)</f>
        <v>34.072273</v>
      </c>
      <c r="O288" s="12">
        <f>IF(base!BA288="","",base!BA288)</f>
        <v>1875</v>
      </c>
      <c r="P288" s="13">
        <f>IF(base!BK288="","",base!BK288)</f>
        <v>46303.805902777778</v>
      </c>
      <c r="Q288" s="15" t="str">
        <f>IF(base!BS288="","",base!BS288)</f>
        <v/>
      </c>
    </row>
    <row r="289" spans="1:17" ht="30" x14ac:dyDescent="0.35">
      <c r="A289" s="14">
        <f>IF(base!A289="","",base!A289)</f>
        <v>6200287</v>
      </c>
      <c r="B289" s="13">
        <f>IF(base!BN289="","",base!BN289)</f>
        <v>46303.625</v>
      </c>
      <c r="C289" s="12" t="str">
        <f>IF(base!C289="","",base!C289)</f>
        <v>ZETABURGOS SRL</v>
      </c>
      <c r="D289" s="12" t="str">
        <f>IF(base!E289="","",base!E289)</f>
        <v>REPROGRAMACIÓN</v>
      </c>
      <c r="E289" s="12" t="str">
        <f>IF(base!BF289="","",base!BF289)</f>
        <v/>
      </c>
      <c r="F289" s="12" t="str">
        <f>IF(D289="","",IF(OR(ISNUMBER(SEARCH("VISITA",D289)),ISNUMBER(SEARCH("RUTA",D289)),ISNUMBER(SEARCH("ARRIB",D289)),ISNUMBER(SEARCH("MATRIZ",D289)),ISNUMBER(SEARCH("PENDIENTE",D289))),"VISITA COORDINADA CON EL CLIENTE","N/A"))</f>
        <v>N/A</v>
      </c>
      <c r="G289" s="12">
        <f>IF(base!G289="","",base!G289)</f>
        <v>470123456</v>
      </c>
      <c r="H289" s="12" t="str">
        <f>IF(base!I289="","",base!I289)</f>
        <v>FLEX</v>
      </c>
      <c r="I289" s="12" t="str">
        <f>IF(base!S289="","",base!S289)</f>
        <v>Prueba 287</v>
      </c>
      <c r="J289" s="12" t="str">
        <f>IF(base!T289="","",base!T289)</f>
        <v>Calle 123
Piso 2</v>
      </c>
      <c r="K289" s="12" t="str">
        <f>IF(base!U289="","",base!U289)</f>
        <v/>
      </c>
      <c r="L289" s="12" t="str">
        <f>IF(base!Y289="","",base!Y289)</f>
        <v/>
      </c>
      <c r="M289" s="12" t="str">
        <f>IF(base!AH289="","",base!AH289)</f>
        <v/>
      </c>
      <c r="N289" s="12" t="str">
        <f>IF(base!AI289="","",base!AI289)</f>
        <v>34.072273</v>
      </c>
      <c r="O289" s="12">
        <f>IF(base!BA289="","",base!BA289)</f>
        <v>1875</v>
      </c>
      <c r="P289" s="13">
        <f>IF(base!BK289="","",base!BK289)</f>
        <v>46303.805902777778</v>
      </c>
      <c r="Q289" s="15" t="str">
        <f>IF(base!BS289="","",base!BS289)</f>
        <v/>
      </c>
    </row>
    <row r="290" spans="1:17" ht="30" x14ac:dyDescent="0.35">
      <c r="A290" s="14">
        <f>IF(base!A290="","",base!A290)</f>
        <v>6200288</v>
      </c>
      <c r="B290" s="13">
        <f>IF(base!BN290="","",base!BN290)</f>
        <v>46303.625</v>
      </c>
      <c r="C290" s="12" t="str">
        <f>IF(base!C290="","",base!C290)</f>
        <v>ZETABURGOS SRL</v>
      </c>
      <c r="D290" s="12" t="str">
        <f>IF(base!E290="","",base!E290)</f>
        <v>1RVT - 1° VISITA</v>
      </c>
      <c r="E290" s="12" t="str">
        <f>IF(base!BF290="","",base!BF290)</f>
        <v/>
      </c>
      <c r="F290" s="12" t="str">
        <f>IF(D290="","",IF(OR(ISNUMBER(SEARCH("VISITA",D290)),ISNUMBER(SEARCH("RUTA",D290)),ISNUMBER(SEARCH("ARRIB",D290)),ISNUMBER(SEARCH("MATRIZ",D290)),ISNUMBER(SEARCH("PENDIENTE",D290))),"VISITA COORDINADA CON EL CLIENTE","N/A"))</f>
        <v>VISITA COORDINADA CON EL CLIENTE</v>
      </c>
      <c r="G290" s="12" t="str">
        <f>IF(base!G290="","",base!G290)</f>
        <v>ABC001</v>
      </c>
      <c r="H290" s="12" t="str">
        <f>IF(base!I290="","",base!I290)</f>
        <v>SAMEDAY</v>
      </c>
      <c r="I290" s="12" t="str">
        <f>IF(base!S290="","",base!S290)</f>
        <v>Prueba 288</v>
      </c>
      <c r="J290" s="12" t="str">
        <f>IF(base!T290="","",base!T290)</f>
        <v>Calle 123
Piso 2</v>
      </c>
      <c r="K290" s="12" t="str">
        <f>IF(base!U290="","",base!U290)</f>
        <v/>
      </c>
      <c r="L290" s="12" t="str">
        <f>IF(base!Y290="","",base!Y290)</f>
        <v/>
      </c>
      <c r="M290" s="12" t="str">
        <f>IF(base!AH290="","",base!AH290)</f>
        <v/>
      </c>
      <c r="N290" s="12" t="str">
        <f>IF(base!AI290="","",base!AI290)</f>
        <v>34.072273</v>
      </c>
      <c r="O290" s="12">
        <f>IF(base!BA290="","",base!BA290)</f>
        <v>1875</v>
      </c>
      <c r="P290" s="13">
        <f>IF(base!BK290="","",base!BK290)</f>
        <v>46303.805902777778</v>
      </c>
      <c r="Q290" s="15" t="str">
        <f>IF(base!BS290="","",base!BS290)</f>
        <v/>
      </c>
    </row>
    <row r="291" spans="1:17" ht="30" x14ac:dyDescent="0.35">
      <c r="A291" s="14">
        <f>IF(base!A291="","",base!A291)</f>
        <v>6200289</v>
      </c>
      <c r="B291" s="13">
        <f>IF(base!BN291="","",base!BN291)</f>
        <v>46303.625</v>
      </c>
      <c r="C291" s="12" t="str">
        <f>IF(base!C291="","",base!C291)</f>
        <v>ZETABURGOS SRL</v>
      </c>
      <c r="D291" s="12" t="str">
        <f>IF(base!E291="","",base!E291)</f>
        <v>ENTREGADO</v>
      </c>
      <c r="E291" s="12" t="str">
        <f>IF(base!BF291="","",base!BF291)</f>
        <v/>
      </c>
      <c r="F291" s="12" t="str">
        <f>IF(D291="","",IF(OR(ISNUMBER(SEARCH("VISITA",D291)),ISNUMBER(SEARCH("RUTA",D291)),ISNUMBER(SEARCH("ARRIB",D291)),ISNUMBER(SEARCH("MATRIZ",D291)),ISNUMBER(SEARCH("PENDIENTE",D291))),"VISITA COORDINADA CON EL CLIENTE","N/A"))</f>
        <v>N/A</v>
      </c>
      <c r="G291" s="12" t="str">
        <f>IF(base!G291="","",base!G291)</f>
        <v>2000018857041302</v>
      </c>
      <c r="H291" s="12" t="str">
        <f>IF(base!I291="","",base!I291)</f>
        <v>FLEX</v>
      </c>
      <c r="I291" s="12" t="str">
        <f>IF(base!S291="","",base!S291)</f>
        <v>Prueba 289</v>
      </c>
      <c r="J291" s="12" t="str">
        <f>IF(base!T291="","",base!T291)</f>
        <v>Calle 123
Piso 2</v>
      </c>
      <c r="K291" s="12" t="str">
        <f>IF(base!U291="","",base!U291)</f>
        <v/>
      </c>
      <c r="L291" s="12" t="str">
        <f>IF(base!Y291="","",base!Y291)</f>
        <v/>
      </c>
      <c r="M291" s="12" t="str">
        <f>IF(base!AH291="","",base!AH291)</f>
        <v/>
      </c>
      <c r="N291" s="12" t="str">
        <f>IF(base!AI291="","",base!AI291)</f>
        <v>34.072273</v>
      </c>
      <c r="O291" s="12">
        <f>IF(base!BA291="","",base!BA291)</f>
        <v>1875</v>
      </c>
      <c r="P291" s="13">
        <f>IF(base!BK291="","",base!BK291)</f>
        <v>46303.805902777778</v>
      </c>
      <c r="Q291" s="15" t="str">
        <f>IF(base!BS291="","",base!BS291)</f>
        <v/>
      </c>
    </row>
    <row r="292" spans="1:17" ht="30" x14ac:dyDescent="0.35">
      <c r="A292" s="14">
        <f>IF(base!A292="","",base!A292)</f>
        <v>6200290</v>
      </c>
      <c r="B292" s="13">
        <f>IF(base!BN292="","",base!BN292)</f>
        <v>46303.625</v>
      </c>
      <c r="C292" s="12" t="str">
        <f>IF(base!C292="","",base!C292)</f>
        <v>ZETABURGOS SRL</v>
      </c>
      <c r="D292" s="12" t="str">
        <f>IF(base!E292="","",base!E292)</f>
        <v>REPROGRAMACIÓN</v>
      </c>
      <c r="E292" s="12" t="str">
        <f>IF(base!BF292="","",base!BF292)</f>
        <v/>
      </c>
      <c r="F292" s="12" t="str">
        <f>IF(D292="","",IF(OR(ISNUMBER(SEARCH("VISITA",D292)),ISNUMBER(SEARCH("RUTA",D292)),ISNUMBER(SEARCH("ARRIB",D292)),ISNUMBER(SEARCH("MATRIZ",D292)),ISNUMBER(SEARCH("PENDIENTE",D292))),"VISITA COORDINADA CON EL CLIENTE","N/A"))</f>
        <v>N/A</v>
      </c>
      <c r="G292" s="12" t="str">
        <f>IF(base!G292="","",base!G292)</f>
        <v>001234</v>
      </c>
      <c r="H292" s="12" t="str">
        <f>IF(base!I292="","",base!I292)</f>
        <v>FLEX</v>
      </c>
      <c r="I292" s="12" t="str">
        <f>IF(base!S292="","",base!S292)</f>
        <v>Prueba 290</v>
      </c>
      <c r="J292" s="12" t="str">
        <f>IF(base!T292="","",base!T292)</f>
        <v>Calle 123
Piso 2</v>
      </c>
      <c r="K292" s="12" t="str">
        <f>IF(base!U292="","",base!U292)</f>
        <v/>
      </c>
      <c r="L292" s="12" t="str">
        <f>IF(base!Y292="","",base!Y292)</f>
        <v/>
      </c>
      <c r="M292" s="12" t="str">
        <f>IF(base!AH292="","",base!AH292)</f>
        <v/>
      </c>
      <c r="N292" s="12" t="str">
        <f>IF(base!AI292="","",base!AI292)</f>
        <v>34.072273</v>
      </c>
      <c r="O292" s="12">
        <f>IF(base!BA292="","",base!BA292)</f>
        <v>1875</v>
      </c>
      <c r="P292" s="13">
        <f>IF(base!BK292="","",base!BK292)</f>
        <v>46303.805902777778</v>
      </c>
      <c r="Q292" s="15" t="str">
        <f>IF(base!BS292="","",base!BS292)</f>
        <v/>
      </c>
    </row>
    <row r="293" spans="1:17" ht="30" x14ac:dyDescent="0.35">
      <c r="A293" s="14">
        <f>IF(base!A293="","",base!A293)</f>
        <v>6200291</v>
      </c>
      <c r="B293" s="13">
        <f>IF(base!BN293="","",base!BN293)</f>
        <v>46303.625</v>
      </c>
      <c r="C293" s="12" t="str">
        <f>IF(base!C293="","",base!C293)</f>
        <v>ZETABURGOS SRL</v>
      </c>
      <c r="D293" s="12" t="str">
        <f>IF(base!E293="","",base!E293)</f>
        <v>1RVT - 1° VISITA</v>
      </c>
      <c r="E293" s="12" t="str">
        <f>IF(base!BF293="","",base!BF293)</f>
        <v/>
      </c>
      <c r="F293" s="12" t="str">
        <f>IF(D293="","",IF(OR(ISNUMBER(SEARCH("VISITA",D293)),ISNUMBER(SEARCH("RUTA",D293)),ISNUMBER(SEARCH("ARRIB",D293)),ISNUMBER(SEARCH("MATRIZ",D293)),ISNUMBER(SEARCH("PENDIENTE",D293))),"VISITA COORDINADA CON EL CLIENTE","N/A"))</f>
        <v>VISITA COORDINADA CON EL CLIENTE</v>
      </c>
      <c r="G293" s="12" t="str">
        <f>"#ABC"</f>
        <v>#ABC</v>
      </c>
      <c r="H293" s="12" t="str">
        <f>IF(base!I293="","",base!I293)</f>
        <v>SAMEDAY</v>
      </c>
      <c r="I293" s="12" t="str">
        <f>IF(base!S293="","",base!S293)</f>
        <v>Prueba 291</v>
      </c>
      <c r="J293" s="12" t="str">
        <f>IF(base!T293="","",base!T293)</f>
        <v>Calle 123
Piso 2</v>
      </c>
      <c r="K293" s="12" t="str">
        <f>IF(base!U293="","",base!U293)</f>
        <v/>
      </c>
      <c r="L293" s="12" t="str">
        <f>IF(base!Y293="","",base!Y293)</f>
        <v/>
      </c>
      <c r="M293" s="12" t="str">
        <f>IF(base!AH293="","",base!AH293)</f>
        <v/>
      </c>
      <c r="N293" s="12" t="str">
        <f>IF(base!AI293="","",base!AI293)</f>
        <v>34.072273</v>
      </c>
      <c r="O293" s="12">
        <f>IF(base!BA293="","",base!BA293)</f>
        <v>1875</v>
      </c>
      <c r="P293" s="13">
        <f>IF(base!BK293="","",base!BK293)</f>
        <v>46303.805902777778</v>
      </c>
      <c r="Q293" s="15" t="str">
        <f>IF(base!BS293="","",base!BS293)</f>
        <v/>
      </c>
    </row>
    <row r="294" spans="1:17" ht="30" x14ac:dyDescent="0.35">
      <c r="A294" s="14">
        <f>IF(base!A294="","",base!A294)</f>
        <v>6200292</v>
      </c>
      <c r="B294" s="13">
        <f>IF(base!BN294="","",base!BN294)</f>
        <v>46303.625</v>
      </c>
      <c r="C294" s="12" t="str">
        <f>IF(base!C294="","",base!C294)</f>
        <v>ZETABURGOS SRL</v>
      </c>
      <c r="D294" s="12" t="str">
        <f>IF(base!E294="","",base!E294)</f>
        <v>ENTREGADO</v>
      </c>
      <c r="E294" s="12" t="str">
        <f>IF(base!BF294="","",base!BF294)</f>
        <v/>
      </c>
      <c r="F294" s="12" t="str">
        <f>IF(D294="","",IF(OR(ISNUMBER(SEARCH("VISITA",D294)),ISNUMBER(SEARCH("RUTA",D294)),ISNUMBER(SEARCH("ARRIB",D294)),ISNUMBER(SEARCH("MATRIZ",D294)),ISNUMBER(SEARCH("PENDIENTE",D294))),"VISITA COORDINADA CON EL CLIENTE","N/A"))</f>
        <v>N/A</v>
      </c>
      <c r="G294" s="12">
        <f>IF(base!G294="","",base!G294)</f>
        <v>470123456</v>
      </c>
      <c r="H294" s="12" t="str">
        <f>IF(base!I294="","",base!I294)</f>
        <v>FLEX</v>
      </c>
      <c r="I294" s="12" t="str">
        <f>IF(base!S294="","",base!S294)</f>
        <v>Prueba 292</v>
      </c>
      <c r="J294" s="12" t="str">
        <f>IF(base!T294="","",base!T294)</f>
        <v>Calle 123
Piso 2</v>
      </c>
      <c r="K294" s="12" t="str">
        <f>IF(base!U294="","",base!U294)</f>
        <v/>
      </c>
      <c r="L294" s="12" t="str">
        <f>IF(base!Y294="","",base!Y294)</f>
        <v/>
      </c>
      <c r="M294" s="12" t="str">
        <f>IF(base!AH294="","",base!AH294)</f>
        <v/>
      </c>
      <c r="N294" s="12" t="str">
        <f>IF(base!AI294="","",base!AI294)</f>
        <v>34.072273</v>
      </c>
      <c r="O294" s="12">
        <f>IF(base!BA294="","",base!BA294)</f>
        <v>1875</v>
      </c>
      <c r="P294" s="13">
        <f>IF(base!BK294="","",base!BK294)</f>
        <v>46303.805902777778</v>
      </c>
      <c r="Q294" s="15" t="str">
        <f>IF(base!BS294="","",base!BS294)</f>
        <v/>
      </c>
    </row>
    <row r="295" spans="1:17" ht="30" x14ac:dyDescent="0.35">
      <c r="A295" s="14">
        <f>IF(base!A295="","",base!A295)</f>
        <v>6200293</v>
      </c>
      <c r="B295" s="13">
        <f>IF(base!BN295="","",base!BN295)</f>
        <v>46303.625</v>
      </c>
      <c r="C295" s="12" t="str">
        <f>IF(base!C295="","",base!C295)</f>
        <v>ZETABURGOS SRL</v>
      </c>
      <c r="D295" s="12" t="str">
        <f>IF(base!E295="","",base!E295)</f>
        <v>REPROGRAMACIÓN</v>
      </c>
      <c r="E295" s="12" t="str">
        <f>IF(base!BF295="","",base!BF295)</f>
        <v/>
      </c>
      <c r="F295" s="12" t="str">
        <f>IF(D295="","",IF(OR(ISNUMBER(SEARCH("VISITA",D295)),ISNUMBER(SEARCH("RUTA",D295)),ISNUMBER(SEARCH("ARRIB",D295)),ISNUMBER(SEARCH("MATRIZ",D295)),ISNUMBER(SEARCH("PENDIENTE",D295))),"VISITA COORDINADA CON EL CLIENTE","N/A"))</f>
        <v>N/A</v>
      </c>
      <c r="G295" s="12" t="str">
        <f>IF(base!G295="","",base!G295)</f>
        <v>ABC001</v>
      </c>
      <c r="H295" s="12" t="str">
        <f>IF(base!I295="","",base!I295)</f>
        <v>SAMEDAY</v>
      </c>
      <c r="I295" s="12" t="str">
        <f>IF(base!S295="","",base!S295)</f>
        <v>Prueba 293</v>
      </c>
      <c r="J295" s="12" t="str">
        <f>IF(base!T295="","",base!T295)</f>
        <v>Calle 123
Piso 2</v>
      </c>
      <c r="K295" s="12" t="str">
        <f>IF(base!U295="","",base!U295)</f>
        <v/>
      </c>
      <c r="L295" s="12" t="str">
        <f>IF(base!Y295="","",base!Y295)</f>
        <v/>
      </c>
      <c r="M295" s="12" t="str">
        <f>IF(base!AH295="","",base!AH295)</f>
        <v/>
      </c>
      <c r="N295" s="12" t="str">
        <f>IF(base!AI295="","",base!AI295)</f>
        <v>34.072273</v>
      </c>
      <c r="O295" s="12">
        <f>IF(base!BA295="","",base!BA295)</f>
        <v>1875</v>
      </c>
      <c r="P295" s="13">
        <f>IF(base!BK295="","",base!BK295)</f>
        <v>46303.805902777778</v>
      </c>
      <c r="Q295" s="15" t="str">
        <f>IF(base!BS295="","",base!BS295)</f>
        <v/>
      </c>
    </row>
    <row r="296" spans="1:17" ht="30" x14ac:dyDescent="0.35">
      <c r="A296" s="14">
        <f>IF(base!A296="","",base!A296)</f>
        <v>6200294</v>
      </c>
      <c r="B296" s="13">
        <f>IF(base!BN296="","",base!BN296)</f>
        <v>46303.625</v>
      </c>
      <c r="C296" s="12" t="str">
        <f>IF(base!C296="","",base!C296)</f>
        <v>ZETABURGOS SRL</v>
      </c>
      <c r="D296" s="12" t="str">
        <f>IF(base!E296="","",base!E296)</f>
        <v>1RVT - 1° VISITA</v>
      </c>
      <c r="E296" s="12" t="str">
        <f>IF(base!BF296="","",base!BF296)</f>
        <v/>
      </c>
      <c r="F296" s="12" t="str">
        <f>IF(D296="","",IF(OR(ISNUMBER(SEARCH("VISITA",D296)),ISNUMBER(SEARCH("RUTA",D296)),ISNUMBER(SEARCH("ARRIB",D296)),ISNUMBER(SEARCH("MATRIZ",D296)),ISNUMBER(SEARCH("PENDIENTE",D296))),"VISITA COORDINADA CON EL CLIENTE","N/A"))</f>
        <v>VISITA COORDINADA CON EL CLIENTE</v>
      </c>
      <c r="G296" s="12" t="str">
        <f>IF(base!G296="","",base!G296)</f>
        <v>2000018857041302</v>
      </c>
      <c r="H296" s="12" t="str">
        <f>IF(base!I296="","",base!I296)</f>
        <v>FLEX</v>
      </c>
      <c r="I296" s="12" t="str">
        <f>IF(base!S296="","",base!S296)</f>
        <v>Prueba 294</v>
      </c>
      <c r="J296" s="12" t="str">
        <f>IF(base!T296="","",base!T296)</f>
        <v>Calle 123
Piso 2</v>
      </c>
      <c r="K296" s="12" t="str">
        <f>IF(base!U296="","",base!U296)</f>
        <v/>
      </c>
      <c r="L296" s="12" t="str">
        <f>IF(base!Y296="","",base!Y296)</f>
        <v/>
      </c>
      <c r="M296" s="12" t="str">
        <f>IF(base!AH296="","",base!AH296)</f>
        <v/>
      </c>
      <c r="N296" s="12" t="str">
        <f>IF(base!AI296="","",base!AI296)</f>
        <v>34.072273</v>
      </c>
      <c r="O296" s="12">
        <f>IF(base!BA296="","",base!BA296)</f>
        <v>1875</v>
      </c>
      <c r="P296" s="13">
        <f>IF(base!BK296="","",base!BK296)</f>
        <v>46303.805902777778</v>
      </c>
      <c r="Q296" s="15" t="str">
        <f>IF(base!BS296="","",base!BS296)</f>
        <v/>
      </c>
    </row>
    <row r="297" spans="1:17" ht="30" x14ac:dyDescent="0.35">
      <c r="A297" s="14">
        <f>IF(base!A297="","",base!A297)</f>
        <v>6200295</v>
      </c>
      <c r="B297" s="13">
        <f>IF(base!BN297="","",base!BN297)</f>
        <v>46303.625</v>
      </c>
      <c r="C297" s="12" t="str">
        <f>IF(base!C297="","",base!C297)</f>
        <v>ZETABURGOS SRL</v>
      </c>
      <c r="D297" s="12" t="str">
        <f>IF(base!E297="","",base!E297)</f>
        <v>ENTREGADO</v>
      </c>
      <c r="E297" s="12" t="str">
        <f>IF(base!BF297="","",base!BF297)</f>
        <v/>
      </c>
      <c r="F297" s="12" t="str">
        <f>IF(D297="","",IF(OR(ISNUMBER(SEARCH("VISITA",D297)),ISNUMBER(SEARCH("RUTA",D297)),ISNUMBER(SEARCH("ARRIB",D297)),ISNUMBER(SEARCH("MATRIZ",D297)),ISNUMBER(SEARCH("PENDIENTE",D297))),"VISITA COORDINADA CON EL CLIENTE","N/A"))</f>
        <v>N/A</v>
      </c>
      <c r="G297" s="12" t="str">
        <f>IF(base!G297="","",base!G297)</f>
        <v>001234</v>
      </c>
      <c r="H297" s="12" t="str">
        <f>IF(base!I297="","",base!I297)</f>
        <v>FLEX</v>
      </c>
      <c r="I297" s="12" t="str">
        <f>IF(base!S297="","",base!S297)</f>
        <v>Prueba 295</v>
      </c>
      <c r="J297" s="12" t="str">
        <f>IF(base!T297="","",base!T297)</f>
        <v>Calle 123
Piso 2</v>
      </c>
      <c r="K297" s="12" t="str">
        <f>IF(base!U297="","",base!U297)</f>
        <v/>
      </c>
      <c r="L297" s="12" t="str">
        <f>IF(base!Y297="","",base!Y297)</f>
        <v/>
      </c>
      <c r="M297" s="12" t="str">
        <f>IF(base!AH297="","",base!AH297)</f>
        <v/>
      </c>
      <c r="N297" s="12" t="str">
        <f>IF(base!AI297="","",base!AI297)</f>
        <v>34.072273</v>
      </c>
      <c r="O297" s="12">
        <f>IF(base!BA297="","",base!BA297)</f>
        <v>1875</v>
      </c>
      <c r="P297" s="13">
        <f>IF(base!BK297="","",base!BK297)</f>
        <v>46303.805902777778</v>
      </c>
      <c r="Q297" s="15" t="str">
        <f>IF(base!BS297="","",base!BS297)</f>
        <v/>
      </c>
    </row>
    <row r="298" spans="1:17" ht="30" x14ac:dyDescent="0.35">
      <c r="A298" s="14">
        <f>IF(base!A298="","",base!A298)</f>
        <v>6200296</v>
      </c>
      <c r="B298" s="13">
        <f>IF(base!BN298="","",base!BN298)</f>
        <v>46303.625</v>
      </c>
      <c r="C298" s="12" t="str">
        <f>IF(base!C298="","",base!C298)</f>
        <v>ZETABURGOS SRL</v>
      </c>
      <c r="D298" s="12" t="str">
        <f>IF(base!E298="","",base!E298)</f>
        <v>REPROGRAMACIÓN</v>
      </c>
      <c r="E298" s="12" t="str">
        <f>IF(base!BF298="","",base!BF298)</f>
        <v/>
      </c>
      <c r="F298" s="12" t="str">
        <f>IF(D298="","",IF(OR(ISNUMBER(SEARCH("VISITA",D298)),ISNUMBER(SEARCH("RUTA",D298)),ISNUMBER(SEARCH("ARRIB",D298)),ISNUMBER(SEARCH("MATRIZ",D298)),ISNUMBER(SEARCH("PENDIENTE",D298))),"VISITA COORDINADA CON EL CLIENTE","N/A"))</f>
        <v>N/A</v>
      </c>
      <c r="G298" s="12" t="str">
        <f>"#ABC"</f>
        <v>#ABC</v>
      </c>
      <c r="H298" s="12" t="str">
        <f>IF(base!I298="","",base!I298)</f>
        <v>SAMEDAY</v>
      </c>
      <c r="I298" s="12" t="str">
        <f>IF(base!S298="","",base!S298)</f>
        <v>Prueba 296</v>
      </c>
      <c r="J298" s="12" t="str">
        <f>IF(base!T298="","",base!T298)</f>
        <v>Calle 123
Piso 2</v>
      </c>
      <c r="K298" s="12" t="str">
        <f>IF(base!U298="","",base!U298)</f>
        <v/>
      </c>
      <c r="L298" s="12" t="str">
        <f>IF(base!Y298="","",base!Y298)</f>
        <v/>
      </c>
      <c r="M298" s="12" t="str">
        <f>IF(base!AH298="","",base!AH298)</f>
        <v/>
      </c>
      <c r="N298" s="12" t="str">
        <f>IF(base!AI298="","",base!AI298)</f>
        <v>34.072273</v>
      </c>
      <c r="O298" s="12">
        <f>IF(base!BA298="","",base!BA298)</f>
        <v>1875</v>
      </c>
      <c r="P298" s="13">
        <f>IF(base!BK298="","",base!BK298)</f>
        <v>46303.805902777778</v>
      </c>
      <c r="Q298" s="15" t="str">
        <f>IF(base!BS298="","",base!BS298)</f>
        <v/>
      </c>
    </row>
    <row r="299" spans="1:17" ht="30" x14ac:dyDescent="0.35">
      <c r="A299" s="14">
        <f>IF(base!A299="","",base!A299)</f>
        <v>6200297</v>
      </c>
      <c r="B299" s="13">
        <f>IF(base!BN299="","",base!BN299)</f>
        <v>46303.625</v>
      </c>
      <c r="C299" s="12" t="str">
        <f>IF(base!C299="","",base!C299)</f>
        <v>ZETABURGOS SRL</v>
      </c>
      <c r="D299" s="12" t="str">
        <f>IF(base!E299="","",base!E299)</f>
        <v>1RVT - 1° VISITA</v>
      </c>
      <c r="E299" s="12" t="str">
        <f>IF(base!BF299="","",base!BF299)</f>
        <v/>
      </c>
      <c r="F299" s="12" t="str">
        <f>IF(D299="","",IF(OR(ISNUMBER(SEARCH("VISITA",D299)),ISNUMBER(SEARCH("RUTA",D299)),ISNUMBER(SEARCH("ARRIB",D299)),ISNUMBER(SEARCH("MATRIZ",D299)),ISNUMBER(SEARCH("PENDIENTE",D299))),"VISITA COORDINADA CON EL CLIENTE","N/A"))</f>
        <v>VISITA COORDINADA CON EL CLIENTE</v>
      </c>
      <c r="G299" s="12">
        <f>IF(base!G299="","",base!G299)</f>
        <v>470123456</v>
      </c>
      <c r="H299" s="12" t="str">
        <f>IF(base!I299="","",base!I299)</f>
        <v>FLEX</v>
      </c>
      <c r="I299" s="12" t="str">
        <f>IF(base!S299="","",base!S299)</f>
        <v>Prueba 297</v>
      </c>
      <c r="J299" s="12" t="str">
        <f>IF(base!T299="","",base!T299)</f>
        <v>Calle 123
Piso 2</v>
      </c>
      <c r="K299" s="12" t="str">
        <f>IF(base!U299="","",base!U299)</f>
        <v/>
      </c>
      <c r="L299" s="12" t="str">
        <f>IF(base!Y299="","",base!Y299)</f>
        <v/>
      </c>
      <c r="M299" s="12" t="str">
        <f>IF(base!AH299="","",base!AH299)</f>
        <v/>
      </c>
      <c r="N299" s="12" t="str">
        <f>IF(base!AI299="","",base!AI299)</f>
        <v>34.072273</v>
      </c>
      <c r="O299" s="12">
        <f>IF(base!BA299="","",base!BA299)</f>
        <v>1875</v>
      </c>
      <c r="P299" s="13">
        <f>IF(base!BK299="","",base!BK299)</f>
        <v>46303.805902777778</v>
      </c>
      <c r="Q299" s="15" t="str">
        <f>IF(base!BS299="","",base!BS299)</f>
        <v/>
      </c>
    </row>
    <row r="300" spans="1:17" ht="30" x14ac:dyDescent="0.35">
      <c r="A300" s="14">
        <f>IF(base!A300="","",base!A300)</f>
        <v>6200298</v>
      </c>
      <c r="B300" s="13">
        <f>IF(base!BN300="","",base!BN300)</f>
        <v>46303.625</v>
      </c>
      <c r="C300" s="12" t="str">
        <f>IF(base!C300="","",base!C300)</f>
        <v>ZETABURGOS SRL</v>
      </c>
      <c r="D300" s="12" t="str">
        <f>IF(base!E300="","",base!E300)</f>
        <v>ENTREGADO</v>
      </c>
      <c r="E300" s="12" t="str">
        <f>IF(base!BF300="","",base!BF300)</f>
        <v/>
      </c>
      <c r="F300" s="12" t="str">
        <f>IF(D300="","",IF(OR(ISNUMBER(SEARCH("VISITA",D300)),ISNUMBER(SEARCH("RUTA",D300)),ISNUMBER(SEARCH("ARRIB",D300)),ISNUMBER(SEARCH("MATRIZ",D300)),ISNUMBER(SEARCH("PENDIENTE",D300))),"VISITA COORDINADA CON EL CLIENTE","N/A"))</f>
        <v>N/A</v>
      </c>
      <c r="G300" s="12" t="str">
        <f>IF(base!G300="","",base!G300)</f>
        <v>ABC001</v>
      </c>
      <c r="H300" s="12" t="str">
        <f>IF(base!I300="","",base!I300)</f>
        <v>SAMEDAY</v>
      </c>
      <c r="I300" s="12" t="str">
        <f>IF(base!S300="","",base!S300)</f>
        <v>Prueba 298</v>
      </c>
      <c r="J300" s="12" t="str">
        <f>IF(base!T300="","",base!T300)</f>
        <v>Calle 123
Piso 2</v>
      </c>
      <c r="K300" s="12" t="str">
        <f>IF(base!U300="","",base!U300)</f>
        <v/>
      </c>
      <c r="L300" s="12" t="str">
        <f>IF(base!Y300="","",base!Y300)</f>
        <v/>
      </c>
      <c r="M300" s="12" t="str">
        <f>IF(base!AH300="","",base!AH300)</f>
        <v/>
      </c>
      <c r="N300" s="12" t="str">
        <f>IF(base!AI300="","",base!AI300)</f>
        <v>34.072273</v>
      </c>
      <c r="O300" s="12">
        <f>IF(base!BA300="","",base!BA300)</f>
        <v>1875</v>
      </c>
      <c r="P300" s="13">
        <f>IF(base!BK300="","",base!BK300)</f>
        <v>46303.805902777778</v>
      </c>
      <c r="Q300" s="15" t="str">
        <f>IF(base!BS300="","",base!BS300)</f>
        <v/>
      </c>
    </row>
    <row r="301" spans="1:17" ht="30" x14ac:dyDescent="0.35">
      <c r="A301" s="14">
        <f>IF(base!A301="","",base!A301)</f>
        <v>6200299</v>
      </c>
      <c r="B301" s="13">
        <f>IF(base!BN301="","",base!BN301)</f>
        <v>46303.625</v>
      </c>
      <c r="C301" s="12" t="str">
        <f>IF(base!C301="","",base!C301)</f>
        <v>ZETABURGOS SRL</v>
      </c>
      <c r="D301" s="12" t="str">
        <f>IF(base!E301="","",base!E301)</f>
        <v>REPROGRAMACIÓN</v>
      </c>
      <c r="E301" s="12" t="str">
        <f>IF(base!BF301="","",base!BF301)</f>
        <v/>
      </c>
      <c r="F301" s="12" t="str">
        <f>IF(D301="","",IF(OR(ISNUMBER(SEARCH("VISITA",D301)),ISNUMBER(SEARCH("RUTA",D301)),ISNUMBER(SEARCH("ARRIB",D301)),ISNUMBER(SEARCH("MATRIZ",D301)),ISNUMBER(SEARCH("PENDIENTE",D301))),"VISITA COORDINADA CON EL CLIENTE","N/A"))</f>
        <v>N/A</v>
      </c>
      <c r="G301" s="12" t="str">
        <f>IF(base!G301="","",base!G301)</f>
        <v>2000018857041302</v>
      </c>
      <c r="H301" s="12" t="str">
        <f>IF(base!I301="","",base!I301)</f>
        <v>FLEX</v>
      </c>
      <c r="I301" s="12" t="str">
        <f>IF(base!S301="","",base!S301)</f>
        <v>Prueba 299</v>
      </c>
      <c r="J301" s="12" t="str">
        <f>IF(base!T301="","",base!T301)</f>
        <v>Calle 123
Piso 2</v>
      </c>
      <c r="K301" s="12" t="str">
        <f>IF(base!U301="","",base!U301)</f>
        <v/>
      </c>
      <c r="L301" s="12" t="str">
        <f>IF(base!Y301="","",base!Y301)</f>
        <v/>
      </c>
      <c r="M301" s="12" t="str">
        <f>IF(base!AH301="","",base!AH301)</f>
        <v/>
      </c>
      <c r="N301" s="12" t="str">
        <f>IF(base!AI301="","",base!AI301)</f>
        <v>34.072273</v>
      </c>
      <c r="O301" s="12">
        <f>IF(base!BA301="","",base!BA301)</f>
        <v>1875</v>
      </c>
      <c r="P301" s="13">
        <f>IF(base!BK301="","",base!BK301)</f>
        <v>46303.805902777778</v>
      </c>
      <c r="Q301" s="15" t="str">
        <f>IF(base!BS301="","",base!BS301)</f>
        <v/>
      </c>
    </row>
    <row r="302" spans="1:17" ht="30" x14ac:dyDescent="0.35">
      <c r="A302" s="14">
        <f>IF(base!A302="","",base!A302)</f>
        <v>6200300</v>
      </c>
      <c r="B302" s="13">
        <f>IF(base!BN302="","",base!BN302)</f>
        <v>46303.625</v>
      </c>
      <c r="C302" s="12" t="str">
        <f>IF(base!C302="","",base!C302)</f>
        <v>ZETABURGOS SRL</v>
      </c>
      <c r="D302" s="12" t="str">
        <f>IF(base!E302="","",base!E302)</f>
        <v>1RVT - 1° VISITA</v>
      </c>
      <c r="E302" s="12" t="str">
        <f>IF(base!BF302="","",base!BF302)</f>
        <v/>
      </c>
      <c r="F302" s="12" t="str">
        <f>IF(D302="","",IF(OR(ISNUMBER(SEARCH("VISITA",D302)),ISNUMBER(SEARCH("RUTA",D302)),ISNUMBER(SEARCH("ARRIB",D302)),ISNUMBER(SEARCH("MATRIZ",D302)),ISNUMBER(SEARCH("PENDIENTE",D302))),"VISITA COORDINADA CON EL CLIENTE","N/A"))</f>
        <v>VISITA COORDINADA CON EL CLIENTE</v>
      </c>
      <c r="G302" s="12" t="str">
        <f>IF(base!G302="","",base!G302)</f>
        <v>001234</v>
      </c>
      <c r="H302" s="12" t="str">
        <f>IF(base!I302="","",base!I302)</f>
        <v>FLEX</v>
      </c>
      <c r="I302" s="12" t="str">
        <f>IF(base!S302="","",base!S302)</f>
        <v>Prueba 300</v>
      </c>
      <c r="J302" s="12" t="str">
        <f>IF(base!T302="","",base!T302)</f>
        <v>Calle 123
Piso 2</v>
      </c>
      <c r="K302" s="12" t="str">
        <f>IF(base!U302="","",base!U302)</f>
        <v/>
      </c>
      <c r="L302" s="12" t="str">
        <f>IF(base!Y302="","",base!Y302)</f>
        <v/>
      </c>
      <c r="M302" s="12" t="str">
        <f>IF(base!AH302="","",base!AH302)</f>
        <v/>
      </c>
      <c r="N302" s="12" t="str">
        <f>IF(base!AI302="","",base!AI302)</f>
        <v>34.072273</v>
      </c>
      <c r="O302" s="12">
        <f>IF(base!BA302="","",base!BA302)</f>
        <v>1875</v>
      </c>
      <c r="P302" s="13">
        <f>IF(base!BK302="","",base!BK302)</f>
        <v>46303.805902777778</v>
      </c>
      <c r="Q302" s="15" t="str">
        <f>IF(base!BS302="","",base!BS302)</f>
        <v/>
      </c>
    </row>
    <row r="303" spans="1:17" ht="30" x14ac:dyDescent="0.35">
      <c r="A303" s="14">
        <f>IF(base!A303="","",base!A303)</f>
        <v>6200301</v>
      </c>
      <c r="B303" s="13">
        <f>IF(base!BN303="","",base!BN303)</f>
        <v>46303.625</v>
      </c>
      <c r="C303" s="12" t="str">
        <f>IF(base!C303="","",base!C303)</f>
        <v>ZETABURGOS SRL</v>
      </c>
      <c r="D303" s="12" t="str">
        <f>IF(base!E303="","",base!E303)</f>
        <v>ENTREGADO</v>
      </c>
      <c r="E303" s="12" t="str">
        <f>IF(base!BF303="","",base!BF303)</f>
        <v/>
      </c>
      <c r="F303" s="12" t="str">
        <f>IF(D303="","",IF(OR(ISNUMBER(SEARCH("VISITA",D303)),ISNUMBER(SEARCH("RUTA",D303)),ISNUMBER(SEARCH("ARRIB",D303)),ISNUMBER(SEARCH("MATRIZ",D303)),ISNUMBER(SEARCH("PENDIENTE",D303))),"VISITA COORDINADA CON EL CLIENTE","N/A"))</f>
        <v>N/A</v>
      </c>
      <c r="G303" s="12" t="str">
        <f>"#ABC"</f>
        <v>#ABC</v>
      </c>
      <c r="H303" s="12" t="str">
        <f>IF(base!I303="","",base!I303)</f>
        <v>SAMEDAY</v>
      </c>
      <c r="I303" s="12" t="str">
        <f>IF(base!S303="","",base!S303)</f>
        <v>Prueba 301</v>
      </c>
      <c r="J303" s="12" t="str">
        <f>IF(base!T303="","",base!T303)</f>
        <v>Calle 123
Piso 2</v>
      </c>
      <c r="K303" s="12" t="str">
        <f>IF(base!U303="","",base!U303)</f>
        <v/>
      </c>
      <c r="L303" s="12" t="str">
        <f>IF(base!Y303="","",base!Y303)</f>
        <v/>
      </c>
      <c r="M303" s="12" t="str">
        <f>IF(base!AH303="","",base!AH303)</f>
        <v/>
      </c>
      <c r="N303" s="12" t="str">
        <f>IF(base!AI303="","",base!AI303)</f>
        <v>34.072273</v>
      </c>
      <c r="O303" s="12">
        <f>IF(base!BA303="","",base!BA303)</f>
        <v>1875</v>
      </c>
      <c r="P303" s="13">
        <f>IF(base!BK303="","",base!BK303)</f>
        <v>46303.805902777778</v>
      </c>
      <c r="Q303" s="15" t="str">
        <f>IF(base!BS303="","",base!BS303)</f>
        <v/>
      </c>
    </row>
    <row r="304" spans="1:17" ht="30" x14ac:dyDescent="0.35">
      <c r="A304" s="14">
        <f>IF(base!A304="","",base!A304)</f>
        <v>6200302</v>
      </c>
      <c r="B304" s="13">
        <f>IF(base!BN304="","",base!BN304)</f>
        <v>46303.625</v>
      </c>
      <c r="C304" s="12" t="str">
        <f>IF(base!C304="","",base!C304)</f>
        <v>ZETABURGOS SRL</v>
      </c>
      <c r="D304" s="12" t="str">
        <f>IF(base!E304="","",base!E304)</f>
        <v>REPROGRAMACIÓN</v>
      </c>
      <c r="E304" s="12" t="str">
        <f>IF(base!BF304="","",base!BF304)</f>
        <v/>
      </c>
      <c r="F304" s="12" t="str">
        <f>IF(D304="","",IF(OR(ISNUMBER(SEARCH("VISITA",D304)),ISNUMBER(SEARCH("RUTA",D304)),ISNUMBER(SEARCH("ARRIB",D304)),ISNUMBER(SEARCH("MATRIZ",D304)),ISNUMBER(SEARCH("PENDIENTE",D304))),"VISITA COORDINADA CON EL CLIENTE","N/A"))</f>
        <v>N/A</v>
      </c>
      <c r="G304" s="12">
        <f>IF(base!G304="","",base!G304)</f>
        <v>470123456</v>
      </c>
      <c r="H304" s="12" t="str">
        <f>IF(base!I304="","",base!I304)</f>
        <v>FLEX</v>
      </c>
      <c r="I304" s="12" t="str">
        <f>IF(base!S304="","",base!S304)</f>
        <v>Prueba 302</v>
      </c>
      <c r="J304" s="12" t="str">
        <f>IF(base!T304="","",base!T304)</f>
        <v>Calle 123
Piso 2</v>
      </c>
      <c r="K304" s="12" t="str">
        <f>IF(base!U304="","",base!U304)</f>
        <v/>
      </c>
      <c r="L304" s="12" t="str">
        <f>IF(base!Y304="","",base!Y304)</f>
        <v/>
      </c>
      <c r="M304" s="12" t="str">
        <f>IF(base!AH304="","",base!AH304)</f>
        <v/>
      </c>
      <c r="N304" s="12" t="str">
        <f>IF(base!AI304="","",base!AI304)</f>
        <v>34.072273</v>
      </c>
      <c r="O304" s="12">
        <f>IF(base!BA304="","",base!BA304)</f>
        <v>1875</v>
      </c>
      <c r="P304" s="13">
        <f>IF(base!BK304="","",base!BK304)</f>
        <v>46303.805902777778</v>
      </c>
      <c r="Q304" s="15" t="str">
        <f>IF(base!BS304="","",base!BS304)</f>
        <v/>
      </c>
    </row>
    <row r="305" spans="1:17" ht="30" x14ac:dyDescent="0.35">
      <c r="A305" s="14">
        <f>IF(base!A305="","",base!A305)</f>
        <v>6200303</v>
      </c>
      <c r="B305" s="13">
        <f>IF(base!BN305="","",base!BN305)</f>
        <v>46303.625</v>
      </c>
      <c r="C305" s="12" t="str">
        <f>IF(base!C305="","",base!C305)</f>
        <v>ZETABURGOS SRL</v>
      </c>
      <c r="D305" s="12" t="str">
        <f>IF(base!E305="","",base!E305)</f>
        <v>1RVT - 1° VISITA</v>
      </c>
      <c r="E305" s="12" t="str">
        <f>IF(base!BF305="","",base!BF305)</f>
        <v/>
      </c>
      <c r="F305" s="12" t="str">
        <f>IF(D305="","",IF(OR(ISNUMBER(SEARCH("VISITA",D305)),ISNUMBER(SEARCH("RUTA",D305)),ISNUMBER(SEARCH("ARRIB",D305)),ISNUMBER(SEARCH("MATRIZ",D305)),ISNUMBER(SEARCH("PENDIENTE",D305))),"VISITA COORDINADA CON EL CLIENTE","N/A"))</f>
        <v>VISITA COORDINADA CON EL CLIENTE</v>
      </c>
      <c r="G305" s="12" t="str">
        <f>IF(base!G305="","",base!G305)</f>
        <v>ABC001</v>
      </c>
      <c r="H305" s="12" t="str">
        <f>IF(base!I305="","",base!I305)</f>
        <v>SAMEDAY</v>
      </c>
      <c r="I305" s="12" t="str">
        <f>IF(base!S305="","",base!S305)</f>
        <v>Prueba 303</v>
      </c>
      <c r="J305" s="12" t="str">
        <f>IF(base!T305="","",base!T305)</f>
        <v>Calle 123
Piso 2</v>
      </c>
      <c r="K305" s="12" t="str">
        <f>IF(base!U305="","",base!U305)</f>
        <v/>
      </c>
      <c r="L305" s="12" t="str">
        <f>IF(base!Y305="","",base!Y305)</f>
        <v/>
      </c>
      <c r="M305" s="12" t="str">
        <f>IF(base!AH305="","",base!AH305)</f>
        <v/>
      </c>
      <c r="N305" s="12" t="str">
        <f>IF(base!AI305="","",base!AI305)</f>
        <v>34.072273</v>
      </c>
      <c r="O305" s="12">
        <f>IF(base!BA305="","",base!BA305)</f>
        <v>1875</v>
      </c>
      <c r="P305" s="13">
        <f>IF(base!BK305="","",base!BK305)</f>
        <v>46303.805902777778</v>
      </c>
      <c r="Q305" s="15" t="str">
        <f>IF(base!BS305="","",base!BS305)</f>
        <v/>
      </c>
    </row>
    <row r="306" spans="1:17" ht="30" x14ac:dyDescent="0.35">
      <c r="A306" s="14">
        <f>IF(base!A306="","",base!A306)</f>
        <v>6200304</v>
      </c>
      <c r="B306" s="13">
        <f>IF(base!BN306="","",base!BN306)</f>
        <v>46303.625</v>
      </c>
      <c r="C306" s="12" t="str">
        <f>IF(base!C306="","",base!C306)</f>
        <v>ZETABURGOS SRL</v>
      </c>
      <c r="D306" s="12" t="str">
        <f>IF(base!E306="","",base!E306)</f>
        <v>ENTREGADO</v>
      </c>
      <c r="E306" s="12" t="str">
        <f>IF(base!BF306="","",base!BF306)</f>
        <v/>
      </c>
      <c r="F306" s="12" t="str">
        <f>IF(D306="","",IF(OR(ISNUMBER(SEARCH("VISITA",D306)),ISNUMBER(SEARCH("RUTA",D306)),ISNUMBER(SEARCH("ARRIB",D306)),ISNUMBER(SEARCH("MATRIZ",D306)),ISNUMBER(SEARCH("PENDIENTE",D306))),"VISITA COORDINADA CON EL CLIENTE","N/A"))</f>
        <v>N/A</v>
      </c>
      <c r="G306" s="12" t="str">
        <f>IF(base!G306="","",base!G306)</f>
        <v>2000018857041302</v>
      </c>
      <c r="H306" s="12" t="str">
        <f>IF(base!I306="","",base!I306)</f>
        <v>FLEX</v>
      </c>
      <c r="I306" s="12" t="str">
        <f>IF(base!S306="","",base!S306)</f>
        <v>Prueba 304</v>
      </c>
      <c r="J306" s="12" t="str">
        <f>IF(base!T306="","",base!T306)</f>
        <v>Calle 123
Piso 2</v>
      </c>
      <c r="K306" s="12" t="str">
        <f>IF(base!U306="","",base!U306)</f>
        <v/>
      </c>
      <c r="L306" s="12" t="str">
        <f>IF(base!Y306="","",base!Y306)</f>
        <v/>
      </c>
      <c r="M306" s="12" t="str">
        <f>IF(base!AH306="","",base!AH306)</f>
        <v/>
      </c>
      <c r="N306" s="12" t="str">
        <f>IF(base!AI306="","",base!AI306)</f>
        <v>34.072273</v>
      </c>
      <c r="O306" s="12">
        <f>IF(base!BA306="","",base!BA306)</f>
        <v>1875</v>
      </c>
      <c r="P306" s="13">
        <f>IF(base!BK306="","",base!BK306)</f>
        <v>46303.805902777778</v>
      </c>
      <c r="Q306" s="15" t="str">
        <f>IF(base!BS306="","",base!BS306)</f>
        <v/>
      </c>
    </row>
    <row r="307" spans="1:17" ht="30" x14ac:dyDescent="0.35">
      <c r="A307" s="14">
        <f>IF(base!A307="","",base!A307)</f>
        <v>6200305</v>
      </c>
      <c r="B307" s="13">
        <f>IF(base!BN307="","",base!BN307)</f>
        <v>46303.625</v>
      </c>
      <c r="C307" s="12" t="str">
        <f>IF(base!C307="","",base!C307)</f>
        <v>ZETABURGOS SRL</v>
      </c>
      <c r="D307" s="12" t="str">
        <f>IF(base!E307="","",base!E307)</f>
        <v>REPROGRAMACIÓN</v>
      </c>
      <c r="E307" s="12" t="str">
        <f>IF(base!BF307="","",base!BF307)</f>
        <v/>
      </c>
      <c r="F307" s="12" t="str">
        <f>IF(D307="","",IF(OR(ISNUMBER(SEARCH("VISITA",D307)),ISNUMBER(SEARCH("RUTA",D307)),ISNUMBER(SEARCH("ARRIB",D307)),ISNUMBER(SEARCH("MATRIZ",D307)),ISNUMBER(SEARCH("PENDIENTE",D307))),"VISITA COORDINADA CON EL CLIENTE","N/A"))</f>
        <v>N/A</v>
      </c>
      <c r="G307" s="12" t="str">
        <f>IF(base!G307="","",base!G307)</f>
        <v>001234</v>
      </c>
      <c r="H307" s="12" t="str">
        <f>IF(base!I307="","",base!I307)</f>
        <v>FLEX</v>
      </c>
      <c r="I307" s="12" t="str">
        <f>IF(base!S307="","",base!S307)</f>
        <v>Prueba 305</v>
      </c>
      <c r="J307" s="12" t="str">
        <f>IF(base!T307="","",base!T307)</f>
        <v>Calle 123
Piso 2</v>
      </c>
      <c r="K307" s="12" t="str">
        <f>IF(base!U307="","",base!U307)</f>
        <v/>
      </c>
      <c r="L307" s="12" t="str">
        <f>IF(base!Y307="","",base!Y307)</f>
        <v/>
      </c>
      <c r="M307" s="12" t="str">
        <f>IF(base!AH307="","",base!AH307)</f>
        <v/>
      </c>
      <c r="N307" s="12" t="str">
        <f>IF(base!AI307="","",base!AI307)</f>
        <v>34.072273</v>
      </c>
      <c r="O307" s="12">
        <f>IF(base!BA307="","",base!BA307)</f>
        <v>1875</v>
      </c>
      <c r="P307" s="13">
        <f>IF(base!BK307="","",base!BK307)</f>
        <v>46303.805902777778</v>
      </c>
      <c r="Q307" s="15" t="str">
        <f>IF(base!BS307="","",base!BS307)</f>
        <v/>
      </c>
    </row>
    <row r="308" spans="1:17" ht="30" x14ac:dyDescent="0.35">
      <c r="A308" s="14">
        <f>IF(base!A308="","",base!A308)</f>
        <v>6200306</v>
      </c>
      <c r="B308" s="13">
        <f>IF(base!BN308="","",base!BN308)</f>
        <v>46303.625</v>
      </c>
      <c r="C308" s="12" t="str">
        <f>IF(base!C308="","",base!C308)</f>
        <v>ZETABURGOS SRL</v>
      </c>
      <c r="D308" s="12" t="str">
        <f>IF(base!E308="","",base!E308)</f>
        <v>1RVT - 1° VISITA</v>
      </c>
      <c r="E308" s="12" t="str">
        <f>IF(base!BF308="","",base!BF308)</f>
        <v/>
      </c>
      <c r="F308" s="12" t="str">
        <f>IF(D308="","",IF(OR(ISNUMBER(SEARCH("VISITA",D308)),ISNUMBER(SEARCH("RUTA",D308)),ISNUMBER(SEARCH("ARRIB",D308)),ISNUMBER(SEARCH("MATRIZ",D308)),ISNUMBER(SEARCH("PENDIENTE",D308))),"VISITA COORDINADA CON EL CLIENTE","N/A"))</f>
        <v>VISITA COORDINADA CON EL CLIENTE</v>
      </c>
      <c r="G308" s="12" t="str">
        <f>"#ABC"</f>
        <v>#ABC</v>
      </c>
      <c r="H308" s="12" t="str">
        <f>IF(base!I308="","",base!I308)</f>
        <v>SAMEDAY</v>
      </c>
      <c r="I308" s="12" t="str">
        <f>IF(base!S308="","",base!S308)</f>
        <v>Prueba 306</v>
      </c>
      <c r="J308" s="12" t="str">
        <f>IF(base!T308="","",base!T308)</f>
        <v>Calle 123
Piso 2</v>
      </c>
      <c r="K308" s="12" t="str">
        <f>IF(base!U308="","",base!U308)</f>
        <v/>
      </c>
      <c r="L308" s="12" t="str">
        <f>IF(base!Y308="","",base!Y308)</f>
        <v/>
      </c>
      <c r="M308" s="12" t="str">
        <f>IF(base!AH308="","",base!AH308)</f>
        <v/>
      </c>
      <c r="N308" s="12" t="str">
        <f>IF(base!AI308="","",base!AI308)</f>
        <v>34.072273</v>
      </c>
      <c r="O308" s="12">
        <f>IF(base!BA308="","",base!BA308)</f>
        <v>1875</v>
      </c>
      <c r="P308" s="13">
        <f>IF(base!BK308="","",base!BK308)</f>
        <v>46303.805902777778</v>
      </c>
      <c r="Q308" s="15" t="str">
        <f>IF(base!BS308="","",base!BS308)</f>
        <v/>
      </c>
    </row>
    <row r="309" spans="1:17" ht="30" x14ac:dyDescent="0.35">
      <c r="A309" s="14">
        <f>IF(base!A309="","",base!A309)</f>
        <v>6200307</v>
      </c>
      <c r="B309" s="13">
        <f>IF(base!BN309="","",base!BN309)</f>
        <v>46303.625</v>
      </c>
      <c r="C309" s="12" t="str">
        <f>IF(base!C309="","",base!C309)</f>
        <v>ZETABURGOS SRL</v>
      </c>
      <c r="D309" s="12" t="str">
        <f>IF(base!E309="","",base!E309)</f>
        <v>ENTREGADO</v>
      </c>
      <c r="E309" s="12" t="str">
        <f>IF(base!BF309="","",base!BF309)</f>
        <v/>
      </c>
      <c r="F309" s="12" t="str">
        <f>IF(D309="","",IF(OR(ISNUMBER(SEARCH("VISITA",D309)),ISNUMBER(SEARCH("RUTA",D309)),ISNUMBER(SEARCH("ARRIB",D309)),ISNUMBER(SEARCH("MATRIZ",D309)),ISNUMBER(SEARCH("PENDIENTE",D309))),"VISITA COORDINADA CON EL CLIENTE","N/A"))</f>
        <v>N/A</v>
      </c>
      <c r="G309" s="12">
        <f>IF(base!G309="","",base!G309)</f>
        <v>470123456</v>
      </c>
      <c r="H309" s="12" t="str">
        <f>IF(base!I309="","",base!I309)</f>
        <v>FLEX</v>
      </c>
      <c r="I309" s="12" t="str">
        <f>IF(base!S309="","",base!S309)</f>
        <v>Prueba 307</v>
      </c>
      <c r="J309" s="12" t="str">
        <f>IF(base!T309="","",base!T309)</f>
        <v>Calle 123
Piso 2</v>
      </c>
      <c r="K309" s="12" t="str">
        <f>IF(base!U309="","",base!U309)</f>
        <v/>
      </c>
      <c r="L309" s="12" t="str">
        <f>IF(base!Y309="","",base!Y309)</f>
        <v/>
      </c>
      <c r="M309" s="12" t="str">
        <f>IF(base!AH309="","",base!AH309)</f>
        <v/>
      </c>
      <c r="N309" s="12" t="str">
        <f>IF(base!AI309="","",base!AI309)</f>
        <v>34.072273</v>
      </c>
      <c r="O309" s="12">
        <f>IF(base!BA309="","",base!BA309)</f>
        <v>1875</v>
      </c>
      <c r="P309" s="13">
        <f>IF(base!BK309="","",base!BK309)</f>
        <v>46303.805902777778</v>
      </c>
      <c r="Q309" s="15" t="str">
        <f>IF(base!BS309="","",base!BS309)</f>
        <v/>
      </c>
    </row>
    <row r="310" spans="1:17" ht="30" x14ac:dyDescent="0.35">
      <c r="A310" s="14">
        <f>IF(base!A310="","",base!A310)</f>
        <v>6200308</v>
      </c>
      <c r="B310" s="13">
        <f>IF(base!BN310="","",base!BN310)</f>
        <v>46303.625</v>
      </c>
      <c r="C310" s="12" t="str">
        <f>IF(base!C310="","",base!C310)</f>
        <v>ZETABURGOS SRL</v>
      </c>
      <c r="D310" s="12" t="str">
        <f>IF(base!E310="","",base!E310)</f>
        <v>REPROGRAMACIÓN</v>
      </c>
      <c r="E310" s="12" t="str">
        <f>IF(base!BF310="","",base!BF310)</f>
        <v/>
      </c>
      <c r="F310" s="12" t="str">
        <f>IF(D310="","",IF(OR(ISNUMBER(SEARCH("VISITA",D310)),ISNUMBER(SEARCH("RUTA",D310)),ISNUMBER(SEARCH("ARRIB",D310)),ISNUMBER(SEARCH("MATRIZ",D310)),ISNUMBER(SEARCH("PENDIENTE",D310))),"VISITA COORDINADA CON EL CLIENTE","N/A"))</f>
        <v>N/A</v>
      </c>
      <c r="G310" s="12" t="str">
        <f>IF(base!G310="","",base!G310)</f>
        <v>ABC001</v>
      </c>
      <c r="H310" s="12" t="str">
        <f>IF(base!I310="","",base!I310)</f>
        <v>SAMEDAY</v>
      </c>
      <c r="I310" s="12" t="str">
        <f>IF(base!S310="","",base!S310)</f>
        <v>Prueba 308</v>
      </c>
      <c r="J310" s="12" t="str">
        <f>IF(base!T310="","",base!T310)</f>
        <v>Calle 123
Piso 2</v>
      </c>
      <c r="K310" s="12" t="str">
        <f>IF(base!U310="","",base!U310)</f>
        <v/>
      </c>
      <c r="L310" s="12" t="str">
        <f>IF(base!Y310="","",base!Y310)</f>
        <v/>
      </c>
      <c r="M310" s="12" t="str">
        <f>IF(base!AH310="","",base!AH310)</f>
        <v/>
      </c>
      <c r="N310" s="12" t="str">
        <f>IF(base!AI310="","",base!AI310)</f>
        <v>34.072273</v>
      </c>
      <c r="O310" s="12">
        <f>IF(base!BA310="","",base!BA310)</f>
        <v>1875</v>
      </c>
      <c r="P310" s="13">
        <f>IF(base!BK310="","",base!BK310)</f>
        <v>46303.805902777778</v>
      </c>
      <c r="Q310" s="15" t="str">
        <f>IF(base!BS310="","",base!BS310)</f>
        <v/>
      </c>
    </row>
    <row r="311" spans="1:17" ht="30" x14ac:dyDescent="0.35">
      <c r="A311" s="14">
        <f>IF(base!A311="","",base!A311)</f>
        <v>6200309</v>
      </c>
      <c r="B311" s="13">
        <f>IF(base!BN311="","",base!BN311)</f>
        <v>46303.625</v>
      </c>
      <c r="C311" s="12" t="str">
        <f>IF(base!C311="","",base!C311)</f>
        <v>ZETABURGOS SRL</v>
      </c>
      <c r="D311" s="12" t="str">
        <f>IF(base!E311="","",base!E311)</f>
        <v>1RVT - 1° VISITA</v>
      </c>
      <c r="E311" s="12" t="str">
        <f>IF(base!BF311="","",base!BF311)</f>
        <v/>
      </c>
      <c r="F311" s="12" t="str">
        <f>IF(D311="","",IF(OR(ISNUMBER(SEARCH("VISITA",D311)),ISNUMBER(SEARCH("RUTA",D311)),ISNUMBER(SEARCH("ARRIB",D311)),ISNUMBER(SEARCH("MATRIZ",D311)),ISNUMBER(SEARCH("PENDIENTE",D311))),"VISITA COORDINADA CON EL CLIENTE","N/A"))</f>
        <v>VISITA COORDINADA CON EL CLIENTE</v>
      </c>
      <c r="G311" s="12" t="str">
        <f>IF(base!G311="","",base!G311)</f>
        <v>2000018857041302</v>
      </c>
      <c r="H311" s="12" t="str">
        <f>IF(base!I311="","",base!I311)</f>
        <v>FLEX</v>
      </c>
      <c r="I311" s="12" t="str">
        <f>IF(base!S311="","",base!S311)</f>
        <v>Prueba 309</v>
      </c>
      <c r="J311" s="12" t="str">
        <f>IF(base!T311="","",base!T311)</f>
        <v>Calle 123
Piso 2</v>
      </c>
      <c r="K311" s="12" t="str">
        <f>IF(base!U311="","",base!U311)</f>
        <v/>
      </c>
      <c r="L311" s="12" t="str">
        <f>IF(base!Y311="","",base!Y311)</f>
        <v/>
      </c>
      <c r="M311" s="12" t="str">
        <f>IF(base!AH311="","",base!AH311)</f>
        <v/>
      </c>
      <c r="N311" s="12" t="str">
        <f>IF(base!AI311="","",base!AI311)</f>
        <v>34.072273</v>
      </c>
      <c r="O311" s="12">
        <f>IF(base!BA311="","",base!BA311)</f>
        <v>1875</v>
      </c>
      <c r="P311" s="13">
        <f>IF(base!BK311="","",base!BK311)</f>
        <v>46303.805902777778</v>
      </c>
      <c r="Q311" s="15" t="str">
        <f>IF(base!BS311="","",base!BS311)</f>
        <v/>
      </c>
    </row>
    <row r="312" spans="1:17" ht="30" x14ac:dyDescent="0.35">
      <c r="A312" s="14">
        <f>IF(base!A312="","",base!A312)</f>
        <v>6200310</v>
      </c>
      <c r="B312" s="13">
        <f>IF(base!BN312="","",base!BN312)</f>
        <v>46303.625</v>
      </c>
      <c r="C312" s="12" t="str">
        <f>IF(base!C312="","",base!C312)</f>
        <v>ZETABURGOS SRL</v>
      </c>
      <c r="D312" s="12" t="str">
        <f>IF(base!E312="","",base!E312)</f>
        <v>ENTREGADO</v>
      </c>
      <c r="E312" s="12" t="str">
        <f>IF(base!BF312="","",base!BF312)</f>
        <v/>
      </c>
      <c r="F312" s="12" t="str">
        <f>IF(D312="","",IF(OR(ISNUMBER(SEARCH("VISITA",D312)),ISNUMBER(SEARCH("RUTA",D312)),ISNUMBER(SEARCH("ARRIB",D312)),ISNUMBER(SEARCH("MATRIZ",D312)),ISNUMBER(SEARCH("PENDIENTE",D312))),"VISITA COORDINADA CON EL CLIENTE","N/A"))</f>
        <v>N/A</v>
      </c>
      <c r="G312" s="12" t="str">
        <f>IF(base!G312="","",base!G312)</f>
        <v>001234</v>
      </c>
      <c r="H312" s="12" t="str">
        <f>IF(base!I312="","",base!I312)</f>
        <v>FLEX</v>
      </c>
      <c r="I312" s="12" t="str">
        <f>IF(base!S312="","",base!S312)</f>
        <v>Prueba 310</v>
      </c>
      <c r="J312" s="12" t="str">
        <f>IF(base!T312="","",base!T312)</f>
        <v>Calle 123
Piso 2</v>
      </c>
      <c r="K312" s="12" t="str">
        <f>IF(base!U312="","",base!U312)</f>
        <v/>
      </c>
      <c r="L312" s="12" t="str">
        <f>IF(base!Y312="","",base!Y312)</f>
        <v/>
      </c>
      <c r="M312" s="12" t="str">
        <f>IF(base!AH312="","",base!AH312)</f>
        <v/>
      </c>
      <c r="N312" s="12" t="str">
        <f>IF(base!AI312="","",base!AI312)</f>
        <v>34.072273</v>
      </c>
      <c r="O312" s="12">
        <f>IF(base!BA312="","",base!BA312)</f>
        <v>1875</v>
      </c>
      <c r="P312" s="13">
        <f>IF(base!BK312="","",base!BK312)</f>
        <v>46303.805902777778</v>
      </c>
      <c r="Q312" s="15" t="str">
        <f>IF(base!BS312="","",base!BS312)</f>
        <v/>
      </c>
    </row>
    <row r="313" spans="1:17" ht="30" x14ac:dyDescent="0.35">
      <c r="A313" s="14">
        <f>IF(base!A313="","",base!A313)</f>
        <v>6200311</v>
      </c>
      <c r="B313" s="13">
        <f>IF(base!BN313="","",base!BN313)</f>
        <v>46303.625</v>
      </c>
      <c r="C313" s="12" t="str">
        <f>IF(base!C313="","",base!C313)</f>
        <v>ZETABURGOS SRL</v>
      </c>
      <c r="D313" s="12" t="str">
        <f>IF(base!E313="","",base!E313)</f>
        <v>REPROGRAMACIÓN</v>
      </c>
      <c r="E313" s="12" t="str">
        <f>IF(base!BF313="","",base!BF313)</f>
        <v/>
      </c>
      <c r="F313" s="12" t="str">
        <f>IF(D313="","",IF(OR(ISNUMBER(SEARCH("VISITA",D313)),ISNUMBER(SEARCH("RUTA",D313)),ISNUMBER(SEARCH("ARRIB",D313)),ISNUMBER(SEARCH("MATRIZ",D313)),ISNUMBER(SEARCH("PENDIENTE",D313))),"VISITA COORDINADA CON EL CLIENTE","N/A"))</f>
        <v>N/A</v>
      </c>
      <c r="G313" s="12" t="str">
        <f>"#ABC"</f>
        <v>#ABC</v>
      </c>
      <c r="H313" s="12" t="str">
        <f>IF(base!I313="","",base!I313)</f>
        <v>SAMEDAY</v>
      </c>
      <c r="I313" s="12" t="str">
        <f>IF(base!S313="","",base!S313)</f>
        <v>Prueba 311</v>
      </c>
      <c r="J313" s="12" t="str">
        <f>IF(base!T313="","",base!T313)</f>
        <v>Calle 123
Piso 2</v>
      </c>
      <c r="K313" s="12" t="str">
        <f>IF(base!U313="","",base!U313)</f>
        <v/>
      </c>
      <c r="L313" s="12" t="str">
        <f>IF(base!Y313="","",base!Y313)</f>
        <v/>
      </c>
      <c r="M313" s="12" t="str">
        <f>IF(base!AH313="","",base!AH313)</f>
        <v/>
      </c>
      <c r="N313" s="12" t="str">
        <f>IF(base!AI313="","",base!AI313)</f>
        <v>34.072273</v>
      </c>
      <c r="O313" s="12">
        <f>IF(base!BA313="","",base!BA313)</f>
        <v>1875</v>
      </c>
      <c r="P313" s="13">
        <f>IF(base!BK313="","",base!BK313)</f>
        <v>46303.805902777778</v>
      </c>
      <c r="Q313" s="15" t="str">
        <f>IF(base!BS313="","",base!BS313)</f>
        <v/>
      </c>
    </row>
    <row r="314" spans="1:17" ht="30" x14ac:dyDescent="0.35">
      <c r="A314" s="14">
        <f>IF(base!A314="","",base!A314)</f>
        <v>6200312</v>
      </c>
      <c r="B314" s="13">
        <f>IF(base!BN314="","",base!BN314)</f>
        <v>46303.625</v>
      </c>
      <c r="C314" s="12" t="str">
        <f>IF(base!C314="","",base!C314)</f>
        <v>ZETABURGOS SRL</v>
      </c>
      <c r="D314" s="12" t="str">
        <f>IF(base!E314="","",base!E314)</f>
        <v>1RVT - 1° VISITA</v>
      </c>
      <c r="E314" s="12" t="str">
        <f>IF(base!BF314="","",base!BF314)</f>
        <v/>
      </c>
      <c r="F314" s="12" t="str">
        <f>IF(D314="","",IF(OR(ISNUMBER(SEARCH("VISITA",D314)),ISNUMBER(SEARCH("RUTA",D314)),ISNUMBER(SEARCH("ARRIB",D314)),ISNUMBER(SEARCH("MATRIZ",D314)),ISNUMBER(SEARCH("PENDIENTE",D314))),"VISITA COORDINADA CON EL CLIENTE","N/A"))</f>
        <v>VISITA COORDINADA CON EL CLIENTE</v>
      </c>
      <c r="G314" s="12">
        <f>IF(base!G314="","",base!G314)</f>
        <v>470123456</v>
      </c>
      <c r="H314" s="12" t="str">
        <f>IF(base!I314="","",base!I314)</f>
        <v>FLEX</v>
      </c>
      <c r="I314" s="12" t="str">
        <f>IF(base!S314="","",base!S314)</f>
        <v>Prueba 312</v>
      </c>
      <c r="J314" s="12" t="str">
        <f>IF(base!T314="","",base!T314)</f>
        <v>Calle 123
Piso 2</v>
      </c>
      <c r="K314" s="12" t="str">
        <f>IF(base!U314="","",base!U314)</f>
        <v/>
      </c>
      <c r="L314" s="12" t="str">
        <f>IF(base!Y314="","",base!Y314)</f>
        <v/>
      </c>
      <c r="M314" s="12" t="str">
        <f>IF(base!AH314="","",base!AH314)</f>
        <v/>
      </c>
      <c r="N314" s="12" t="str">
        <f>IF(base!AI314="","",base!AI314)</f>
        <v>34.072273</v>
      </c>
      <c r="O314" s="12">
        <f>IF(base!BA314="","",base!BA314)</f>
        <v>1875</v>
      </c>
      <c r="P314" s="13">
        <f>IF(base!BK314="","",base!BK314)</f>
        <v>46303.805902777778</v>
      </c>
      <c r="Q314" s="15" t="str">
        <f>IF(base!BS314="","",base!BS314)</f>
        <v/>
      </c>
    </row>
    <row r="315" spans="1:17" ht="30" x14ac:dyDescent="0.35">
      <c r="A315" s="14">
        <f>IF(base!A315="","",base!A315)</f>
        <v>6200313</v>
      </c>
      <c r="B315" s="13">
        <f>IF(base!BN315="","",base!BN315)</f>
        <v>46303.625</v>
      </c>
      <c r="C315" s="12" t="str">
        <f>IF(base!C315="","",base!C315)</f>
        <v>ZETABURGOS SRL</v>
      </c>
      <c r="D315" s="12" t="str">
        <f>IF(base!E315="","",base!E315)</f>
        <v>ENTREGADO</v>
      </c>
      <c r="E315" s="12" t="str">
        <f>IF(base!BF315="","",base!BF315)</f>
        <v/>
      </c>
      <c r="F315" s="12" t="str">
        <f>IF(D315="","",IF(OR(ISNUMBER(SEARCH("VISITA",D315)),ISNUMBER(SEARCH("RUTA",D315)),ISNUMBER(SEARCH("ARRIB",D315)),ISNUMBER(SEARCH("MATRIZ",D315)),ISNUMBER(SEARCH("PENDIENTE",D315))),"VISITA COORDINADA CON EL CLIENTE","N/A"))</f>
        <v>N/A</v>
      </c>
      <c r="G315" s="12" t="str">
        <f>IF(base!G315="","",base!G315)</f>
        <v>ABC001</v>
      </c>
      <c r="H315" s="12" t="str">
        <f>IF(base!I315="","",base!I315)</f>
        <v>SAMEDAY</v>
      </c>
      <c r="I315" s="12" t="str">
        <f>IF(base!S315="","",base!S315)</f>
        <v>Prueba 313</v>
      </c>
      <c r="J315" s="12" t="str">
        <f>IF(base!T315="","",base!T315)</f>
        <v>Calle 123
Piso 2</v>
      </c>
      <c r="K315" s="12" t="str">
        <f>IF(base!U315="","",base!U315)</f>
        <v/>
      </c>
      <c r="L315" s="12" t="str">
        <f>IF(base!Y315="","",base!Y315)</f>
        <v/>
      </c>
      <c r="M315" s="12" t="str">
        <f>IF(base!AH315="","",base!AH315)</f>
        <v/>
      </c>
      <c r="N315" s="12" t="str">
        <f>IF(base!AI315="","",base!AI315)</f>
        <v>34.072273</v>
      </c>
      <c r="O315" s="12">
        <f>IF(base!BA315="","",base!BA315)</f>
        <v>1875</v>
      </c>
      <c r="P315" s="13">
        <f>IF(base!BK315="","",base!BK315)</f>
        <v>46303.805902777778</v>
      </c>
      <c r="Q315" s="15" t="str">
        <f>IF(base!BS315="","",base!BS315)</f>
        <v/>
      </c>
    </row>
    <row r="316" spans="1:17" ht="30" x14ac:dyDescent="0.35">
      <c r="A316" s="14">
        <f>IF(base!A316="","",base!A316)</f>
        <v>6200314</v>
      </c>
      <c r="B316" s="13">
        <f>IF(base!BN316="","",base!BN316)</f>
        <v>46303.625</v>
      </c>
      <c r="C316" s="12" t="str">
        <f>IF(base!C316="","",base!C316)</f>
        <v>ZETABURGOS SRL</v>
      </c>
      <c r="D316" s="12" t="str">
        <f>IF(base!E316="","",base!E316)</f>
        <v>REPROGRAMACIÓN</v>
      </c>
      <c r="E316" s="12" t="str">
        <f>IF(base!BF316="","",base!BF316)</f>
        <v/>
      </c>
      <c r="F316" s="12" t="str">
        <f>IF(D316="","",IF(OR(ISNUMBER(SEARCH("VISITA",D316)),ISNUMBER(SEARCH("RUTA",D316)),ISNUMBER(SEARCH("ARRIB",D316)),ISNUMBER(SEARCH("MATRIZ",D316)),ISNUMBER(SEARCH("PENDIENTE",D316))),"VISITA COORDINADA CON EL CLIENTE","N/A"))</f>
        <v>N/A</v>
      </c>
      <c r="G316" s="12" t="str">
        <f>IF(base!G316="","",base!G316)</f>
        <v>2000018857041302</v>
      </c>
      <c r="H316" s="12" t="str">
        <f>IF(base!I316="","",base!I316)</f>
        <v>FLEX</v>
      </c>
      <c r="I316" s="12" t="str">
        <f>IF(base!S316="","",base!S316)</f>
        <v>Prueba 314</v>
      </c>
      <c r="J316" s="12" t="str">
        <f>IF(base!T316="","",base!T316)</f>
        <v>Calle 123
Piso 2</v>
      </c>
      <c r="K316" s="12" t="str">
        <f>IF(base!U316="","",base!U316)</f>
        <v/>
      </c>
      <c r="L316" s="12" t="str">
        <f>IF(base!Y316="","",base!Y316)</f>
        <v/>
      </c>
      <c r="M316" s="12" t="str">
        <f>IF(base!AH316="","",base!AH316)</f>
        <v/>
      </c>
      <c r="N316" s="12" t="str">
        <f>IF(base!AI316="","",base!AI316)</f>
        <v>34.072273</v>
      </c>
      <c r="O316" s="12">
        <f>IF(base!BA316="","",base!BA316)</f>
        <v>1875</v>
      </c>
      <c r="P316" s="13">
        <f>IF(base!BK316="","",base!BK316)</f>
        <v>46303.805902777778</v>
      </c>
      <c r="Q316" s="15" t="str">
        <f>IF(base!BS316="","",base!BS316)</f>
        <v/>
      </c>
    </row>
    <row r="317" spans="1:17" ht="30" x14ac:dyDescent="0.35">
      <c r="A317" s="14">
        <f>IF(base!A317="","",base!A317)</f>
        <v>6200315</v>
      </c>
      <c r="B317" s="13">
        <f>IF(base!BN317="","",base!BN317)</f>
        <v>46303.625</v>
      </c>
      <c r="C317" s="12" t="str">
        <f>IF(base!C317="","",base!C317)</f>
        <v>ZETABURGOS SRL</v>
      </c>
      <c r="D317" s="12" t="str">
        <f>IF(base!E317="","",base!E317)</f>
        <v>1RVT - 1° VISITA</v>
      </c>
      <c r="E317" s="12" t="str">
        <f>IF(base!BF317="","",base!BF317)</f>
        <v/>
      </c>
      <c r="F317" s="12" t="str">
        <f>IF(D317="","",IF(OR(ISNUMBER(SEARCH("VISITA",D317)),ISNUMBER(SEARCH("RUTA",D317)),ISNUMBER(SEARCH("ARRIB",D317)),ISNUMBER(SEARCH("MATRIZ",D317)),ISNUMBER(SEARCH("PENDIENTE",D317))),"VISITA COORDINADA CON EL CLIENTE","N/A"))</f>
        <v>VISITA COORDINADA CON EL CLIENTE</v>
      </c>
      <c r="G317" s="12" t="str">
        <f>IF(base!G317="","",base!G317)</f>
        <v>001234</v>
      </c>
      <c r="H317" s="12" t="str">
        <f>IF(base!I317="","",base!I317)</f>
        <v>FLEX</v>
      </c>
      <c r="I317" s="12" t="str">
        <f>IF(base!S317="","",base!S317)</f>
        <v>Prueba 315</v>
      </c>
      <c r="J317" s="12" t="str">
        <f>IF(base!T317="","",base!T317)</f>
        <v>Calle 123
Piso 2</v>
      </c>
      <c r="K317" s="12" t="str">
        <f>IF(base!U317="","",base!U317)</f>
        <v/>
      </c>
      <c r="L317" s="12" t="str">
        <f>IF(base!Y317="","",base!Y317)</f>
        <v/>
      </c>
      <c r="M317" s="12" t="str">
        <f>IF(base!AH317="","",base!AH317)</f>
        <v/>
      </c>
      <c r="N317" s="12" t="str">
        <f>IF(base!AI317="","",base!AI317)</f>
        <v>34.072273</v>
      </c>
      <c r="O317" s="12">
        <f>IF(base!BA317="","",base!BA317)</f>
        <v>1875</v>
      </c>
      <c r="P317" s="13">
        <f>IF(base!BK317="","",base!BK317)</f>
        <v>46303.805902777778</v>
      </c>
      <c r="Q317" s="15" t="str">
        <f>IF(base!BS317="","",base!BS317)</f>
        <v/>
      </c>
    </row>
    <row r="318" spans="1:17" ht="30" x14ac:dyDescent="0.35">
      <c r="A318" s="14">
        <f>IF(base!A318="","",base!A318)</f>
        <v>6200316</v>
      </c>
      <c r="B318" s="13">
        <f>IF(base!BN318="","",base!BN318)</f>
        <v>46303.625</v>
      </c>
      <c r="C318" s="12" t="str">
        <f>IF(base!C318="","",base!C318)</f>
        <v>ZETABURGOS SRL</v>
      </c>
      <c r="D318" s="12" t="str">
        <f>IF(base!E318="","",base!E318)</f>
        <v>ENTREGADO</v>
      </c>
      <c r="E318" s="12" t="str">
        <f>IF(base!BF318="","",base!BF318)</f>
        <v/>
      </c>
      <c r="F318" s="12" t="str">
        <f>IF(D318="","",IF(OR(ISNUMBER(SEARCH("VISITA",D318)),ISNUMBER(SEARCH("RUTA",D318)),ISNUMBER(SEARCH("ARRIB",D318)),ISNUMBER(SEARCH("MATRIZ",D318)),ISNUMBER(SEARCH("PENDIENTE",D318))),"VISITA COORDINADA CON EL CLIENTE","N/A"))</f>
        <v>N/A</v>
      </c>
      <c r="G318" s="12" t="str">
        <f>"#ABC"</f>
        <v>#ABC</v>
      </c>
      <c r="H318" s="12" t="str">
        <f>IF(base!I318="","",base!I318)</f>
        <v>SAMEDAY</v>
      </c>
      <c r="I318" s="12" t="str">
        <f>IF(base!S318="","",base!S318)</f>
        <v>Prueba 316</v>
      </c>
      <c r="J318" s="12" t="str">
        <f>IF(base!T318="","",base!T318)</f>
        <v>Calle 123
Piso 2</v>
      </c>
      <c r="K318" s="12" t="str">
        <f>IF(base!U318="","",base!U318)</f>
        <v/>
      </c>
      <c r="L318" s="12" t="str">
        <f>IF(base!Y318="","",base!Y318)</f>
        <v/>
      </c>
      <c r="M318" s="12" t="str">
        <f>IF(base!AH318="","",base!AH318)</f>
        <v/>
      </c>
      <c r="N318" s="12" t="str">
        <f>IF(base!AI318="","",base!AI318)</f>
        <v>34.072273</v>
      </c>
      <c r="O318" s="12">
        <f>IF(base!BA318="","",base!BA318)</f>
        <v>1875</v>
      </c>
      <c r="P318" s="13">
        <f>IF(base!BK318="","",base!BK318)</f>
        <v>46303.805902777778</v>
      </c>
      <c r="Q318" s="15" t="str">
        <f>IF(base!BS318="","",base!BS318)</f>
        <v/>
      </c>
    </row>
    <row r="319" spans="1:17" ht="30" x14ac:dyDescent="0.35">
      <c r="A319" s="14">
        <f>IF(base!A319="","",base!A319)</f>
        <v>6200317</v>
      </c>
      <c r="B319" s="13">
        <f>IF(base!BN319="","",base!BN319)</f>
        <v>46303.625</v>
      </c>
      <c r="C319" s="12" t="str">
        <f>IF(base!C319="","",base!C319)</f>
        <v>ZETABURGOS SRL</v>
      </c>
      <c r="D319" s="12" t="str">
        <f>IF(base!E319="","",base!E319)</f>
        <v>REPROGRAMACIÓN</v>
      </c>
      <c r="E319" s="12" t="str">
        <f>IF(base!BF319="","",base!BF319)</f>
        <v/>
      </c>
      <c r="F319" s="12" t="str">
        <f>IF(D319="","",IF(OR(ISNUMBER(SEARCH("VISITA",D319)),ISNUMBER(SEARCH("RUTA",D319)),ISNUMBER(SEARCH("ARRIB",D319)),ISNUMBER(SEARCH("MATRIZ",D319)),ISNUMBER(SEARCH("PENDIENTE",D319))),"VISITA COORDINADA CON EL CLIENTE","N/A"))</f>
        <v>N/A</v>
      </c>
      <c r="G319" s="12">
        <f>IF(base!G319="","",base!G319)</f>
        <v>470123456</v>
      </c>
      <c r="H319" s="12" t="str">
        <f>IF(base!I319="","",base!I319)</f>
        <v>FLEX</v>
      </c>
      <c r="I319" s="12" t="str">
        <f>IF(base!S319="","",base!S319)</f>
        <v>Prueba 317</v>
      </c>
      <c r="J319" s="12" t="str">
        <f>IF(base!T319="","",base!T319)</f>
        <v>Calle 123
Piso 2</v>
      </c>
      <c r="K319" s="12" t="str">
        <f>IF(base!U319="","",base!U319)</f>
        <v/>
      </c>
      <c r="L319" s="12" t="str">
        <f>IF(base!Y319="","",base!Y319)</f>
        <v/>
      </c>
      <c r="M319" s="12" t="str">
        <f>IF(base!AH319="","",base!AH319)</f>
        <v/>
      </c>
      <c r="N319" s="12" t="str">
        <f>IF(base!AI319="","",base!AI319)</f>
        <v>34.072273</v>
      </c>
      <c r="O319" s="12">
        <f>IF(base!BA319="","",base!BA319)</f>
        <v>1875</v>
      </c>
      <c r="P319" s="13">
        <f>IF(base!BK319="","",base!BK319)</f>
        <v>46303.805902777778</v>
      </c>
      <c r="Q319" s="15" t="str">
        <f>IF(base!BS319="","",base!BS319)</f>
        <v/>
      </c>
    </row>
    <row r="320" spans="1:17" ht="30" x14ac:dyDescent="0.35">
      <c r="A320" s="14">
        <f>IF(base!A320="","",base!A320)</f>
        <v>6200318</v>
      </c>
      <c r="B320" s="13">
        <f>IF(base!BN320="","",base!BN320)</f>
        <v>46303.625</v>
      </c>
      <c r="C320" s="12" t="str">
        <f>IF(base!C320="","",base!C320)</f>
        <v>ZETABURGOS SRL</v>
      </c>
      <c r="D320" s="12" t="str">
        <f>IF(base!E320="","",base!E320)</f>
        <v>1RVT - 1° VISITA</v>
      </c>
      <c r="E320" s="12" t="str">
        <f>IF(base!BF320="","",base!BF320)</f>
        <v/>
      </c>
      <c r="F320" s="12" t="str">
        <f>IF(D320="","",IF(OR(ISNUMBER(SEARCH("VISITA",D320)),ISNUMBER(SEARCH("RUTA",D320)),ISNUMBER(SEARCH("ARRIB",D320)),ISNUMBER(SEARCH("MATRIZ",D320)),ISNUMBER(SEARCH("PENDIENTE",D320))),"VISITA COORDINADA CON EL CLIENTE","N/A"))</f>
        <v>VISITA COORDINADA CON EL CLIENTE</v>
      </c>
      <c r="G320" s="12" t="str">
        <f>IF(base!G320="","",base!G320)</f>
        <v>ABC001</v>
      </c>
      <c r="H320" s="12" t="str">
        <f>IF(base!I320="","",base!I320)</f>
        <v>SAMEDAY</v>
      </c>
      <c r="I320" s="12" t="str">
        <f>IF(base!S320="","",base!S320)</f>
        <v>Prueba 318</v>
      </c>
      <c r="J320" s="12" t="str">
        <f>IF(base!T320="","",base!T320)</f>
        <v>Calle 123
Piso 2</v>
      </c>
      <c r="K320" s="12" t="str">
        <f>IF(base!U320="","",base!U320)</f>
        <v/>
      </c>
      <c r="L320" s="12" t="str">
        <f>IF(base!Y320="","",base!Y320)</f>
        <v/>
      </c>
      <c r="M320" s="12" t="str">
        <f>IF(base!AH320="","",base!AH320)</f>
        <v/>
      </c>
      <c r="N320" s="12" t="str">
        <f>IF(base!AI320="","",base!AI320)</f>
        <v>34.072273</v>
      </c>
      <c r="O320" s="12">
        <f>IF(base!BA320="","",base!BA320)</f>
        <v>1875</v>
      </c>
      <c r="P320" s="13">
        <f>IF(base!BK320="","",base!BK320)</f>
        <v>46303.805902777778</v>
      </c>
      <c r="Q320" s="15" t="str">
        <f>IF(base!BS320="","",base!BS320)</f>
        <v/>
      </c>
    </row>
    <row r="321" spans="1:17" ht="30" x14ac:dyDescent="0.35">
      <c r="A321" s="14">
        <f>IF(base!A321="","",base!A321)</f>
        <v>6200319</v>
      </c>
      <c r="B321" s="13">
        <f>IF(base!BN321="","",base!BN321)</f>
        <v>46303.625</v>
      </c>
      <c r="C321" s="12" t="str">
        <f>IF(base!C321="","",base!C321)</f>
        <v>ZETABURGOS SRL</v>
      </c>
      <c r="D321" s="12" t="str">
        <f>IF(base!E321="","",base!E321)</f>
        <v>ENTREGADO</v>
      </c>
      <c r="E321" s="12" t="str">
        <f>IF(base!BF321="","",base!BF321)</f>
        <v/>
      </c>
      <c r="F321" s="12" t="str">
        <f>IF(D321="","",IF(OR(ISNUMBER(SEARCH("VISITA",D321)),ISNUMBER(SEARCH("RUTA",D321)),ISNUMBER(SEARCH("ARRIB",D321)),ISNUMBER(SEARCH("MATRIZ",D321)),ISNUMBER(SEARCH("PENDIENTE",D321))),"VISITA COORDINADA CON EL CLIENTE","N/A"))</f>
        <v>N/A</v>
      </c>
      <c r="G321" s="12" t="str">
        <f>IF(base!G321="","",base!G321)</f>
        <v>2000018857041302</v>
      </c>
      <c r="H321" s="12" t="str">
        <f>IF(base!I321="","",base!I321)</f>
        <v>FLEX</v>
      </c>
      <c r="I321" s="12" t="str">
        <f>IF(base!S321="","",base!S321)</f>
        <v>Prueba 319</v>
      </c>
      <c r="J321" s="12" t="str">
        <f>IF(base!T321="","",base!T321)</f>
        <v>Calle 123
Piso 2</v>
      </c>
      <c r="K321" s="12" t="str">
        <f>IF(base!U321="","",base!U321)</f>
        <v/>
      </c>
      <c r="L321" s="12" t="str">
        <f>IF(base!Y321="","",base!Y321)</f>
        <v/>
      </c>
      <c r="M321" s="12" t="str">
        <f>IF(base!AH321="","",base!AH321)</f>
        <v/>
      </c>
      <c r="N321" s="12" t="str">
        <f>IF(base!AI321="","",base!AI321)</f>
        <v>34.072273</v>
      </c>
      <c r="O321" s="12">
        <f>IF(base!BA321="","",base!BA321)</f>
        <v>1875</v>
      </c>
      <c r="P321" s="13">
        <f>IF(base!BK321="","",base!BK321)</f>
        <v>46303.805902777778</v>
      </c>
      <c r="Q321" s="15" t="str">
        <f>IF(base!BS321="","",base!BS321)</f>
        <v/>
      </c>
    </row>
    <row r="322" spans="1:17" ht="30" x14ac:dyDescent="0.35">
      <c r="A322" s="14">
        <f>IF(base!A322="","",base!A322)</f>
        <v>6200320</v>
      </c>
      <c r="B322" s="13">
        <f>IF(base!BN322="","",base!BN322)</f>
        <v>46303.625</v>
      </c>
      <c r="C322" s="12" t="str">
        <f>IF(base!C322="","",base!C322)</f>
        <v>ZETABURGOS SRL</v>
      </c>
      <c r="D322" s="12" t="str">
        <f>IF(base!E322="","",base!E322)</f>
        <v>REPROGRAMACIÓN</v>
      </c>
      <c r="E322" s="12" t="str">
        <f>IF(base!BF322="","",base!BF322)</f>
        <v/>
      </c>
      <c r="F322" s="12" t="str">
        <f>IF(D322="","",IF(OR(ISNUMBER(SEARCH("VISITA",D322)),ISNUMBER(SEARCH("RUTA",D322)),ISNUMBER(SEARCH("ARRIB",D322)),ISNUMBER(SEARCH("MATRIZ",D322)),ISNUMBER(SEARCH("PENDIENTE",D322))),"VISITA COORDINADA CON EL CLIENTE","N/A"))</f>
        <v>N/A</v>
      </c>
      <c r="G322" s="12" t="str">
        <f>IF(base!G322="","",base!G322)</f>
        <v>001234</v>
      </c>
      <c r="H322" s="12" t="str">
        <f>IF(base!I322="","",base!I322)</f>
        <v>FLEX</v>
      </c>
      <c r="I322" s="12" t="str">
        <f>IF(base!S322="","",base!S322)</f>
        <v>Prueba 320</v>
      </c>
      <c r="J322" s="12" t="str">
        <f>IF(base!T322="","",base!T322)</f>
        <v>Calle 123
Piso 2</v>
      </c>
      <c r="K322" s="12" t="str">
        <f>IF(base!U322="","",base!U322)</f>
        <v/>
      </c>
      <c r="L322" s="12" t="str">
        <f>IF(base!Y322="","",base!Y322)</f>
        <v/>
      </c>
      <c r="M322" s="12" t="str">
        <f>IF(base!AH322="","",base!AH322)</f>
        <v/>
      </c>
      <c r="N322" s="12" t="str">
        <f>IF(base!AI322="","",base!AI322)</f>
        <v>34.072273</v>
      </c>
      <c r="O322" s="12">
        <f>IF(base!BA322="","",base!BA322)</f>
        <v>1875</v>
      </c>
      <c r="P322" s="13">
        <f>IF(base!BK322="","",base!BK322)</f>
        <v>46303.805902777778</v>
      </c>
      <c r="Q322" s="15" t="str">
        <f>IF(base!BS322="","",base!BS322)</f>
        <v/>
      </c>
    </row>
    <row r="323" spans="1:17" ht="30" x14ac:dyDescent="0.35">
      <c r="A323" s="14">
        <f>IF(base!A323="","",base!A323)</f>
        <v>6200321</v>
      </c>
      <c r="B323" s="13">
        <f>IF(base!BN323="","",base!BN323)</f>
        <v>46303.625</v>
      </c>
      <c r="C323" s="12" t="str">
        <f>IF(base!C323="","",base!C323)</f>
        <v>ZETABURGOS SRL</v>
      </c>
      <c r="D323" s="12" t="str">
        <f>IF(base!E323="","",base!E323)</f>
        <v>1RVT - 1° VISITA</v>
      </c>
      <c r="E323" s="12" t="str">
        <f>IF(base!BF323="","",base!BF323)</f>
        <v/>
      </c>
      <c r="F323" s="12" t="str">
        <f>IF(D323="","",IF(OR(ISNUMBER(SEARCH("VISITA",D323)),ISNUMBER(SEARCH("RUTA",D323)),ISNUMBER(SEARCH("ARRIB",D323)),ISNUMBER(SEARCH("MATRIZ",D323)),ISNUMBER(SEARCH("PENDIENTE",D323))),"VISITA COORDINADA CON EL CLIENTE","N/A"))</f>
        <v>VISITA COORDINADA CON EL CLIENTE</v>
      </c>
      <c r="G323" s="12" t="str">
        <f>"#ABC"</f>
        <v>#ABC</v>
      </c>
      <c r="H323" s="12" t="str">
        <f>IF(base!I323="","",base!I323)</f>
        <v>SAMEDAY</v>
      </c>
      <c r="I323" s="12" t="str">
        <f>IF(base!S323="","",base!S323)</f>
        <v>Prueba 321</v>
      </c>
      <c r="J323" s="12" t="str">
        <f>IF(base!T323="","",base!T323)</f>
        <v>Calle 123
Piso 2</v>
      </c>
      <c r="K323" s="12" t="str">
        <f>IF(base!U323="","",base!U323)</f>
        <v/>
      </c>
      <c r="L323" s="12" t="str">
        <f>IF(base!Y323="","",base!Y323)</f>
        <v/>
      </c>
      <c r="M323" s="12" t="str">
        <f>IF(base!AH323="","",base!AH323)</f>
        <v/>
      </c>
      <c r="N323" s="12" t="str">
        <f>IF(base!AI323="","",base!AI323)</f>
        <v>34.072273</v>
      </c>
      <c r="O323" s="12">
        <f>IF(base!BA323="","",base!BA323)</f>
        <v>1875</v>
      </c>
      <c r="P323" s="13">
        <f>IF(base!BK323="","",base!BK323)</f>
        <v>46303.805902777778</v>
      </c>
      <c r="Q323" s="15" t="str">
        <f>IF(base!BS323="","",base!BS323)</f>
        <v/>
      </c>
    </row>
    <row r="324" spans="1:17" ht="30" x14ac:dyDescent="0.35">
      <c r="A324" s="14">
        <f>IF(base!A324="","",base!A324)</f>
        <v>6200322</v>
      </c>
      <c r="B324" s="13">
        <f>IF(base!BN324="","",base!BN324)</f>
        <v>46303.625</v>
      </c>
      <c r="C324" s="12" t="str">
        <f>IF(base!C324="","",base!C324)</f>
        <v>ZETABURGOS SRL</v>
      </c>
      <c r="D324" s="12" t="str">
        <f>IF(base!E324="","",base!E324)</f>
        <v>ENTREGADO</v>
      </c>
      <c r="E324" s="12" t="str">
        <f>IF(base!BF324="","",base!BF324)</f>
        <v/>
      </c>
      <c r="F324" s="12" t="str">
        <f>IF(D324="","",IF(OR(ISNUMBER(SEARCH("VISITA",D324)),ISNUMBER(SEARCH("RUTA",D324)),ISNUMBER(SEARCH("ARRIB",D324)),ISNUMBER(SEARCH("MATRIZ",D324)),ISNUMBER(SEARCH("PENDIENTE",D324))),"VISITA COORDINADA CON EL CLIENTE","N/A"))</f>
        <v>N/A</v>
      </c>
      <c r="G324" s="12">
        <f>IF(base!G324="","",base!G324)</f>
        <v>470123456</v>
      </c>
      <c r="H324" s="12" t="str">
        <f>IF(base!I324="","",base!I324)</f>
        <v>FLEX</v>
      </c>
      <c r="I324" s="12" t="str">
        <f>IF(base!S324="","",base!S324)</f>
        <v>Prueba 322</v>
      </c>
      <c r="J324" s="12" t="str">
        <f>IF(base!T324="","",base!T324)</f>
        <v>Calle 123
Piso 2</v>
      </c>
      <c r="K324" s="12" t="str">
        <f>IF(base!U324="","",base!U324)</f>
        <v/>
      </c>
      <c r="L324" s="12" t="str">
        <f>IF(base!Y324="","",base!Y324)</f>
        <v/>
      </c>
      <c r="M324" s="12" t="str">
        <f>IF(base!AH324="","",base!AH324)</f>
        <v/>
      </c>
      <c r="N324" s="12" t="str">
        <f>IF(base!AI324="","",base!AI324)</f>
        <v>34.072273</v>
      </c>
      <c r="O324" s="12">
        <f>IF(base!BA324="","",base!BA324)</f>
        <v>1875</v>
      </c>
      <c r="P324" s="13">
        <f>IF(base!BK324="","",base!BK324)</f>
        <v>46303.805902777778</v>
      </c>
      <c r="Q324" s="15" t="str">
        <f>IF(base!BS324="","",base!BS324)</f>
        <v/>
      </c>
    </row>
    <row r="325" spans="1:17" ht="30" x14ac:dyDescent="0.35">
      <c r="A325" s="14">
        <f>IF(base!A325="","",base!A325)</f>
        <v>6200323</v>
      </c>
      <c r="B325" s="13">
        <f>IF(base!BN325="","",base!BN325)</f>
        <v>46303.625</v>
      </c>
      <c r="C325" s="12" t="str">
        <f>IF(base!C325="","",base!C325)</f>
        <v>ZETABURGOS SRL</v>
      </c>
      <c r="D325" s="12" t="str">
        <f>IF(base!E325="","",base!E325)</f>
        <v>REPROGRAMACIÓN</v>
      </c>
      <c r="E325" s="12" t="str">
        <f>IF(base!BF325="","",base!BF325)</f>
        <v/>
      </c>
      <c r="F325" s="12" t="str">
        <f>IF(D325="","",IF(OR(ISNUMBER(SEARCH("VISITA",D325)),ISNUMBER(SEARCH("RUTA",D325)),ISNUMBER(SEARCH("ARRIB",D325)),ISNUMBER(SEARCH("MATRIZ",D325)),ISNUMBER(SEARCH("PENDIENTE",D325))),"VISITA COORDINADA CON EL CLIENTE","N/A"))</f>
        <v>N/A</v>
      </c>
      <c r="G325" s="12" t="str">
        <f>IF(base!G325="","",base!G325)</f>
        <v>ABC001</v>
      </c>
      <c r="H325" s="12" t="str">
        <f>IF(base!I325="","",base!I325)</f>
        <v>SAMEDAY</v>
      </c>
      <c r="I325" s="12" t="str">
        <f>IF(base!S325="","",base!S325)</f>
        <v>Prueba 323</v>
      </c>
      <c r="J325" s="12" t="str">
        <f>IF(base!T325="","",base!T325)</f>
        <v>Calle 123
Piso 2</v>
      </c>
      <c r="K325" s="12" t="str">
        <f>IF(base!U325="","",base!U325)</f>
        <v/>
      </c>
      <c r="L325" s="12" t="str">
        <f>IF(base!Y325="","",base!Y325)</f>
        <v/>
      </c>
      <c r="M325" s="12" t="str">
        <f>IF(base!AH325="","",base!AH325)</f>
        <v/>
      </c>
      <c r="N325" s="12" t="str">
        <f>IF(base!AI325="","",base!AI325)</f>
        <v>34.072273</v>
      </c>
      <c r="O325" s="12">
        <f>IF(base!BA325="","",base!BA325)</f>
        <v>1875</v>
      </c>
      <c r="P325" s="13">
        <f>IF(base!BK325="","",base!BK325)</f>
        <v>46303.805902777778</v>
      </c>
      <c r="Q325" s="15" t="str">
        <f>IF(base!BS325="","",base!BS325)</f>
        <v/>
      </c>
    </row>
    <row r="326" spans="1:17" ht="30" x14ac:dyDescent="0.35">
      <c r="A326" s="14">
        <f>IF(base!A326="","",base!A326)</f>
        <v>6200324</v>
      </c>
      <c r="B326" s="13">
        <f>IF(base!BN326="","",base!BN326)</f>
        <v>46303.625</v>
      </c>
      <c r="C326" s="12" t="str">
        <f>IF(base!C326="","",base!C326)</f>
        <v>ZETABURGOS SRL</v>
      </c>
      <c r="D326" s="12" t="str">
        <f>IF(base!E326="","",base!E326)</f>
        <v>1RVT - 1° VISITA</v>
      </c>
      <c r="E326" s="12" t="str">
        <f>IF(base!BF326="","",base!BF326)</f>
        <v/>
      </c>
      <c r="F326" s="12" t="str">
        <f>IF(D326="","",IF(OR(ISNUMBER(SEARCH("VISITA",D326)),ISNUMBER(SEARCH("RUTA",D326)),ISNUMBER(SEARCH("ARRIB",D326)),ISNUMBER(SEARCH("MATRIZ",D326)),ISNUMBER(SEARCH("PENDIENTE",D326))),"VISITA COORDINADA CON EL CLIENTE","N/A"))</f>
        <v>VISITA COORDINADA CON EL CLIENTE</v>
      </c>
      <c r="G326" s="12" t="str">
        <f>IF(base!G326="","",base!G326)</f>
        <v>2000018857041302</v>
      </c>
      <c r="H326" s="12" t="str">
        <f>IF(base!I326="","",base!I326)</f>
        <v>FLEX</v>
      </c>
      <c r="I326" s="12" t="str">
        <f>IF(base!S326="","",base!S326)</f>
        <v>Prueba 324</v>
      </c>
      <c r="J326" s="12" t="str">
        <f>IF(base!T326="","",base!T326)</f>
        <v>Calle 123
Piso 2</v>
      </c>
      <c r="K326" s="12" t="str">
        <f>IF(base!U326="","",base!U326)</f>
        <v/>
      </c>
      <c r="L326" s="12" t="str">
        <f>IF(base!Y326="","",base!Y326)</f>
        <v/>
      </c>
      <c r="M326" s="12" t="str">
        <f>IF(base!AH326="","",base!AH326)</f>
        <v/>
      </c>
      <c r="N326" s="12" t="str">
        <f>IF(base!AI326="","",base!AI326)</f>
        <v>34.072273</v>
      </c>
      <c r="O326" s="12">
        <f>IF(base!BA326="","",base!BA326)</f>
        <v>1875</v>
      </c>
      <c r="P326" s="13">
        <f>IF(base!BK326="","",base!BK326)</f>
        <v>46303.805902777778</v>
      </c>
      <c r="Q326" s="15" t="str">
        <f>IF(base!BS326="","",base!BS326)</f>
        <v/>
      </c>
    </row>
    <row r="327" spans="1:17" ht="30" x14ac:dyDescent="0.35">
      <c r="A327" s="14">
        <f>IF(base!A327="","",base!A327)</f>
        <v>6200325</v>
      </c>
      <c r="B327" s="13">
        <f>IF(base!BN327="","",base!BN327)</f>
        <v>46303.625</v>
      </c>
      <c r="C327" s="12" t="str">
        <f>IF(base!C327="","",base!C327)</f>
        <v>ZETABURGOS SRL</v>
      </c>
      <c r="D327" s="12" t="str">
        <f>IF(base!E327="","",base!E327)</f>
        <v>ENTREGADO</v>
      </c>
      <c r="E327" s="12" t="str">
        <f>IF(base!BF327="","",base!BF327)</f>
        <v/>
      </c>
      <c r="F327" s="12" t="str">
        <f>IF(D327="","",IF(OR(ISNUMBER(SEARCH("VISITA",D327)),ISNUMBER(SEARCH("RUTA",D327)),ISNUMBER(SEARCH("ARRIB",D327)),ISNUMBER(SEARCH("MATRIZ",D327)),ISNUMBER(SEARCH("PENDIENTE",D327))),"VISITA COORDINADA CON EL CLIENTE","N/A"))</f>
        <v>N/A</v>
      </c>
      <c r="G327" s="12" t="str">
        <f>IF(base!G327="","",base!G327)</f>
        <v>001234</v>
      </c>
      <c r="H327" s="12" t="str">
        <f>IF(base!I327="","",base!I327)</f>
        <v>FLEX</v>
      </c>
      <c r="I327" s="12" t="str">
        <f>IF(base!S327="","",base!S327)</f>
        <v>Prueba 325</v>
      </c>
      <c r="J327" s="12" t="str">
        <f>IF(base!T327="","",base!T327)</f>
        <v>Calle 123
Piso 2</v>
      </c>
      <c r="K327" s="12" t="str">
        <f>IF(base!U327="","",base!U327)</f>
        <v/>
      </c>
      <c r="L327" s="12" t="str">
        <f>IF(base!Y327="","",base!Y327)</f>
        <v/>
      </c>
      <c r="M327" s="12" t="str">
        <f>IF(base!AH327="","",base!AH327)</f>
        <v/>
      </c>
      <c r="N327" s="12" t="str">
        <f>IF(base!AI327="","",base!AI327)</f>
        <v>34.072273</v>
      </c>
      <c r="O327" s="12">
        <f>IF(base!BA327="","",base!BA327)</f>
        <v>1875</v>
      </c>
      <c r="P327" s="13">
        <f>IF(base!BK327="","",base!BK327)</f>
        <v>46303.805902777778</v>
      </c>
      <c r="Q327" s="15" t="str">
        <f>IF(base!BS327="","",base!BS327)</f>
        <v/>
      </c>
    </row>
    <row r="328" spans="1:17" ht="30" x14ac:dyDescent="0.35">
      <c r="A328" s="14">
        <f>IF(base!A328="","",base!A328)</f>
        <v>6200326</v>
      </c>
      <c r="B328" s="13">
        <f>IF(base!BN328="","",base!BN328)</f>
        <v>46303.625</v>
      </c>
      <c r="C328" s="12" t="str">
        <f>IF(base!C328="","",base!C328)</f>
        <v>ZETABURGOS SRL</v>
      </c>
      <c r="D328" s="12" t="str">
        <f>IF(base!E328="","",base!E328)</f>
        <v>REPROGRAMACIÓN</v>
      </c>
      <c r="E328" s="12" t="str">
        <f>IF(base!BF328="","",base!BF328)</f>
        <v/>
      </c>
      <c r="F328" s="12" t="str">
        <f>IF(D328="","",IF(OR(ISNUMBER(SEARCH("VISITA",D328)),ISNUMBER(SEARCH("RUTA",D328)),ISNUMBER(SEARCH("ARRIB",D328)),ISNUMBER(SEARCH("MATRIZ",D328)),ISNUMBER(SEARCH("PENDIENTE",D328))),"VISITA COORDINADA CON EL CLIENTE","N/A"))</f>
        <v>N/A</v>
      </c>
      <c r="G328" s="12" t="str">
        <f>"#ABC"</f>
        <v>#ABC</v>
      </c>
      <c r="H328" s="12" t="str">
        <f>IF(base!I328="","",base!I328)</f>
        <v>SAMEDAY</v>
      </c>
      <c r="I328" s="12" t="str">
        <f>IF(base!S328="","",base!S328)</f>
        <v>Prueba 326</v>
      </c>
      <c r="J328" s="12" t="str">
        <f>IF(base!T328="","",base!T328)</f>
        <v>Calle 123
Piso 2</v>
      </c>
      <c r="K328" s="12" t="str">
        <f>IF(base!U328="","",base!U328)</f>
        <v/>
      </c>
      <c r="L328" s="12" t="str">
        <f>IF(base!Y328="","",base!Y328)</f>
        <v/>
      </c>
      <c r="M328" s="12" t="str">
        <f>IF(base!AH328="","",base!AH328)</f>
        <v/>
      </c>
      <c r="N328" s="12" t="str">
        <f>IF(base!AI328="","",base!AI328)</f>
        <v>34.072273</v>
      </c>
      <c r="O328" s="12">
        <f>IF(base!BA328="","",base!BA328)</f>
        <v>1875</v>
      </c>
      <c r="P328" s="13">
        <f>IF(base!BK328="","",base!BK328)</f>
        <v>46303.805902777778</v>
      </c>
      <c r="Q328" s="15" t="str">
        <f>IF(base!BS328="","",base!BS328)</f>
        <v/>
      </c>
    </row>
    <row r="329" spans="1:17" ht="30" x14ac:dyDescent="0.35">
      <c r="A329" s="14">
        <f>IF(base!A329="","",base!A329)</f>
        <v>6200327</v>
      </c>
      <c r="B329" s="13">
        <f>IF(base!BN329="","",base!BN329)</f>
        <v>46303.625</v>
      </c>
      <c r="C329" s="12" t="str">
        <f>IF(base!C329="","",base!C329)</f>
        <v>ZETABURGOS SRL</v>
      </c>
      <c r="D329" s="12" t="str">
        <f>IF(base!E329="","",base!E329)</f>
        <v>1RVT - 1° VISITA</v>
      </c>
      <c r="E329" s="12" t="str">
        <f>IF(base!BF329="","",base!BF329)</f>
        <v/>
      </c>
      <c r="F329" s="12" t="str">
        <f>IF(D329="","",IF(OR(ISNUMBER(SEARCH("VISITA",D329)),ISNUMBER(SEARCH("RUTA",D329)),ISNUMBER(SEARCH("ARRIB",D329)),ISNUMBER(SEARCH("MATRIZ",D329)),ISNUMBER(SEARCH("PENDIENTE",D329))),"VISITA COORDINADA CON EL CLIENTE","N/A"))</f>
        <v>VISITA COORDINADA CON EL CLIENTE</v>
      </c>
      <c r="G329" s="12">
        <f>IF(base!G329="","",base!G329)</f>
        <v>470123456</v>
      </c>
      <c r="H329" s="12" t="str">
        <f>IF(base!I329="","",base!I329)</f>
        <v>FLEX</v>
      </c>
      <c r="I329" s="12" t="str">
        <f>IF(base!S329="","",base!S329)</f>
        <v>Prueba 327</v>
      </c>
      <c r="J329" s="12" t="str">
        <f>IF(base!T329="","",base!T329)</f>
        <v>Calle 123
Piso 2</v>
      </c>
      <c r="K329" s="12" t="str">
        <f>IF(base!U329="","",base!U329)</f>
        <v/>
      </c>
      <c r="L329" s="12" t="str">
        <f>IF(base!Y329="","",base!Y329)</f>
        <v/>
      </c>
      <c r="M329" s="12" t="str">
        <f>IF(base!AH329="","",base!AH329)</f>
        <v/>
      </c>
      <c r="N329" s="12" t="str">
        <f>IF(base!AI329="","",base!AI329)</f>
        <v>34.072273</v>
      </c>
      <c r="O329" s="12">
        <f>IF(base!BA329="","",base!BA329)</f>
        <v>1875</v>
      </c>
      <c r="P329" s="13">
        <f>IF(base!BK329="","",base!BK329)</f>
        <v>46303.805902777778</v>
      </c>
      <c r="Q329" s="15" t="str">
        <f>IF(base!BS329="","",base!BS329)</f>
        <v/>
      </c>
    </row>
    <row r="330" spans="1:17" ht="30" x14ac:dyDescent="0.35">
      <c r="A330" s="14">
        <f>IF(base!A330="","",base!A330)</f>
        <v>6200328</v>
      </c>
      <c r="B330" s="13">
        <f>IF(base!BN330="","",base!BN330)</f>
        <v>46303.625</v>
      </c>
      <c r="C330" s="12" t="str">
        <f>IF(base!C330="","",base!C330)</f>
        <v>ZETABURGOS SRL</v>
      </c>
      <c r="D330" s="12" t="str">
        <f>IF(base!E330="","",base!E330)</f>
        <v>ENTREGADO</v>
      </c>
      <c r="E330" s="12" t="str">
        <f>IF(base!BF330="","",base!BF330)</f>
        <v/>
      </c>
      <c r="F330" s="12" t="str">
        <f>IF(D330="","",IF(OR(ISNUMBER(SEARCH("VISITA",D330)),ISNUMBER(SEARCH("RUTA",D330)),ISNUMBER(SEARCH("ARRIB",D330)),ISNUMBER(SEARCH("MATRIZ",D330)),ISNUMBER(SEARCH("PENDIENTE",D330))),"VISITA COORDINADA CON EL CLIENTE","N/A"))</f>
        <v>N/A</v>
      </c>
      <c r="G330" s="12" t="str">
        <f>IF(base!G330="","",base!G330)</f>
        <v>ABC001</v>
      </c>
      <c r="H330" s="12" t="str">
        <f>IF(base!I330="","",base!I330)</f>
        <v>SAMEDAY</v>
      </c>
      <c r="I330" s="12" t="str">
        <f>IF(base!S330="","",base!S330)</f>
        <v>Prueba 328</v>
      </c>
      <c r="J330" s="12" t="str">
        <f>IF(base!T330="","",base!T330)</f>
        <v>Calle 123
Piso 2</v>
      </c>
      <c r="K330" s="12" t="str">
        <f>IF(base!U330="","",base!U330)</f>
        <v/>
      </c>
      <c r="L330" s="12" t="str">
        <f>IF(base!Y330="","",base!Y330)</f>
        <v/>
      </c>
      <c r="M330" s="12" t="str">
        <f>IF(base!AH330="","",base!AH330)</f>
        <v/>
      </c>
      <c r="N330" s="12" t="str">
        <f>IF(base!AI330="","",base!AI330)</f>
        <v>34.072273</v>
      </c>
      <c r="O330" s="12">
        <f>IF(base!BA330="","",base!BA330)</f>
        <v>1875</v>
      </c>
      <c r="P330" s="13">
        <f>IF(base!BK330="","",base!BK330)</f>
        <v>46303.805902777778</v>
      </c>
      <c r="Q330" s="15" t="str">
        <f>IF(base!BS330="","",base!BS330)</f>
        <v/>
      </c>
    </row>
    <row r="331" spans="1:17" ht="30" x14ac:dyDescent="0.35">
      <c r="A331" s="14">
        <f>IF(base!A331="","",base!A331)</f>
        <v>6200329</v>
      </c>
      <c r="B331" s="13">
        <f>IF(base!BN331="","",base!BN331)</f>
        <v>46303.625</v>
      </c>
      <c r="C331" s="12" t="str">
        <f>IF(base!C331="","",base!C331)</f>
        <v>ZETABURGOS SRL</v>
      </c>
      <c r="D331" s="12" t="str">
        <f>IF(base!E331="","",base!E331)</f>
        <v>REPROGRAMACIÓN</v>
      </c>
      <c r="E331" s="12" t="str">
        <f>IF(base!BF331="","",base!BF331)</f>
        <v/>
      </c>
      <c r="F331" s="12" t="str">
        <f>IF(D331="","",IF(OR(ISNUMBER(SEARCH("VISITA",D331)),ISNUMBER(SEARCH("RUTA",D331)),ISNUMBER(SEARCH("ARRIB",D331)),ISNUMBER(SEARCH("MATRIZ",D331)),ISNUMBER(SEARCH("PENDIENTE",D331))),"VISITA COORDINADA CON EL CLIENTE","N/A"))</f>
        <v>N/A</v>
      </c>
      <c r="G331" s="12" t="str">
        <f>IF(base!G331="","",base!G331)</f>
        <v>2000018857041302</v>
      </c>
      <c r="H331" s="12" t="str">
        <f>IF(base!I331="","",base!I331)</f>
        <v>FLEX</v>
      </c>
      <c r="I331" s="12" t="str">
        <f>IF(base!S331="","",base!S331)</f>
        <v>Prueba 329</v>
      </c>
      <c r="J331" s="12" t="str">
        <f>IF(base!T331="","",base!T331)</f>
        <v>Calle 123
Piso 2</v>
      </c>
      <c r="K331" s="12" t="str">
        <f>IF(base!U331="","",base!U331)</f>
        <v/>
      </c>
      <c r="L331" s="12" t="str">
        <f>IF(base!Y331="","",base!Y331)</f>
        <v/>
      </c>
      <c r="M331" s="12" t="str">
        <f>IF(base!AH331="","",base!AH331)</f>
        <v/>
      </c>
      <c r="N331" s="12" t="str">
        <f>IF(base!AI331="","",base!AI331)</f>
        <v>34.072273</v>
      </c>
      <c r="O331" s="12">
        <f>IF(base!BA331="","",base!BA331)</f>
        <v>1875</v>
      </c>
      <c r="P331" s="13">
        <f>IF(base!BK331="","",base!BK331)</f>
        <v>46303.805902777778</v>
      </c>
      <c r="Q331" s="15" t="str">
        <f>IF(base!BS331="","",base!BS331)</f>
        <v/>
      </c>
    </row>
    <row r="332" spans="1:17" ht="30" x14ac:dyDescent="0.35">
      <c r="A332" s="14">
        <f>IF(base!A332="","",base!A332)</f>
        <v>6200330</v>
      </c>
      <c r="B332" s="13">
        <f>IF(base!BN332="","",base!BN332)</f>
        <v>46303.625</v>
      </c>
      <c r="C332" s="12" t="str">
        <f>IF(base!C332="","",base!C332)</f>
        <v>ZETABURGOS SRL</v>
      </c>
      <c r="D332" s="12" t="str">
        <f>IF(base!E332="","",base!E332)</f>
        <v>1RVT - 1° VISITA</v>
      </c>
      <c r="E332" s="12" t="str">
        <f>IF(base!BF332="","",base!BF332)</f>
        <v/>
      </c>
      <c r="F332" s="12" t="str">
        <f>IF(D332="","",IF(OR(ISNUMBER(SEARCH("VISITA",D332)),ISNUMBER(SEARCH("RUTA",D332)),ISNUMBER(SEARCH("ARRIB",D332)),ISNUMBER(SEARCH("MATRIZ",D332)),ISNUMBER(SEARCH("PENDIENTE",D332))),"VISITA COORDINADA CON EL CLIENTE","N/A"))</f>
        <v>VISITA COORDINADA CON EL CLIENTE</v>
      </c>
      <c r="G332" s="12" t="str">
        <f>IF(base!G332="","",base!G332)</f>
        <v>001234</v>
      </c>
      <c r="H332" s="12" t="str">
        <f>IF(base!I332="","",base!I332)</f>
        <v>FLEX</v>
      </c>
      <c r="I332" s="12" t="str">
        <f>IF(base!S332="","",base!S332)</f>
        <v>Prueba 330</v>
      </c>
      <c r="J332" s="12" t="str">
        <f>IF(base!T332="","",base!T332)</f>
        <v>Calle 123
Piso 2</v>
      </c>
      <c r="K332" s="12" t="str">
        <f>IF(base!U332="","",base!U332)</f>
        <v/>
      </c>
      <c r="L332" s="12" t="str">
        <f>IF(base!Y332="","",base!Y332)</f>
        <v/>
      </c>
      <c r="M332" s="12" t="str">
        <f>IF(base!AH332="","",base!AH332)</f>
        <v/>
      </c>
      <c r="N332" s="12" t="str">
        <f>IF(base!AI332="","",base!AI332)</f>
        <v>34.072273</v>
      </c>
      <c r="O332" s="12">
        <f>IF(base!BA332="","",base!BA332)</f>
        <v>1875</v>
      </c>
      <c r="P332" s="13">
        <f>IF(base!BK332="","",base!BK332)</f>
        <v>46303.805902777778</v>
      </c>
      <c r="Q332" s="15" t="str">
        <f>IF(base!BS332="","",base!BS332)</f>
        <v/>
      </c>
    </row>
    <row r="333" spans="1:17" ht="30" x14ac:dyDescent="0.35">
      <c r="A333" s="14">
        <f>IF(base!A333="","",base!A333)</f>
        <v>6200331</v>
      </c>
      <c r="B333" s="13">
        <f>IF(base!BN333="","",base!BN333)</f>
        <v>46303.625</v>
      </c>
      <c r="C333" s="12" t="str">
        <f>IF(base!C333="","",base!C333)</f>
        <v>ZETABURGOS SRL</v>
      </c>
      <c r="D333" s="12" t="str">
        <f>IF(base!E333="","",base!E333)</f>
        <v>ENTREGADO</v>
      </c>
      <c r="E333" s="12" t="str">
        <f>IF(base!BF333="","",base!BF333)</f>
        <v/>
      </c>
      <c r="F333" s="12" t="str">
        <f>IF(D333="","",IF(OR(ISNUMBER(SEARCH("VISITA",D333)),ISNUMBER(SEARCH("RUTA",D333)),ISNUMBER(SEARCH("ARRIB",D333)),ISNUMBER(SEARCH("MATRIZ",D333)),ISNUMBER(SEARCH("PENDIENTE",D333))),"VISITA COORDINADA CON EL CLIENTE","N/A"))</f>
        <v>N/A</v>
      </c>
      <c r="G333" s="12" t="str">
        <f>"#ABC"</f>
        <v>#ABC</v>
      </c>
      <c r="H333" s="12" t="str">
        <f>IF(base!I333="","",base!I333)</f>
        <v>SAMEDAY</v>
      </c>
      <c r="I333" s="12" t="str">
        <f>IF(base!S333="","",base!S333)</f>
        <v>Prueba 331</v>
      </c>
      <c r="J333" s="12" t="str">
        <f>IF(base!T333="","",base!T333)</f>
        <v>Calle 123
Piso 2</v>
      </c>
      <c r="K333" s="12" t="str">
        <f>IF(base!U333="","",base!U333)</f>
        <v/>
      </c>
      <c r="L333" s="12" t="str">
        <f>IF(base!Y333="","",base!Y333)</f>
        <v/>
      </c>
      <c r="M333" s="12" t="str">
        <f>IF(base!AH333="","",base!AH333)</f>
        <v/>
      </c>
      <c r="N333" s="12" t="str">
        <f>IF(base!AI333="","",base!AI333)</f>
        <v>34.072273</v>
      </c>
      <c r="O333" s="12">
        <f>IF(base!BA333="","",base!BA333)</f>
        <v>1875</v>
      </c>
      <c r="P333" s="13">
        <f>IF(base!BK333="","",base!BK333)</f>
        <v>46303.805902777778</v>
      </c>
      <c r="Q333" s="15" t="str">
        <f>IF(base!BS333="","",base!BS333)</f>
        <v/>
      </c>
    </row>
    <row r="334" spans="1:17" ht="30" x14ac:dyDescent="0.35">
      <c r="A334" s="14">
        <f>IF(base!A334="","",base!A334)</f>
        <v>6200332</v>
      </c>
      <c r="B334" s="13">
        <f>IF(base!BN334="","",base!BN334)</f>
        <v>46303.625</v>
      </c>
      <c r="C334" s="12" t="str">
        <f>IF(base!C334="","",base!C334)</f>
        <v>ZETABURGOS SRL</v>
      </c>
      <c r="D334" s="12" t="str">
        <f>IF(base!E334="","",base!E334)</f>
        <v>REPROGRAMACIÓN</v>
      </c>
      <c r="E334" s="12" t="str">
        <f>IF(base!BF334="","",base!BF334)</f>
        <v/>
      </c>
      <c r="F334" s="12" t="str">
        <f>IF(D334="","",IF(OR(ISNUMBER(SEARCH("VISITA",D334)),ISNUMBER(SEARCH("RUTA",D334)),ISNUMBER(SEARCH("ARRIB",D334)),ISNUMBER(SEARCH("MATRIZ",D334)),ISNUMBER(SEARCH("PENDIENTE",D334))),"VISITA COORDINADA CON EL CLIENTE","N/A"))</f>
        <v>N/A</v>
      </c>
      <c r="G334" s="12">
        <f>IF(base!G334="","",base!G334)</f>
        <v>470123456</v>
      </c>
      <c r="H334" s="12" t="str">
        <f>IF(base!I334="","",base!I334)</f>
        <v>FLEX</v>
      </c>
      <c r="I334" s="12" t="str">
        <f>IF(base!S334="","",base!S334)</f>
        <v>Prueba 332</v>
      </c>
      <c r="J334" s="12" t="str">
        <f>IF(base!T334="","",base!T334)</f>
        <v>Calle 123
Piso 2</v>
      </c>
      <c r="K334" s="12" t="str">
        <f>IF(base!U334="","",base!U334)</f>
        <v/>
      </c>
      <c r="L334" s="12" t="str">
        <f>IF(base!Y334="","",base!Y334)</f>
        <v/>
      </c>
      <c r="M334" s="12" t="str">
        <f>IF(base!AH334="","",base!AH334)</f>
        <v/>
      </c>
      <c r="N334" s="12" t="str">
        <f>IF(base!AI334="","",base!AI334)</f>
        <v>34.072273</v>
      </c>
      <c r="O334" s="12">
        <f>IF(base!BA334="","",base!BA334)</f>
        <v>1875</v>
      </c>
      <c r="P334" s="13">
        <f>IF(base!BK334="","",base!BK334)</f>
        <v>46303.805902777778</v>
      </c>
      <c r="Q334" s="15" t="str">
        <f>IF(base!BS334="","",base!BS334)</f>
        <v/>
      </c>
    </row>
    <row r="335" spans="1:17" ht="30" x14ac:dyDescent="0.35">
      <c r="A335" s="14">
        <f>IF(base!A335="","",base!A335)</f>
        <v>6200333</v>
      </c>
      <c r="B335" s="13">
        <f>IF(base!BN335="","",base!BN335)</f>
        <v>46303.625</v>
      </c>
      <c r="C335" s="12" t="str">
        <f>IF(base!C335="","",base!C335)</f>
        <v>ZETABURGOS SRL</v>
      </c>
      <c r="D335" s="12" t="str">
        <f>IF(base!E335="","",base!E335)</f>
        <v>1RVT - 1° VISITA</v>
      </c>
      <c r="E335" s="12" t="str">
        <f>IF(base!BF335="","",base!BF335)</f>
        <v/>
      </c>
      <c r="F335" s="12" t="str">
        <f>IF(D335="","",IF(OR(ISNUMBER(SEARCH("VISITA",D335)),ISNUMBER(SEARCH("RUTA",D335)),ISNUMBER(SEARCH("ARRIB",D335)),ISNUMBER(SEARCH("MATRIZ",D335)),ISNUMBER(SEARCH("PENDIENTE",D335))),"VISITA COORDINADA CON EL CLIENTE","N/A"))</f>
        <v>VISITA COORDINADA CON EL CLIENTE</v>
      </c>
      <c r="G335" s="12" t="str">
        <f>IF(base!G335="","",base!G335)</f>
        <v>ABC001</v>
      </c>
      <c r="H335" s="12" t="str">
        <f>IF(base!I335="","",base!I335)</f>
        <v>SAMEDAY</v>
      </c>
      <c r="I335" s="12" t="str">
        <f>IF(base!S335="","",base!S335)</f>
        <v>Prueba 333</v>
      </c>
      <c r="J335" s="12" t="str">
        <f>IF(base!T335="","",base!T335)</f>
        <v>Calle 123
Piso 2</v>
      </c>
      <c r="K335" s="12" t="str">
        <f>IF(base!U335="","",base!U335)</f>
        <v/>
      </c>
      <c r="L335" s="12" t="str">
        <f>IF(base!Y335="","",base!Y335)</f>
        <v/>
      </c>
      <c r="M335" s="12" t="str">
        <f>IF(base!AH335="","",base!AH335)</f>
        <v/>
      </c>
      <c r="N335" s="12" t="str">
        <f>IF(base!AI335="","",base!AI335)</f>
        <v>34.072273</v>
      </c>
      <c r="O335" s="12">
        <f>IF(base!BA335="","",base!BA335)</f>
        <v>1875</v>
      </c>
      <c r="P335" s="13">
        <f>IF(base!BK335="","",base!BK335)</f>
        <v>46303.805902777778</v>
      </c>
      <c r="Q335" s="15" t="str">
        <f>IF(base!BS335="","",base!BS335)</f>
        <v/>
      </c>
    </row>
    <row r="336" spans="1:17" ht="30" x14ac:dyDescent="0.35">
      <c r="A336" s="14">
        <f>IF(base!A336="","",base!A336)</f>
        <v>6200334</v>
      </c>
      <c r="B336" s="13">
        <f>IF(base!BN336="","",base!BN336)</f>
        <v>46303.625</v>
      </c>
      <c r="C336" s="12" t="str">
        <f>IF(base!C336="","",base!C336)</f>
        <v>ZETABURGOS SRL</v>
      </c>
      <c r="D336" s="12" t="str">
        <f>IF(base!E336="","",base!E336)</f>
        <v>ENTREGADO</v>
      </c>
      <c r="E336" s="12" t="str">
        <f>IF(base!BF336="","",base!BF336)</f>
        <v/>
      </c>
      <c r="F336" s="12" t="str">
        <f>IF(D336="","",IF(OR(ISNUMBER(SEARCH("VISITA",D336)),ISNUMBER(SEARCH("RUTA",D336)),ISNUMBER(SEARCH("ARRIB",D336)),ISNUMBER(SEARCH("MATRIZ",D336)),ISNUMBER(SEARCH("PENDIENTE",D336))),"VISITA COORDINADA CON EL CLIENTE","N/A"))</f>
        <v>N/A</v>
      </c>
      <c r="G336" s="12" t="str">
        <f>IF(base!G336="","",base!G336)</f>
        <v>2000018857041302</v>
      </c>
      <c r="H336" s="12" t="str">
        <f>IF(base!I336="","",base!I336)</f>
        <v>FLEX</v>
      </c>
      <c r="I336" s="12" t="str">
        <f>IF(base!S336="","",base!S336)</f>
        <v>Prueba 334</v>
      </c>
      <c r="J336" s="12" t="str">
        <f>IF(base!T336="","",base!T336)</f>
        <v>Calle 123
Piso 2</v>
      </c>
      <c r="K336" s="12" t="str">
        <f>IF(base!U336="","",base!U336)</f>
        <v/>
      </c>
      <c r="L336" s="12" t="str">
        <f>IF(base!Y336="","",base!Y336)</f>
        <v/>
      </c>
      <c r="M336" s="12" t="str">
        <f>IF(base!AH336="","",base!AH336)</f>
        <v/>
      </c>
      <c r="N336" s="12" t="str">
        <f>IF(base!AI336="","",base!AI336)</f>
        <v>34.072273</v>
      </c>
      <c r="O336" s="12">
        <f>IF(base!BA336="","",base!BA336)</f>
        <v>1875</v>
      </c>
      <c r="P336" s="13">
        <f>IF(base!BK336="","",base!BK336)</f>
        <v>46303.805902777778</v>
      </c>
      <c r="Q336" s="15" t="str">
        <f>IF(base!BS336="","",base!BS336)</f>
        <v/>
      </c>
    </row>
    <row r="337" spans="1:17" ht="30" x14ac:dyDescent="0.35">
      <c r="A337" s="14">
        <f>IF(base!A337="","",base!A337)</f>
        <v>6200335</v>
      </c>
      <c r="B337" s="13">
        <f>IF(base!BN337="","",base!BN337)</f>
        <v>46303.625</v>
      </c>
      <c r="C337" s="12" t="str">
        <f>IF(base!C337="","",base!C337)</f>
        <v>ZETABURGOS SRL</v>
      </c>
      <c r="D337" s="12" t="str">
        <f>IF(base!E337="","",base!E337)</f>
        <v>REPROGRAMACIÓN</v>
      </c>
      <c r="E337" s="12" t="str">
        <f>IF(base!BF337="","",base!BF337)</f>
        <v/>
      </c>
      <c r="F337" s="12" t="str">
        <f>IF(D337="","",IF(OR(ISNUMBER(SEARCH("VISITA",D337)),ISNUMBER(SEARCH("RUTA",D337)),ISNUMBER(SEARCH("ARRIB",D337)),ISNUMBER(SEARCH("MATRIZ",D337)),ISNUMBER(SEARCH("PENDIENTE",D337))),"VISITA COORDINADA CON EL CLIENTE","N/A"))</f>
        <v>N/A</v>
      </c>
      <c r="G337" s="12" t="str">
        <f>IF(base!G337="","",base!G337)</f>
        <v>001234</v>
      </c>
      <c r="H337" s="12" t="str">
        <f>IF(base!I337="","",base!I337)</f>
        <v>FLEX</v>
      </c>
      <c r="I337" s="12" t="str">
        <f>IF(base!S337="","",base!S337)</f>
        <v>Prueba 335</v>
      </c>
      <c r="J337" s="12" t="str">
        <f>IF(base!T337="","",base!T337)</f>
        <v>Calle 123
Piso 2</v>
      </c>
      <c r="K337" s="12" t="str">
        <f>IF(base!U337="","",base!U337)</f>
        <v/>
      </c>
      <c r="L337" s="12" t="str">
        <f>IF(base!Y337="","",base!Y337)</f>
        <v/>
      </c>
      <c r="M337" s="12" t="str">
        <f>IF(base!AH337="","",base!AH337)</f>
        <v/>
      </c>
      <c r="N337" s="12" t="str">
        <f>IF(base!AI337="","",base!AI337)</f>
        <v>34.072273</v>
      </c>
      <c r="O337" s="12">
        <f>IF(base!BA337="","",base!BA337)</f>
        <v>1875</v>
      </c>
      <c r="P337" s="13">
        <f>IF(base!BK337="","",base!BK337)</f>
        <v>46303.805902777778</v>
      </c>
      <c r="Q337" s="15" t="str">
        <f>IF(base!BS337="","",base!BS337)</f>
        <v/>
      </c>
    </row>
    <row r="338" spans="1:17" ht="30" x14ac:dyDescent="0.35">
      <c r="A338" s="14">
        <f>IF(base!A338="","",base!A338)</f>
        <v>6200336</v>
      </c>
      <c r="B338" s="13">
        <f>IF(base!BN338="","",base!BN338)</f>
        <v>46303.625</v>
      </c>
      <c r="C338" s="12" t="str">
        <f>IF(base!C338="","",base!C338)</f>
        <v>ZETABURGOS SRL</v>
      </c>
      <c r="D338" s="12" t="str">
        <f>IF(base!E338="","",base!E338)</f>
        <v>1RVT - 1° VISITA</v>
      </c>
      <c r="E338" s="12" t="str">
        <f>IF(base!BF338="","",base!BF338)</f>
        <v/>
      </c>
      <c r="F338" s="12" t="str">
        <f>IF(D338="","",IF(OR(ISNUMBER(SEARCH("VISITA",D338)),ISNUMBER(SEARCH("RUTA",D338)),ISNUMBER(SEARCH("ARRIB",D338)),ISNUMBER(SEARCH("MATRIZ",D338)),ISNUMBER(SEARCH("PENDIENTE",D338))),"VISITA COORDINADA CON EL CLIENTE","N/A"))</f>
        <v>VISITA COORDINADA CON EL CLIENTE</v>
      </c>
      <c r="G338" s="12" t="str">
        <f>"#ABC"</f>
        <v>#ABC</v>
      </c>
      <c r="H338" s="12" t="str">
        <f>IF(base!I338="","",base!I338)</f>
        <v>SAMEDAY</v>
      </c>
      <c r="I338" s="12" t="str">
        <f>IF(base!S338="","",base!S338)</f>
        <v>Prueba 336</v>
      </c>
      <c r="J338" s="12" t="str">
        <f>IF(base!T338="","",base!T338)</f>
        <v>Calle 123
Piso 2</v>
      </c>
      <c r="K338" s="12" t="str">
        <f>IF(base!U338="","",base!U338)</f>
        <v/>
      </c>
      <c r="L338" s="12" t="str">
        <f>IF(base!Y338="","",base!Y338)</f>
        <v/>
      </c>
      <c r="M338" s="12" t="str">
        <f>IF(base!AH338="","",base!AH338)</f>
        <v/>
      </c>
      <c r="N338" s="12" t="str">
        <f>IF(base!AI338="","",base!AI338)</f>
        <v>34.072273</v>
      </c>
      <c r="O338" s="12">
        <f>IF(base!BA338="","",base!BA338)</f>
        <v>1875</v>
      </c>
      <c r="P338" s="13">
        <f>IF(base!BK338="","",base!BK338)</f>
        <v>46303.805902777778</v>
      </c>
      <c r="Q338" s="15" t="str">
        <f>IF(base!BS338="","",base!BS338)</f>
        <v/>
      </c>
    </row>
    <row r="339" spans="1:17" ht="30" x14ac:dyDescent="0.35">
      <c r="A339" s="14">
        <f>IF(base!A339="","",base!A339)</f>
        <v>6200337</v>
      </c>
      <c r="B339" s="13">
        <f>IF(base!BN339="","",base!BN339)</f>
        <v>46303.625</v>
      </c>
      <c r="C339" s="12" t="str">
        <f>IF(base!C339="","",base!C339)</f>
        <v>ZETABURGOS SRL</v>
      </c>
      <c r="D339" s="12" t="str">
        <f>IF(base!E339="","",base!E339)</f>
        <v>ENTREGADO</v>
      </c>
      <c r="E339" s="12" t="str">
        <f>IF(base!BF339="","",base!BF339)</f>
        <v/>
      </c>
      <c r="F339" s="12" t="str">
        <f>IF(D339="","",IF(OR(ISNUMBER(SEARCH("VISITA",D339)),ISNUMBER(SEARCH("RUTA",D339)),ISNUMBER(SEARCH("ARRIB",D339)),ISNUMBER(SEARCH("MATRIZ",D339)),ISNUMBER(SEARCH("PENDIENTE",D339))),"VISITA COORDINADA CON EL CLIENTE","N/A"))</f>
        <v>N/A</v>
      </c>
      <c r="G339" s="12">
        <f>IF(base!G339="","",base!G339)</f>
        <v>470123456</v>
      </c>
      <c r="H339" s="12" t="str">
        <f>IF(base!I339="","",base!I339)</f>
        <v>FLEX</v>
      </c>
      <c r="I339" s="12" t="str">
        <f>IF(base!S339="","",base!S339)</f>
        <v>Prueba 337</v>
      </c>
      <c r="J339" s="12" t="str">
        <f>IF(base!T339="","",base!T339)</f>
        <v>Calle 123
Piso 2</v>
      </c>
      <c r="K339" s="12" t="str">
        <f>IF(base!U339="","",base!U339)</f>
        <v/>
      </c>
      <c r="L339" s="12" t="str">
        <f>IF(base!Y339="","",base!Y339)</f>
        <v/>
      </c>
      <c r="M339" s="12" t="str">
        <f>IF(base!AH339="","",base!AH339)</f>
        <v/>
      </c>
      <c r="N339" s="12" t="str">
        <f>IF(base!AI339="","",base!AI339)</f>
        <v>34.072273</v>
      </c>
      <c r="O339" s="12">
        <f>IF(base!BA339="","",base!BA339)</f>
        <v>1875</v>
      </c>
      <c r="P339" s="13">
        <f>IF(base!BK339="","",base!BK339)</f>
        <v>46303.805902777778</v>
      </c>
      <c r="Q339" s="15" t="str">
        <f>IF(base!BS339="","",base!BS339)</f>
        <v/>
      </c>
    </row>
    <row r="340" spans="1:17" ht="30" x14ac:dyDescent="0.35">
      <c r="A340" s="14">
        <f>IF(base!A340="","",base!A340)</f>
        <v>6200338</v>
      </c>
      <c r="B340" s="13">
        <f>IF(base!BN340="","",base!BN340)</f>
        <v>46303.625</v>
      </c>
      <c r="C340" s="12" t="str">
        <f>IF(base!C340="","",base!C340)</f>
        <v>ZETABURGOS SRL</v>
      </c>
      <c r="D340" s="12" t="str">
        <f>IF(base!E340="","",base!E340)</f>
        <v>REPROGRAMACIÓN</v>
      </c>
      <c r="E340" s="12" t="str">
        <f>IF(base!BF340="","",base!BF340)</f>
        <v/>
      </c>
      <c r="F340" s="12" t="str">
        <f>IF(D340="","",IF(OR(ISNUMBER(SEARCH("VISITA",D340)),ISNUMBER(SEARCH("RUTA",D340)),ISNUMBER(SEARCH("ARRIB",D340)),ISNUMBER(SEARCH("MATRIZ",D340)),ISNUMBER(SEARCH("PENDIENTE",D340))),"VISITA COORDINADA CON EL CLIENTE","N/A"))</f>
        <v>N/A</v>
      </c>
      <c r="G340" s="12" t="str">
        <f>IF(base!G340="","",base!G340)</f>
        <v>ABC001</v>
      </c>
      <c r="H340" s="12" t="str">
        <f>IF(base!I340="","",base!I340)</f>
        <v>SAMEDAY</v>
      </c>
      <c r="I340" s="12" t="str">
        <f>IF(base!S340="","",base!S340)</f>
        <v>Prueba 338</v>
      </c>
      <c r="J340" s="12" t="str">
        <f>IF(base!T340="","",base!T340)</f>
        <v>Calle 123
Piso 2</v>
      </c>
      <c r="K340" s="12" t="str">
        <f>IF(base!U340="","",base!U340)</f>
        <v/>
      </c>
      <c r="L340" s="12" t="str">
        <f>IF(base!Y340="","",base!Y340)</f>
        <v/>
      </c>
      <c r="M340" s="12" t="str">
        <f>IF(base!AH340="","",base!AH340)</f>
        <v/>
      </c>
      <c r="N340" s="12" t="str">
        <f>IF(base!AI340="","",base!AI340)</f>
        <v>34.072273</v>
      </c>
      <c r="O340" s="12">
        <f>IF(base!BA340="","",base!BA340)</f>
        <v>1875</v>
      </c>
      <c r="P340" s="13">
        <f>IF(base!BK340="","",base!BK340)</f>
        <v>46303.805902777778</v>
      </c>
      <c r="Q340" s="15" t="str">
        <f>IF(base!BS340="","",base!BS340)</f>
        <v/>
      </c>
    </row>
    <row r="341" spans="1:17" ht="30" x14ac:dyDescent="0.35">
      <c r="A341" s="14">
        <f>IF(base!A341="","",base!A341)</f>
        <v>6200339</v>
      </c>
      <c r="B341" s="13">
        <f>IF(base!BN341="","",base!BN341)</f>
        <v>46303.625</v>
      </c>
      <c r="C341" s="12" t="str">
        <f>IF(base!C341="","",base!C341)</f>
        <v>ZETABURGOS SRL</v>
      </c>
      <c r="D341" s="12" t="str">
        <f>IF(base!E341="","",base!E341)</f>
        <v>1RVT - 1° VISITA</v>
      </c>
      <c r="E341" s="12" t="str">
        <f>IF(base!BF341="","",base!BF341)</f>
        <v/>
      </c>
      <c r="F341" s="12" t="str">
        <f>IF(D341="","",IF(OR(ISNUMBER(SEARCH("VISITA",D341)),ISNUMBER(SEARCH("RUTA",D341)),ISNUMBER(SEARCH("ARRIB",D341)),ISNUMBER(SEARCH("MATRIZ",D341)),ISNUMBER(SEARCH("PENDIENTE",D341))),"VISITA COORDINADA CON EL CLIENTE","N/A"))</f>
        <v>VISITA COORDINADA CON EL CLIENTE</v>
      </c>
      <c r="G341" s="12" t="str">
        <f>IF(base!G341="","",base!G341)</f>
        <v>2000018857041302</v>
      </c>
      <c r="H341" s="12" t="str">
        <f>IF(base!I341="","",base!I341)</f>
        <v>FLEX</v>
      </c>
      <c r="I341" s="12" t="str">
        <f>IF(base!S341="","",base!S341)</f>
        <v>Prueba 339</v>
      </c>
      <c r="J341" s="12" t="str">
        <f>IF(base!T341="","",base!T341)</f>
        <v>Calle 123
Piso 2</v>
      </c>
      <c r="K341" s="12" t="str">
        <f>IF(base!U341="","",base!U341)</f>
        <v/>
      </c>
      <c r="L341" s="12" t="str">
        <f>IF(base!Y341="","",base!Y341)</f>
        <v/>
      </c>
      <c r="M341" s="12" t="str">
        <f>IF(base!AH341="","",base!AH341)</f>
        <v/>
      </c>
      <c r="N341" s="12" t="str">
        <f>IF(base!AI341="","",base!AI341)</f>
        <v>34.072273</v>
      </c>
      <c r="O341" s="12">
        <f>IF(base!BA341="","",base!BA341)</f>
        <v>1875</v>
      </c>
      <c r="P341" s="13">
        <f>IF(base!BK341="","",base!BK341)</f>
        <v>46303.805902777778</v>
      </c>
      <c r="Q341" s="15" t="str">
        <f>IF(base!BS341="","",base!BS341)</f>
        <v/>
      </c>
    </row>
    <row r="342" spans="1:17" ht="30" x14ac:dyDescent="0.35">
      <c r="A342" s="14">
        <f>IF(base!A342="","",base!A342)</f>
        <v>6200340</v>
      </c>
      <c r="B342" s="13">
        <f>IF(base!BN342="","",base!BN342)</f>
        <v>46303.625</v>
      </c>
      <c r="C342" s="12" t="str">
        <f>IF(base!C342="","",base!C342)</f>
        <v>ZETABURGOS SRL</v>
      </c>
      <c r="D342" s="12" t="str">
        <f>IF(base!E342="","",base!E342)</f>
        <v>ENTREGADO</v>
      </c>
      <c r="E342" s="12" t="str">
        <f>IF(base!BF342="","",base!BF342)</f>
        <v/>
      </c>
      <c r="F342" s="12" t="str">
        <f>IF(D342="","",IF(OR(ISNUMBER(SEARCH("VISITA",D342)),ISNUMBER(SEARCH("RUTA",D342)),ISNUMBER(SEARCH("ARRIB",D342)),ISNUMBER(SEARCH("MATRIZ",D342)),ISNUMBER(SEARCH("PENDIENTE",D342))),"VISITA COORDINADA CON EL CLIENTE","N/A"))</f>
        <v>N/A</v>
      </c>
      <c r="G342" s="12" t="str">
        <f>IF(base!G342="","",base!G342)</f>
        <v>001234</v>
      </c>
      <c r="H342" s="12" t="str">
        <f>IF(base!I342="","",base!I342)</f>
        <v>FLEX</v>
      </c>
      <c r="I342" s="12" t="str">
        <f>IF(base!S342="","",base!S342)</f>
        <v>Prueba 340</v>
      </c>
      <c r="J342" s="12" t="str">
        <f>IF(base!T342="","",base!T342)</f>
        <v>Calle 123
Piso 2</v>
      </c>
      <c r="K342" s="12" t="str">
        <f>IF(base!U342="","",base!U342)</f>
        <v/>
      </c>
      <c r="L342" s="12" t="str">
        <f>IF(base!Y342="","",base!Y342)</f>
        <v/>
      </c>
      <c r="M342" s="12" t="str">
        <f>IF(base!AH342="","",base!AH342)</f>
        <v/>
      </c>
      <c r="N342" s="12" t="str">
        <f>IF(base!AI342="","",base!AI342)</f>
        <v>34.072273</v>
      </c>
      <c r="O342" s="12">
        <f>IF(base!BA342="","",base!BA342)</f>
        <v>1875</v>
      </c>
      <c r="P342" s="13">
        <f>IF(base!BK342="","",base!BK342)</f>
        <v>46303.805902777778</v>
      </c>
      <c r="Q342" s="15" t="str">
        <f>IF(base!BS342="","",base!BS342)</f>
        <v/>
      </c>
    </row>
    <row r="343" spans="1:17" ht="30" x14ac:dyDescent="0.35">
      <c r="A343" s="14">
        <f>IF(base!A343="","",base!A343)</f>
        <v>6200341</v>
      </c>
      <c r="B343" s="13">
        <f>IF(base!BN343="","",base!BN343)</f>
        <v>46303.625</v>
      </c>
      <c r="C343" s="12" t="str">
        <f>IF(base!C343="","",base!C343)</f>
        <v>ZETABURGOS SRL</v>
      </c>
      <c r="D343" s="12" t="str">
        <f>IF(base!E343="","",base!E343)</f>
        <v>REPROGRAMACIÓN</v>
      </c>
      <c r="E343" s="12" t="str">
        <f>IF(base!BF343="","",base!BF343)</f>
        <v/>
      </c>
      <c r="F343" s="12" t="str">
        <f>IF(D343="","",IF(OR(ISNUMBER(SEARCH("VISITA",D343)),ISNUMBER(SEARCH("RUTA",D343)),ISNUMBER(SEARCH("ARRIB",D343)),ISNUMBER(SEARCH("MATRIZ",D343)),ISNUMBER(SEARCH("PENDIENTE",D343))),"VISITA COORDINADA CON EL CLIENTE","N/A"))</f>
        <v>N/A</v>
      </c>
      <c r="G343" s="12" t="str">
        <f>"#ABC"</f>
        <v>#ABC</v>
      </c>
      <c r="H343" s="12" t="str">
        <f>IF(base!I343="","",base!I343)</f>
        <v>SAMEDAY</v>
      </c>
      <c r="I343" s="12" t="str">
        <f>IF(base!S343="","",base!S343)</f>
        <v>Prueba 341</v>
      </c>
      <c r="J343" s="12" t="str">
        <f>IF(base!T343="","",base!T343)</f>
        <v>Calle 123
Piso 2</v>
      </c>
      <c r="K343" s="12" t="str">
        <f>IF(base!U343="","",base!U343)</f>
        <v/>
      </c>
      <c r="L343" s="12" t="str">
        <f>IF(base!Y343="","",base!Y343)</f>
        <v/>
      </c>
      <c r="M343" s="12" t="str">
        <f>IF(base!AH343="","",base!AH343)</f>
        <v/>
      </c>
      <c r="N343" s="12" t="str">
        <f>IF(base!AI343="","",base!AI343)</f>
        <v>34.072273</v>
      </c>
      <c r="O343" s="12">
        <f>IF(base!BA343="","",base!BA343)</f>
        <v>1875</v>
      </c>
      <c r="P343" s="13">
        <f>IF(base!BK343="","",base!BK343)</f>
        <v>46303.805902777778</v>
      </c>
      <c r="Q343" s="15" t="str">
        <f>IF(base!BS343="","",base!BS343)</f>
        <v/>
      </c>
    </row>
    <row r="344" spans="1:17" ht="30" x14ac:dyDescent="0.35">
      <c r="A344" s="14">
        <f>IF(base!A344="","",base!A344)</f>
        <v>6200342</v>
      </c>
      <c r="B344" s="13">
        <f>IF(base!BN344="","",base!BN344)</f>
        <v>46303.625</v>
      </c>
      <c r="C344" s="12" t="str">
        <f>IF(base!C344="","",base!C344)</f>
        <v>ZETABURGOS SRL</v>
      </c>
      <c r="D344" s="12" t="str">
        <f>IF(base!E344="","",base!E344)</f>
        <v>1RVT - 1° VISITA</v>
      </c>
      <c r="E344" s="12" t="str">
        <f>IF(base!BF344="","",base!BF344)</f>
        <v/>
      </c>
      <c r="F344" s="12" t="str">
        <f>IF(D344="","",IF(OR(ISNUMBER(SEARCH("VISITA",D344)),ISNUMBER(SEARCH("RUTA",D344)),ISNUMBER(SEARCH("ARRIB",D344)),ISNUMBER(SEARCH("MATRIZ",D344)),ISNUMBER(SEARCH("PENDIENTE",D344))),"VISITA COORDINADA CON EL CLIENTE","N/A"))</f>
        <v>VISITA COORDINADA CON EL CLIENTE</v>
      </c>
      <c r="G344" s="12">
        <f>IF(base!G344="","",base!G344)</f>
        <v>470123456</v>
      </c>
      <c r="H344" s="12" t="str">
        <f>IF(base!I344="","",base!I344)</f>
        <v>FLEX</v>
      </c>
      <c r="I344" s="12" t="str">
        <f>IF(base!S344="","",base!S344)</f>
        <v>Prueba 342</v>
      </c>
      <c r="J344" s="12" t="str">
        <f>IF(base!T344="","",base!T344)</f>
        <v>Calle 123
Piso 2</v>
      </c>
      <c r="K344" s="12" t="str">
        <f>IF(base!U344="","",base!U344)</f>
        <v/>
      </c>
      <c r="L344" s="12" t="str">
        <f>IF(base!Y344="","",base!Y344)</f>
        <v/>
      </c>
      <c r="M344" s="12" t="str">
        <f>IF(base!AH344="","",base!AH344)</f>
        <v/>
      </c>
      <c r="N344" s="12" t="str">
        <f>IF(base!AI344="","",base!AI344)</f>
        <v>34.072273</v>
      </c>
      <c r="O344" s="12">
        <f>IF(base!BA344="","",base!BA344)</f>
        <v>1875</v>
      </c>
      <c r="P344" s="13">
        <f>IF(base!BK344="","",base!BK344)</f>
        <v>46303.805902777778</v>
      </c>
      <c r="Q344" s="15" t="str">
        <f>IF(base!BS344="","",base!BS344)</f>
        <v/>
      </c>
    </row>
    <row r="345" spans="1:17" ht="30" x14ac:dyDescent="0.35">
      <c r="A345" s="14">
        <f>IF(base!A345="","",base!A345)</f>
        <v>6200343</v>
      </c>
      <c r="B345" s="13">
        <f>IF(base!BN345="","",base!BN345)</f>
        <v>46303.625</v>
      </c>
      <c r="C345" s="12" t="str">
        <f>IF(base!C345="","",base!C345)</f>
        <v>ZETABURGOS SRL</v>
      </c>
      <c r="D345" s="12" t="str">
        <f>IF(base!E345="","",base!E345)</f>
        <v>ENTREGADO</v>
      </c>
      <c r="E345" s="12" t="str">
        <f>IF(base!BF345="","",base!BF345)</f>
        <v/>
      </c>
      <c r="F345" s="12" t="str">
        <f>IF(D345="","",IF(OR(ISNUMBER(SEARCH("VISITA",D345)),ISNUMBER(SEARCH("RUTA",D345)),ISNUMBER(SEARCH("ARRIB",D345)),ISNUMBER(SEARCH("MATRIZ",D345)),ISNUMBER(SEARCH("PENDIENTE",D345))),"VISITA COORDINADA CON EL CLIENTE","N/A"))</f>
        <v>N/A</v>
      </c>
      <c r="G345" s="12" t="str">
        <f>IF(base!G345="","",base!G345)</f>
        <v>ABC001</v>
      </c>
      <c r="H345" s="12" t="str">
        <f>IF(base!I345="","",base!I345)</f>
        <v>SAMEDAY</v>
      </c>
      <c r="I345" s="12" t="str">
        <f>IF(base!S345="","",base!S345)</f>
        <v>Prueba 343</v>
      </c>
      <c r="J345" s="12" t="str">
        <f>IF(base!T345="","",base!T345)</f>
        <v>Calle 123
Piso 2</v>
      </c>
      <c r="K345" s="12" t="str">
        <f>IF(base!U345="","",base!U345)</f>
        <v/>
      </c>
      <c r="L345" s="12" t="str">
        <f>IF(base!Y345="","",base!Y345)</f>
        <v/>
      </c>
      <c r="M345" s="12" t="str">
        <f>IF(base!AH345="","",base!AH345)</f>
        <v/>
      </c>
      <c r="N345" s="12" t="str">
        <f>IF(base!AI345="","",base!AI345)</f>
        <v>34.072273</v>
      </c>
      <c r="O345" s="12">
        <f>IF(base!BA345="","",base!BA345)</f>
        <v>1875</v>
      </c>
      <c r="P345" s="13">
        <f>IF(base!BK345="","",base!BK345)</f>
        <v>46303.805902777778</v>
      </c>
      <c r="Q345" s="15" t="str">
        <f>IF(base!BS345="","",base!BS345)</f>
        <v/>
      </c>
    </row>
    <row r="346" spans="1:17" ht="30" x14ac:dyDescent="0.35">
      <c r="A346" s="14">
        <f>IF(base!A346="","",base!A346)</f>
        <v>6200344</v>
      </c>
      <c r="B346" s="13">
        <f>IF(base!BN346="","",base!BN346)</f>
        <v>46303.625</v>
      </c>
      <c r="C346" s="12" t="str">
        <f>IF(base!C346="","",base!C346)</f>
        <v>ZETABURGOS SRL</v>
      </c>
      <c r="D346" s="12" t="str">
        <f>IF(base!E346="","",base!E346)</f>
        <v>REPROGRAMACIÓN</v>
      </c>
      <c r="E346" s="12" t="str">
        <f>IF(base!BF346="","",base!BF346)</f>
        <v/>
      </c>
      <c r="F346" s="12" t="str">
        <f>IF(D346="","",IF(OR(ISNUMBER(SEARCH("VISITA",D346)),ISNUMBER(SEARCH("RUTA",D346)),ISNUMBER(SEARCH("ARRIB",D346)),ISNUMBER(SEARCH("MATRIZ",D346)),ISNUMBER(SEARCH("PENDIENTE",D346))),"VISITA COORDINADA CON EL CLIENTE","N/A"))</f>
        <v>N/A</v>
      </c>
      <c r="G346" s="12" t="str">
        <f>IF(base!G346="","",base!G346)</f>
        <v>2000018857041302</v>
      </c>
      <c r="H346" s="12" t="str">
        <f>IF(base!I346="","",base!I346)</f>
        <v>FLEX</v>
      </c>
      <c r="I346" s="12" t="str">
        <f>IF(base!S346="","",base!S346)</f>
        <v>Prueba 344</v>
      </c>
      <c r="J346" s="12" t="str">
        <f>IF(base!T346="","",base!T346)</f>
        <v>Calle 123
Piso 2</v>
      </c>
      <c r="K346" s="12" t="str">
        <f>IF(base!U346="","",base!U346)</f>
        <v/>
      </c>
      <c r="L346" s="12" t="str">
        <f>IF(base!Y346="","",base!Y346)</f>
        <v/>
      </c>
      <c r="M346" s="12" t="str">
        <f>IF(base!AH346="","",base!AH346)</f>
        <v/>
      </c>
      <c r="N346" s="12" t="str">
        <f>IF(base!AI346="","",base!AI346)</f>
        <v>34.072273</v>
      </c>
      <c r="O346" s="12">
        <f>IF(base!BA346="","",base!BA346)</f>
        <v>1875</v>
      </c>
      <c r="P346" s="13">
        <f>IF(base!BK346="","",base!BK346)</f>
        <v>46303.805902777778</v>
      </c>
      <c r="Q346" s="15" t="str">
        <f>IF(base!BS346="","",base!BS346)</f>
        <v/>
      </c>
    </row>
    <row r="347" spans="1:17" ht="30" x14ac:dyDescent="0.35">
      <c r="A347" s="14">
        <f>IF(base!A347="","",base!A347)</f>
        <v>6200345</v>
      </c>
      <c r="B347" s="13">
        <f>IF(base!BN347="","",base!BN347)</f>
        <v>46303.625</v>
      </c>
      <c r="C347" s="12" t="str">
        <f>IF(base!C347="","",base!C347)</f>
        <v>ZETABURGOS SRL</v>
      </c>
      <c r="D347" s="12" t="str">
        <f>IF(base!E347="","",base!E347)</f>
        <v>1RVT - 1° VISITA</v>
      </c>
      <c r="E347" s="12" t="str">
        <f>IF(base!BF347="","",base!BF347)</f>
        <v/>
      </c>
      <c r="F347" s="12" t="str">
        <f>IF(D347="","",IF(OR(ISNUMBER(SEARCH("VISITA",D347)),ISNUMBER(SEARCH("RUTA",D347)),ISNUMBER(SEARCH("ARRIB",D347)),ISNUMBER(SEARCH("MATRIZ",D347)),ISNUMBER(SEARCH("PENDIENTE",D347))),"VISITA COORDINADA CON EL CLIENTE","N/A"))</f>
        <v>VISITA COORDINADA CON EL CLIENTE</v>
      </c>
      <c r="G347" s="12" t="str">
        <f>IF(base!G347="","",base!G347)</f>
        <v>001234</v>
      </c>
      <c r="H347" s="12" t="str">
        <f>IF(base!I347="","",base!I347)</f>
        <v>FLEX</v>
      </c>
      <c r="I347" s="12" t="str">
        <f>IF(base!S347="","",base!S347)</f>
        <v>Prueba 345</v>
      </c>
      <c r="J347" s="12" t="str">
        <f>IF(base!T347="","",base!T347)</f>
        <v>Calle 123
Piso 2</v>
      </c>
      <c r="K347" s="12" t="str">
        <f>IF(base!U347="","",base!U347)</f>
        <v/>
      </c>
      <c r="L347" s="12" t="str">
        <f>IF(base!Y347="","",base!Y347)</f>
        <v/>
      </c>
      <c r="M347" s="12" t="str">
        <f>IF(base!AH347="","",base!AH347)</f>
        <v/>
      </c>
      <c r="N347" s="12" t="str">
        <f>IF(base!AI347="","",base!AI347)</f>
        <v>34.072273</v>
      </c>
      <c r="O347" s="12">
        <f>IF(base!BA347="","",base!BA347)</f>
        <v>1875</v>
      </c>
      <c r="P347" s="13">
        <f>IF(base!BK347="","",base!BK347)</f>
        <v>46303.805902777778</v>
      </c>
      <c r="Q347" s="15" t="str">
        <f>IF(base!BS347="","",base!BS347)</f>
        <v/>
      </c>
    </row>
    <row r="348" spans="1:17" ht="30" x14ac:dyDescent="0.35">
      <c r="A348" s="14">
        <f>IF(base!A348="","",base!A348)</f>
        <v>6200346</v>
      </c>
      <c r="B348" s="13">
        <f>IF(base!BN348="","",base!BN348)</f>
        <v>46303.625</v>
      </c>
      <c r="C348" s="12" t="str">
        <f>IF(base!C348="","",base!C348)</f>
        <v>ZETABURGOS SRL</v>
      </c>
      <c r="D348" s="12" t="str">
        <f>IF(base!E348="","",base!E348)</f>
        <v>ENTREGADO</v>
      </c>
      <c r="E348" s="12" t="str">
        <f>IF(base!BF348="","",base!BF348)</f>
        <v/>
      </c>
      <c r="F348" s="12" t="str">
        <f>IF(D348="","",IF(OR(ISNUMBER(SEARCH("VISITA",D348)),ISNUMBER(SEARCH("RUTA",D348)),ISNUMBER(SEARCH("ARRIB",D348)),ISNUMBER(SEARCH("MATRIZ",D348)),ISNUMBER(SEARCH("PENDIENTE",D348))),"VISITA COORDINADA CON EL CLIENTE","N/A"))</f>
        <v>N/A</v>
      </c>
      <c r="G348" s="12" t="str">
        <f>"#ABC"</f>
        <v>#ABC</v>
      </c>
      <c r="H348" s="12" t="str">
        <f>IF(base!I348="","",base!I348)</f>
        <v>SAMEDAY</v>
      </c>
      <c r="I348" s="12" t="str">
        <f>IF(base!S348="","",base!S348)</f>
        <v>Prueba 346</v>
      </c>
      <c r="J348" s="12" t="str">
        <f>IF(base!T348="","",base!T348)</f>
        <v>Calle 123
Piso 2</v>
      </c>
      <c r="K348" s="12" t="str">
        <f>IF(base!U348="","",base!U348)</f>
        <v/>
      </c>
      <c r="L348" s="12" t="str">
        <f>IF(base!Y348="","",base!Y348)</f>
        <v/>
      </c>
      <c r="M348" s="12" t="str">
        <f>IF(base!AH348="","",base!AH348)</f>
        <v/>
      </c>
      <c r="N348" s="12" t="str">
        <f>IF(base!AI348="","",base!AI348)</f>
        <v>34.072273</v>
      </c>
      <c r="O348" s="12">
        <f>IF(base!BA348="","",base!BA348)</f>
        <v>1875</v>
      </c>
      <c r="P348" s="13">
        <f>IF(base!BK348="","",base!BK348)</f>
        <v>46303.805902777778</v>
      </c>
      <c r="Q348" s="15" t="str">
        <f>IF(base!BS348="","",base!BS348)</f>
        <v/>
      </c>
    </row>
    <row r="349" spans="1:17" ht="30" x14ac:dyDescent="0.35">
      <c r="A349" s="14">
        <f>IF(base!A349="","",base!A349)</f>
        <v>6200347</v>
      </c>
      <c r="B349" s="13">
        <f>IF(base!BN349="","",base!BN349)</f>
        <v>46303.625</v>
      </c>
      <c r="C349" s="12" t="str">
        <f>IF(base!C349="","",base!C349)</f>
        <v>ZETABURGOS SRL</v>
      </c>
      <c r="D349" s="12" t="str">
        <f>IF(base!E349="","",base!E349)</f>
        <v>REPROGRAMACIÓN</v>
      </c>
      <c r="E349" s="12" t="str">
        <f>IF(base!BF349="","",base!BF349)</f>
        <v/>
      </c>
      <c r="F349" s="12" t="str">
        <f>IF(D349="","",IF(OR(ISNUMBER(SEARCH("VISITA",D349)),ISNUMBER(SEARCH("RUTA",D349)),ISNUMBER(SEARCH("ARRIB",D349)),ISNUMBER(SEARCH("MATRIZ",D349)),ISNUMBER(SEARCH("PENDIENTE",D349))),"VISITA COORDINADA CON EL CLIENTE","N/A"))</f>
        <v>N/A</v>
      </c>
      <c r="G349" s="12">
        <f>IF(base!G349="","",base!G349)</f>
        <v>470123456</v>
      </c>
      <c r="H349" s="12" t="str">
        <f>IF(base!I349="","",base!I349)</f>
        <v>FLEX</v>
      </c>
      <c r="I349" s="12" t="str">
        <f>IF(base!S349="","",base!S349)</f>
        <v>Prueba 347</v>
      </c>
      <c r="J349" s="12" t="str">
        <f>IF(base!T349="","",base!T349)</f>
        <v>Calle 123
Piso 2</v>
      </c>
      <c r="K349" s="12" t="str">
        <f>IF(base!U349="","",base!U349)</f>
        <v/>
      </c>
      <c r="L349" s="12" t="str">
        <f>IF(base!Y349="","",base!Y349)</f>
        <v/>
      </c>
      <c r="M349" s="12" t="str">
        <f>IF(base!AH349="","",base!AH349)</f>
        <v/>
      </c>
      <c r="N349" s="12" t="str">
        <f>IF(base!AI349="","",base!AI349)</f>
        <v>34.072273</v>
      </c>
      <c r="O349" s="12">
        <f>IF(base!BA349="","",base!BA349)</f>
        <v>1875</v>
      </c>
      <c r="P349" s="13">
        <f>IF(base!BK349="","",base!BK349)</f>
        <v>46303.805902777778</v>
      </c>
      <c r="Q349" s="15" t="str">
        <f>IF(base!BS349="","",base!BS349)</f>
        <v/>
      </c>
    </row>
    <row r="350" spans="1:17" ht="30" x14ac:dyDescent="0.35">
      <c r="A350" s="14">
        <f>IF(base!A350="","",base!A350)</f>
        <v>6200348</v>
      </c>
      <c r="B350" s="13">
        <f>IF(base!BN350="","",base!BN350)</f>
        <v>46303.625</v>
      </c>
      <c r="C350" s="12" t="str">
        <f>IF(base!C350="","",base!C350)</f>
        <v>ZETABURGOS SRL</v>
      </c>
      <c r="D350" s="12" t="str">
        <f>IF(base!E350="","",base!E350)</f>
        <v>1RVT - 1° VISITA</v>
      </c>
      <c r="E350" s="12" t="str">
        <f>IF(base!BF350="","",base!BF350)</f>
        <v/>
      </c>
      <c r="F350" s="12" t="str">
        <f>IF(D350="","",IF(OR(ISNUMBER(SEARCH("VISITA",D350)),ISNUMBER(SEARCH("RUTA",D350)),ISNUMBER(SEARCH("ARRIB",D350)),ISNUMBER(SEARCH("MATRIZ",D350)),ISNUMBER(SEARCH("PENDIENTE",D350))),"VISITA COORDINADA CON EL CLIENTE","N/A"))</f>
        <v>VISITA COORDINADA CON EL CLIENTE</v>
      </c>
      <c r="G350" s="12" t="str">
        <f>IF(base!G350="","",base!G350)</f>
        <v>ABC001</v>
      </c>
      <c r="H350" s="12" t="str">
        <f>IF(base!I350="","",base!I350)</f>
        <v>SAMEDAY</v>
      </c>
      <c r="I350" s="12" t="str">
        <f>IF(base!S350="","",base!S350)</f>
        <v>Prueba 348</v>
      </c>
      <c r="J350" s="12" t="str">
        <f>IF(base!T350="","",base!T350)</f>
        <v>Calle 123
Piso 2</v>
      </c>
      <c r="K350" s="12" t="str">
        <f>IF(base!U350="","",base!U350)</f>
        <v/>
      </c>
      <c r="L350" s="12" t="str">
        <f>IF(base!Y350="","",base!Y350)</f>
        <v/>
      </c>
      <c r="M350" s="12" t="str">
        <f>IF(base!AH350="","",base!AH350)</f>
        <v/>
      </c>
      <c r="N350" s="12" t="str">
        <f>IF(base!AI350="","",base!AI350)</f>
        <v>34.072273</v>
      </c>
      <c r="O350" s="12">
        <f>IF(base!BA350="","",base!BA350)</f>
        <v>1875</v>
      </c>
      <c r="P350" s="13">
        <f>IF(base!BK350="","",base!BK350)</f>
        <v>46303.805902777778</v>
      </c>
      <c r="Q350" s="15" t="str">
        <f>IF(base!BS350="","",base!BS350)</f>
        <v/>
      </c>
    </row>
    <row r="351" spans="1:17" ht="30" x14ac:dyDescent="0.35">
      <c r="A351" s="14">
        <f>IF(base!A351="","",base!A351)</f>
        <v>6200349</v>
      </c>
      <c r="B351" s="13">
        <f>IF(base!BN351="","",base!BN351)</f>
        <v>46303.625</v>
      </c>
      <c r="C351" s="12" t="str">
        <f>IF(base!C351="","",base!C351)</f>
        <v>ZETABURGOS SRL</v>
      </c>
      <c r="D351" s="12" t="str">
        <f>IF(base!E351="","",base!E351)</f>
        <v>ENTREGADO</v>
      </c>
      <c r="E351" s="12" t="str">
        <f>IF(base!BF351="","",base!BF351)</f>
        <v/>
      </c>
      <c r="F351" s="12" t="str">
        <f>IF(D351="","",IF(OR(ISNUMBER(SEARCH("VISITA",D351)),ISNUMBER(SEARCH("RUTA",D351)),ISNUMBER(SEARCH("ARRIB",D351)),ISNUMBER(SEARCH("MATRIZ",D351)),ISNUMBER(SEARCH("PENDIENTE",D351))),"VISITA COORDINADA CON EL CLIENTE","N/A"))</f>
        <v>N/A</v>
      </c>
      <c r="G351" s="12" t="str">
        <f>IF(base!G351="","",base!G351)</f>
        <v>2000018857041302</v>
      </c>
      <c r="H351" s="12" t="str">
        <f>IF(base!I351="","",base!I351)</f>
        <v>FLEX</v>
      </c>
      <c r="I351" s="12" t="str">
        <f>IF(base!S351="","",base!S351)</f>
        <v>Prueba 349</v>
      </c>
      <c r="J351" s="12" t="str">
        <f>IF(base!T351="","",base!T351)</f>
        <v>Calle 123
Piso 2</v>
      </c>
      <c r="K351" s="12" t="str">
        <f>IF(base!U351="","",base!U351)</f>
        <v/>
      </c>
      <c r="L351" s="12" t="str">
        <f>IF(base!Y351="","",base!Y351)</f>
        <v/>
      </c>
      <c r="M351" s="12" t="str">
        <f>IF(base!AH351="","",base!AH351)</f>
        <v/>
      </c>
      <c r="N351" s="12" t="str">
        <f>IF(base!AI351="","",base!AI351)</f>
        <v>34.072273</v>
      </c>
      <c r="O351" s="12">
        <f>IF(base!BA351="","",base!BA351)</f>
        <v>1875</v>
      </c>
      <c r="P351" s="13">
        <f>IF(base!BK351="","",base!BK351)</f>
        <v>46303.805902777778</v>
      </c>
      <c r="Q351" s="15" t="str">
        <f>IF(base!BS351="","",base!BS351)</f>
        <v/>
      </c>
    </row>
    <row r="352" spans="1:17" ht="30" x14ac:dyDescent="0.35">
      <c r="A352" s="14">
        <f>IF(base!A352="","",base!A352)</f>
        <v>6200350</v>
      </c>
      <c r="B352" s="13">
        <f>IF(base!BN352="","",base!BN352)</f>
        <v>46303.625</v>
      </c>
      <c r="C352" s="12" t="str">
        <f>IF(base!C352="","",base!C352)</f>
        <v>ZETABURGOS SRL</v>
      </c>
      <c r="D352" s="12" t="str">
        <f>IF(base!E352="","",base!E352)</f>
        <v>REPROGRAMACIÓN</v>
      </c>
      <c r="E352" s="12" t="str">
        <f>IF(base!BF352="","",base!BF352)</f>
        <v/>
      </c>
      <c r="F352" s="12" t="str">
        <f>IF(D352="","",IF(OR(ISNUMBER(SEARCH("VISITA",D352)),ISNUMBER(SEARCH("RUTA",D352)),ISNUMBER(SEARCH("ARRIB",D352)),ISNUMBER(SEARCH("MATRIZ",D352)),ISNUMBER(SEARCH("PENDIENTE",D352))),"VISITA COORDINADA CON EL CLIENTE","N/A"))</f>
        <v>N/A</v>
      </c>
      <c r="G352" s="12" t="str">
        <f>IF(base!G352="","",base!G352)</f>
        <v>001234</v>
      </c>
      <c r="H352" s="12" t="str">
        <f>IF(base!I352="","",base!I352)</f>
        <v>FLEX</v>
      </c>
      <c r="I352" s="12" t="str">
        <f>IF(base!S352="","",base!S352)</f>
        <v>Prueba 350</v>
      </c>
      <c r="J352" s="12" t="str">
        <f>IF(base!T352="","",base!T352)</f>
        <v>Calle 123
Piso 2</v>
      </c>
      <c r="K352" s="12" t="str">
        <f>IF(base!U352="","",base!U352)</f>
        <v/>
      </c>
      <c r="L352" s="12" t="str">
        <f>IF(base!Y352="","",base!Y352)</f>
        <v/>
      </c>
      <c r="M352" s="12" t="str">
        <f>IF(base!AH352="","",base!AH352)</f>
        <v/>
      </c>
      <c r="N352" s="12" t="str">
        <f>IF(base!AI352="","",base!AI352)</f>
        <v>34.072273</v>
      </c>
      <c r="O352" s="12">
        <f>IF(base!BA352="","",base!BA352)</f>
        <v>1875</v>
      </c>
      <c r="P352" s="13">
        <f>IF(base!BK352="","",base!BK352)</f>
        <v>46303.805902777778</v>
      </c>
      <c r="Q352" s="15" t="str">
        <f>IF(base!BS352="","",base!BS352)</f>
        <v/>
      </c>
    </row>
    <row r="353" spans="1:17" ht="30" x14ac:dyDescent="0.35">
      <c r="A353" s="14">
        <f>IF(base!A353="","",base!A353)</f>
        <v>6200351</v>
      </c>
      <c r="B353" s="13">
        <f>IF(base!BN353="","",base!BN353)</f>
        <v>46303.625</v>
      </c>
      <c r="C353" s="12" t="str">
        <f>IF(base!C353="","",base!C353)</f>
        <v>ZETABURGOS SRL</v>
      </c>
      <c r="D353" s="12" t="str">
        <f>IF(base!E353="","",base!E353)</f>
        <v>1RVT - 1° VISITA</v>
      </c>
      <c r="E353" s="12" t="str">
        <f>IF(base!BF353="","",base!BF353)</f>
        <v/>
      </c>
      <c r="F353" s="12" t="str">
        <f>IF(D353="","",IF(OR(ISNUMBER(SEARCH("VISITA",D353)),ISNUMBER(SEARCH("RUTA",D353)),ISNUMBER(SEARCH("ARRIB",D353)),ISNUMBER(SEARCH("MATRIZ",D353)),ISNUMBER(SEARCH("PENDIENTE",D353))),"VISITA COORDINADA CON EL CLIENTE","N/A"))</f>
        <v>VISITA COORDINADA CON EL CLIENTE</v>
      </c>
      <c r="G353" s="12" t="str">
        <f>"#ABC"</f>
        <v>#ABC</v>
      </c>
      <c r="H353" s="12" t="str">
        <f>IF(base!I353="","",base!I353)</f>
        <v>SAMEDAY</v>
      </c>
      <c r="I353" s="12" t="str">
        <f>IF(base!S353="","",base!S353)</f>
        <v>Prueba 351</v>
      </c>
      <c r="J353" s="12" t="str">
        <f>IF(base!T353="","",base!T353)</f>
        <v>Calle 123
Piso 2</v>
      </c>
      <c r="K353" s="12" t="str">
        <f>IF(base!U353="","",base!U353)</f>
        <v/>
      </c>
      <c r="L353" s="12" t="str">
        <f>IF(base!Y353="","",base!Y353)</f>
        <v/>
      </c>
      <c r="M353" s="12" t="str">
        <f>IF(base!AH353="","",base!AH353)</f>
        <v/>
      </c>
      <c r="N353" s="12" t="str">
        <f>IF(base!AI353="","",base!AI353)</f>
        <v>34.072273</v>
      </c>
      <c r="O353" s="12">
        <f>IF(base!BA353="","",base!BA353)</f>
        <v>1875</v>
      </c>
      <c r="P353" s="13">
        <f>IF(base!BK353="","",base!BK353)</f>
        <v>46303.805902777778</v>
      </c>
      <c r="Q353" s="15" t="str">
        <f>IF(base!BS353="","",base!BS353)</f>
        <v/>
      </c>
    </row>
    <row r="354" spans="1:17" ht="30" x14ac:dyDescent="0.35">
      <c r="A354" s="14">
        <f>IF(base!A354="","",base!A354)</f>
        <v>6200352</v>
      </c>
      <c r="B354" s="13">
        <f>IF(base!BN354="","",base!BN354)</f>
        <v>46303.625</v>
      </c>
      <c r="C354" s="12" t="str">
        <f>IF(base!C354="","",base!C354)</f>
        <v>ZETABURGOS SRL</v>
      </c>
      <c r="D354" s="12" t="str">
        <f>IF(base!E354="","",base!E354)</f>
        <v>ENTREGADO</v>
      </c>
      <c r="E354" s="12" t="str">
        <f>IF(base!BF354="","",base!BF354)</f>
        <v/>
      </c>
      <c r="F354" s="12" t="str">
        <f>IF(D354="","",IF(OR(ISNUMBER(SEARCH("VISITA",D354)),ISNUMBER(SEARCH("RUTA",D354)),ISNUMBER(SEARCH("ARRIB",D354)),ISNUMBER(SEARCH("MATRIZ",D354)),ISNUMBER(SEARCH("PENDIENTE",D354))),"VISITA COORDINADA CON EL CLIENTE","N/A"))</f>
        <v>N/A</v>
      </c>
      <c r="G354" s="12">
        <f>IF(base!G354="","",base!G354)</f>
        <v>470123456</v>
      </c>
      <c r="H354" s="12" t="str">
        <f>IF(base!I354="","",base!I354)</f>
        <v>FLEX</v>
      </c>
      <c r="I354" s="12" t="str">
        <f>IF(base!S354="","",base!S354)</f>
        <v>Prueba 352</v>
      </c>
      <c r="J354" s="12" t="str">
        <f>IF(base!T354="","",base!T354)</f>
        <v>Calle 123
Piso 2</v>
      </c>
      <c r="K354" s="12" t="str">
        <f>IF(base!U354="","",base!U354)</f>
        <v/>
      </c>
      <c r="L354" s="12" t="str">
        <f>IF(base!Y354="","",base!Y354)</f>
        <v/>
      </c>
      <c r="M354" s="12" t="str">
        <f>IF(base!AH354="","",base!AH354)</f>
        <v/>
      </c>
      <c r="N354" s="12" t="str">
        <f>IF(base!AI354="","",base!AI354)</f>
        <v>34.072273</v>
      </c>
      <c r="O354" s="12">
        <f>IF(base!BA354="","",base!BA354)</f>
        <v>1875</v>
      </c>
      <c r="P354" s="13">
        <f>IF(base!BK354="","",base!BK354)</f>
        <v>46303.805902777778</v>
      </c>
      <c r="Q354" s="15" t="str">
        <f>IF(base!BS354="","",base!BS354)</f>
        <v/>
      </c>
    </row>
    <row r="355" spans="1:17" ht="30" x14ac:dyDescent="0.35">
      <c r="A355" s="14">
        <f>IF(base!A355="","",base!A355)</f>
        <v>6200353</v>
      </c>
      <c r="B355" s="13">
        <f>IF(base!BN355="","",base!BN355)</f>
        <v>46303.625</v>
      </c>
      <c r="C355" s="12" t="str">
        <f>IF(base!C355="","",base!C355)</f>
        <v>ZETABURGOS SRL</v>
      </c>
      <c r="D355" s="12" t="str">
        <f>IF(base!E355="","",base!E355)</f>
        <v>REPROGRAMACIÓN</v>
      </c>
      <c r="E355" s="12" t="str">
        <f>IF(base!BF355="","",base!BF355)</f>
        <v/>
      </c>
      <c r="F355" s="12" t="str">
        <f>IF(D355="","",IF(OR(ISNUMBER(SEARCH("VISITA",D355)),ISNUMBER(SEARCH("RUTA",D355)),ISNUMBER(SEARCH("ARRIB",D355)),ISNUMBER(SEARCH("MATRIZ",D355)),ISNUMBER(SEARCH("PENDIENTE",D355))),"VISITA COORDINADA CON EL CLIENTE","N/A"))</f>
        <v>N/A</v>
      </c>
      <c r="G355" s="12" t="str">
        <f>IF(base!G355="","",base!G355)</f>
        <v>ABC001</v>
      </c>
      <c r="H355" s="12" t="str">
        <f>IF(base!I355="","",base!I355)</f>
        <v>SAMEDAY</v>
      </c>
      <c r="I355" s="12" t="str">
        <f>IF(base!S355="","",base!S355)</f>
        <v>Prueba 353</v>
      </c>
      <c r="J355" s="12" t="str">
        <f>IF(base!T355="","",base!T355)</f>
        <v>Calle 123
Piso 2</v>
      </c>
      <c r="K355" s="12" t="str">
        <f>IF(base!U355="","",base!U355)</f>
        <v/>
      </c>
      <c r="L355" s="12" t="str">
        <f>IF(base!Y355="","",base!Y355)</f>
        <v/>
      </c>
      <c r="M355" s="12" t="str">
        <f>IF(base!AH355="","",base!AH355)</f>
        <v/>
      </c>
      <c r="N355" s="12" t="str">
        <f>IF(base!AI355="","",base!AI355)</f>
        <v>34.072273</v>
      </c>
      <c r="O355" s="12">
        <f>IF(base!BA355="","",base!BA355)</f>
        <v>1875</v>
      </c>
      <c r="P355" s="13">
        <f>IF(base!BK355="","",base!BK355)</f>
        <v>46303.805902777778</v>
      </c>
      <c r="Q355" s="15" t="str">
        <f>IF(base!BS355="","",base!BS355)</f>
        <v/>
      </c>
    </row>
    <row r="356" spans="1:17" ht="30" x14ac:dyDescent="0.35">
      <c r="A356" s="14">
        <f>IF(base!A356="","",base!A356)</f>
        <v>6200354</v>
      </c>
      <c r="B356" s="13">
        <f>IF(base!BN356="","",base!BN356)</f>
        <v>46303.625</v>
      </c>
      <c r="C356" s="12" t="str">
        <f>IF(base!C356="","",base!C356)</f>
        <v>ZETABURGOS SRL</v>
      </c>
      <c r="D356" s="12" t="str">
        <f>IF(base!E356="","",base!E356)</f>
        <v>1RVT - 1° VISITA</v>
      </c>
      <c r="E356" s="12" t="str">
        <f>IF(base!BF356="","",base!BF356)</f>
        <v/>
      </c>
      <c r="F356" s="12" t="str">
        <f>IF(D356="","",IF(OR(ISNUMBER(SEARCH("VISITA",D356)),ISNUMBER(SEARCH("RUTA",D356)),ISNUMBER(SEARCH("ARRIB",D356)),ISNUMBER(SEARCH("MATRIZ",D356)),ISNUMBER(SEARCH("PENDIENTE",D356))),"VISITA COORDINADA CON EL CLIENTE","N/A"))</f>
        <v>VISITA COORDINADA CON EL CLIENTE</v>
      </c>
      <c r="G356" s="12" t="str">
        <f>IF(base!G356="","",base!G356)</f>
        <v>2000018857041302</v>
      </c>
      <c r="H356" s="12" t="str">
        <f>IF(base!I356="","",base!I356)</f>
        <v>FLEX</v>
      </c>
      <c r="I356" s="12" t="str">
        <f>IF(base!S356="","",base!S356)</f>
        <v>Prueba 354</v>
      </c>
      <c r="J356" s="12" t="str">
        <f>IF(base!T356="","",base!T356)</f>
        <v>Calle 123
Piso 2</v>
      </c>
      <c r="K356" s="12" t="str">
        <f>IF(base!U356="","",base!U356)</f>
        <v/>
      </c>
      <c r="L356" s="12" t="str">
        <f>IF(base!Y356="","",base!Y356)</f>
        <v/>
      </c>
      <c r="M356" s="12" t="str">
        <f>IF(base!AH356="","",base!AH356)</f>
        <v/>
      </c>
      <c r="N356" s="12" t="str">
        <f>IF(base!AI356="","",base!AI356)</f>
        <v>34.072273</v>
      </c>
      <c r="O356" s="12">
        <f>IF(base!BA356="","",base!BA356)</f>
        <v>1875</v>
      </c>
      <c r="P356" s="13">
        <f>IF(base!BK356="","",base!BK356)</f>
        <v>46303.805902777778</v>
      </c>
      <c r="Q356" s="15" t="str">
        <f>IF(base!BS356="","",base!BS356)</f>
        <v/>
      </c>
    </row>
    <row r="357" spans="1:17" ht="30" x14ac:dyDescent="0.35">
      <c r="A357" s="14">
        <f>IF(base!A357="","",base!A357)</f>
        <v>6200355</v>
      </c>
      <c r="B357" s="13">
        <f>IF(base!BN357="","",base!BN357)</f>
        <v>46303.625</v>
      </c>
      <c r="C357" s="12" t="str">
        <f>IF(base!C357="","",base!C357)</f>
        <v>ZETABURGOS SRL</v>
      </c>
      <c r="D357" s="12" t="str">
        <f>IF(base!E357="","",base!E357)</f>
        <v>ENTREGADO</v>
      </c>
      <c r="E357" s="12" t="str">
        <f>IF(base!BF357="","",base!BF357)</f>
        <v/>
      </c>
      <c r="F357" s="12" t="str">
        <f>IF(D357="","",IF(OR(ISNUMBER(SEARCH("VISITA",D357)),ISNUMBER(SEARCH("RUTA",D357)),ISNUMBER(SEARCH("ARRIB",D357)),ISNUMBER(SEARCH("MATRIZ",D357)),ISNUMBER(SEARCH("PENDIENTE",D357))),"VISITA COORDINADA CON EL CLIENTE","N/A"))</f>
        <v>N/A</v>
      </c>
      <c r="G357" s="12" t="str">
        <f>IF(base!G357="","",base!G357)</f>
        <v>001234</v>
      </c>
      <c r="H357" s="12" t="str">
        <f>IF(base!I357="","",base!I357)</f>
        <v>FLEX</v>
      </c>
      <c r="I357" s="12" t="str">
        <f>IF(base!S357="","",base!S357)</f>
        <v>Prueba 355</v>
      </c>
      <c r="J357" s="12" t="str">
        <f>IF(base!T357="","",base!T357)</f>
        <v>Calle 123
Piso 2</v>
      </c>
      <c r="K357" s="12" t="str">
        <f>IF(base!U357="","",base!U357)</f>
        <v/>
      </c>
      <c r="L357" s="12" t="str">
        <f>IF(base!Y357="","",base!Y357)</f>
        <v/>
      </c>
      <c r="M357" s="12" t="str">
        <f>IF(base!AH357="","",base!AH357)</f>
        <v/>
      </c>
      <c r="N357" s="12" t="str">
        <f>IF(base!AI357="","",base!AI357)</f>
        <v>34.072273</v>
      </c>
      <c r="O357" s="12">
        <f>IF(base!BA357="","",base!BA357)</f>
        <v>1875</v>
      </c>
      <c r="P357" s="13">
        <f>IF(base!BK357="","",base!BK357)</f>
        <v>46303.805902777778</v>
      </c>
      <c r="Q357" s="15" t="str">
        <f>IF(base!BS357="","",base!BS357)</f>
        <v/>
      </c>
    </row>
    <row r="358" spans="1:17" ht="30" x14ac:dyDescent="0.35">
      <c r="A358" s="14">
        <f>IF(base!A358="","",base!A358)</f>
        <v>6200356</v>
      </c>
      <c r="B358" s="13">
        <f>IF(base!BN358="","",base!BN358)</f>
        <v>46303.625</v>
      </c>
      <c r="C358" s="12" t="str">
        <f>IF(base!C358="","",base!C358)</f>
        <v>ZETABURGOS SRL</v>
      </c>
      <c r="D358" s="12" t="str">
        <f>IF(base!E358="","",base!E358)</f>
        <v>REPROGRAMACIÓN</v>
      </c>
      <c r="E358" s="12" t="str">
        <f>IF(base!BF358="","",base!BF358)</f>
        <v/>
      </c>
      <c r="F358" s="12" t="str">
        <f>IF(D358="","",IF(OR(ISNUMBER(SEARCH("VISITA",D358)),ISNUMBER(SEARCH("RUTA",D358)),ISNUMBER(SEARCH("ARRIB",D358)),ISNUMBER(SEARCH("MATRIZ",D358)),ISNUMBER(SEARCH("PENDIENTE",D358))),"VISITA COORDINADA CON EL CLIENTE","N/A"))</f>
        <v>N/A</v>
      </c>
      <c r="G358" s="12" t="str">
        <f>"#ABC"</f>
        <v>#ABC</v>
      </c>
      <c r="H358" s="12" t="str">
        <f>IF(base!I358="","",base!I358)</f>
        <v>SAMEDAY</v>
      </c>
      <c r="I358" s="12" t="str">
        <f>IF(base!S358="","",base!S358)</f>
        <v>Prueba 356</v>
      </c>
      <c r="J358" s="12" t="str">
        <f>IF(base!T358="","",base!T358)</f>
        <v>Calle 123
Piso 2</v>
      </c>
      <c r="K358" s="12" t="str">
        <f>IF(base!U358="","",base!U358)</f>
        <v/>
      </c>
      <c r="L358" s="12" t="str">
        <f>IF(base!Y358="","",base!Y358)</f>
        <v/>
      </c>
      <c r="M358" s="12" t="str">
        <f>IF(base!AH358="","",base!AH358)</f>
        <v/>
      </c>
      <c r="N358" s="12" t="str">
        <f>IF(base!AI358="","",base!AI358)</f>
        <v>34.072273</v>
      </c>
      <c r="O358" s="12">
        <f>IF(base!BA358="","",base!BA358)</f>
        <v>1875</v>
      </c>
      <c r="P358" s="13">
        <f>IF(base!BK358="","",base!BK358)</f>
        <v>46303.805902777778</v>
      </c>
      <c r="Q358" s="15" t="str">
        <f>IF(base!BS358="","",base!BS358)</f>
        <v/>
      </c>
    </row>
    <row r="359" spans="1:17" ht="30" x14ac:dyDescent="0.35">
      <c r="A359" s="14">
        <f>IF(base!A359="","",base!A359)</f>
        <v>6200357</v>
      </c>
      <c r="B359" s="13">
        <f>IF(base!BN359="","",base!BN359)</f>
        <v>46303.625</v>
      </c>
      <c r="C359" s="12" t="str">
        <f>IF(base!C359="","",base!C359)</f>
        <v>ZETABURGOS SRL</v>
      </c>
      <c r="D359" s="12" t="str">
        <f>IF(base!E359="","",base!E359)</f>
        <v>1RVT - 1° VISITA</v>
      </c>
      <c r="E359" s="12" t="str">
        <f>IF(base!BF359="","",base!BF359)</f>
        <v/>
      </c>
      <c r="F359" s="12" t="str">
        <f>IF(D359="","",IF(OR(ISNUMBER(SEARCH("VISITA",D359)),ISNUMBER(SEARCH("RUTA",D359)),ISNUMBER(SEARCH("ARRIB",D359)),ISNUMBER(SEARCH("MATRIZ",D359)),ISNUMBER(SEARCH("PENDIENTE",D359))),"VISITA COORDINADA CON EL CLIENTE","N/A"))</f>
        <v>VISITA COORDINADA CON EL CLIENTE</v>
      </c>
      <c r="G359" s="12">
        <f>IF(base!G359="","",base!G359)</f>
        <v>470123456</v>
      </c>
      <c r="H359" s="12" t="str">
        <f>IF(base!I359="","",base!I359)</f>
        <v>FLEX</v>
      </c>
      <c r="I359" s="12" t="str">
        <f>IF(base!S359="","",base!S359)</f>
        <v>Prueba 357</v>
      </c>
      <c r="J359" s="12" t="str">
        <f>IF(base!T359="","",base!T359)</f>
        <v>Calle 123
Piso 2</v>
      </c>
      <c r="K359" s="12" t="str">
        <f>IF(base!U359="","",base!U359)</f>
        <v/>
      </c>
      <c r="L359" s="12" t="str">
        <f>IF(base!Y359="","",base!Y359)</f>
        <v/>
      </c>
      <c r="M359" s="12" t="str">
        <f>IF(base!AH359="","",base!AH359)</f>
        <v/>
      </c>
      <c r="N359" s="12" t="str">
        <f>IF(base!AI359="","",base!AI359)</f>
        <v>34.072273</v>
      </c>
      <c r="O359" s="12">
        <f>IF(base!BA359="","",base!BA359)</f>
        <v>1875</v>
      </c>
      <c r="P359" s="13">
        <f>IF(base!BK359="","",base!BK359)</f>
        <v>46303.805902777778</v>
      </c>
      <c r="Q359" s="15" t="str">
        <f>IF(base!BS359="","",base!BS359)</f>
        <v/>
      </c>
    </row>
    <row r="360" spans="1:17" ht="30" x14ac:dyDescent="0.35">
      <c r="A360" s="14">
        <f>IF(base!A360="","",base!A360)</f>
        <v>6200358</v>
      </c>
      <c r="B360" s="13">
        <f>IF(base!BN360="","",base!BN360)</f>
        <v>46303.625</v>
      </c>
      <c r="C360" s="12" t="str">
        <f>IF(base!C360="","",base!C360)</f>
        <v>ZETABURGOS SRL</v>
      </c>
      <c r="D360" s="12" t="str">
        <f>IF(base!E360="","",base!E360)</f>
        <v>ENTREGADO</v>
      </c>
      <c r="E360" s="12" t="str">
        <f>IF(base!BF360="","",base!BF360)</f>
        <v/>
      </c>
      <c r="F360" s="12" t="str">
        <f>IF(D360="","",IF(OR(ISNUMBER(SEARCH("VISITA",D360)),ISNUMBER(SEARCH("RUTA",D360)),ISNUMBER(SEARCH("ARRIB",D360)),ISNUMBER(SEARCH("MATRIZ",D360)),ISNUMBER(SEARCH("PENDIENTE",D360))),"VISITA COORDINADA CON EL CLIENTE","N/A"))</f>
        <v>N/A</v>
      </c>
      <c r="G360" s="12" t="str">
        <f>IF(base!G360="","",base!G360)</f>
        <v>ABC001</v>
      </c>
      <c r="H360" s="12" t="str">
        <f>IF(base!I360="","",base!I360)</f>
        <v>SAMEDAY</v>
      </c>
      <c r="I360" s="12" t="str">
        <f>IF(base!S360="","",base!S360)</f>
        <v>Prueba 358</v>
      </c>
      <c r="J360" s="12" t="str">
        <f>IF(base!T360="","",base!T360)</f>
        <v>Calle 123
Piso 2</v>
      </c>
      <c r="K360" s="12" t="str">
        <f>IF(base!U360="","",base!U360)</f>
        <v/>
      </c>
      <c r="L360" s="12" t="str">
        <f>IF(base!Y360="","",base!Y360)</f>
        <v/>
      </c>
      <c r="M360" s="12" t="str">
        <f>IF(base!AH360="","",base!AH360)</f>
        <v/>
      </c>
      <c r="N360" s="12" t="str">
        <f>IF(base!AI360="","",base!AI360)</f>
        <v>34.072273</v>
      </c>
      <c r="O360" s="12">
        <f>IF(base!BA360="","",base!BA360)</f>
        <v>1875</v>
      </c>
      <c r="P360" s="13">
        <f>IF(base!BK360="","",base!BK360)</f>
        <v>46303.805902777778</v>
      </c>
      <c r="Q360" s="15" t="str">
        <f>IF(base!BS360="","",base!BS360)</f>
        <v/>
      </c>
    </row>
    <row r="361" spans="1:17" ht="30" x14ac:dyDescent="0.35">
      <c r="A361" s="14">
        <f>IF(base!A361="","",base!A361)</f>
        <v>6200359</v>
      </c>
      <c r="B361" s="13">
        <f>IF(base!BN361="","",base!BN361)</f>
        <v>46303.625</v>
      </c>
      <c r="C361" s="12" t="str">
        <f>IF(base!C361="","",base!C361)</f>
        <v>ZETABURGOS SRL</v>
      </c>
      <c r="D361" s="12" t="str">
        <f>IF(base!E361="","",base!E361)</f>
        <v>REPROGRAMACIÓN</v>
      </c>
      <c r="E361" s="12" t="str">
        <f>IF(base!BF361="","",base!BF361)</f>
        <v/>
      </c>
      <c r="F361" s="12" t="str">
        <f>IF(D361="","",IF(OR(ISNUMBER(SEARCH("VISITA",D361)),ISNUMBER(SEARCH("RUTA",D361)),ISNUMBER(SEARCH("ARRIB",D361)),ISNUMBER(SEARCH("MATRIZ",D361)),ISNUMBER(SEARCH("PENDIENTE",D361))),"VISITA COORDINADA CON EL CLIENTE","N/A"))</f>
        <v>N/A</v>
      </c>
      <c r="G361" s="12" t="str">
        <f>IF(base!G361="","",base!G361)</f>
        <v>2000018857041302</v>
      </c>
      <c r="H361" s="12" t="str">
        <f>IF(base!I361="","",base!I361)</f>
        <v>FLEX</v>
      </c>
      <c r="I361" s="12" t="str">
        <f>IF(base!S361="","",base!S361)</f>
        <v>Prueba 359</v>
      </c>
      <c r="J361" s="12" t="str">
        <f>IF(base!T361="","",base!T361)</f>
        <v>Calle 123
Piso 2</v>
      </c>
      <c r="K361" s="12" t="str">
        <f>IF(base!U361="","",base!U361)</f>
        <v/>
      </c>
      <c r="L361" s="12" t="str">
        <f>IF(base!Y361="","",base!Y361)</f>
        <v/>
      </c>
      <c r="M361" s="12" t="str">
        <f>IF(base!AH361="","",base!AH361)</f>
        <v/>
      </c>
      <c r="N361" s="12" t="str">
        <f>IF(base!AI361="","",base!AI361)</f>
        <v>34.072273</v>
      </c>
      <c r="O361" s="12">
        <f>IF(base!BA361="","",base!BA361)</f>
        <v>1875</v>
      </c>
      <c r="P361" s="13">
        <f>IF(base!BK361="","",base!BK361)</f>
        <v>46303.805902777778</v>
      </c>
      <c r="Q361" s="15" t="str">
        <f>IF(base!BS361="","",base!BS361)</f>
        <v/>
      </c>
    </row>
    <row r="362" spans="1:17" ht="30" x14ac:dyDescent="0.35">
      <c r="A362" s="14">
        <f>IF(base!A362="","",base!A362)</f>
        <v>6200360</v>
      </c>
      <c r="B362" s="13">
        <f>IF(base!BN362="","",base!BN362)</f>
        <v>46303.625</v>
      </c>
      <c r="C362" s="12" t="str">
        <f>IF(base!C362="","",base!C362)</f>
        <v>ZETABURGOS SRL</v>
      </c>
      <c r="D362" s="12" t="str">
        <f>IF(base!E362="","",base!E362)</f>
        <v>1RVT - 1° VISITA</v>
      </c>
      <c r="E362" s="12" t="str">
        <f>IF(base!BF362="","",base!BF362)</f>
        <v/>
      </c>
      <c r="F362" s="12" t="str">
        <f>IF(D362="","",IF(OR(ISNUMBER(SEARCH("VISITA",D362)),ISNUMBER(SEARCH("RUTA",D362)),ISNUMBER(SEARCH("ARRIB",D362)),ISNUMBER(SEARCH("MATRIZ",D362)),ISNUMBER(SEARCH("PENDIENTE",D362))),"VISITA COORDINADA CON EL CLIENTE","N/A"))</f>
        <v>VISITA COORDINADA CON EL CLIENTE</v>
      </c>
      <c r="G362" s="12" t="str">
        <f>IF(base!G362="","",base!G362)</f>
        <v>001234</v>
      </c>
      <c r="H362" s="12" t="str">
        <f>IF(base!I362="","",base!I362)</f>
        <v>FLEX</v>
      </c>
      <c r="I362" s="12" t="str">
        <f>IF(base!S362="","",base!S362)</f>
        <v>Prueba 360</v>
      </c>
      <c r="J362" s="12" t="str">
        <f>IF(base!T362="","",base!T362)</f>
        <v>Calle 123
Piso 2</v>
      </c>
      <c r="K362" s="12" t="str">
        <f>IF(base!U362="","",base!U362)</f>
        <v/>
      </c>
      <c r="L362" s="12" t="str">
        <f>IF(base!Y362="","",base!Y362)</f>
        <v/>
      </c>
      <c r="M362" s="12" t="str">
        <f>IF(base!AH362="","",base!AH362)</f>
        <v/>
      </c>
      <c r="N362" s="12" t="str">
        <f>IF(base!AI362="","",base!AI362)</f>
        <v>34.072273</v>
      </c>
      <c r="O362" s="12">
        <f>IF(base!BA362="","",base!BA362)</f>
        <v>1875</v>
      </c>
      <c r="P362" s="13">
        <f>IF(base!BK362="","",base!BK362)</f>
        <v>46303.805902777778</v>
      </c>
      <c r="Q362" s="15" t="str">
        <f>IF(base!BS362="","",base!BS362)</f>
        <v/>
      </c>
    </row>
    <row r="363" spans="1:17" ht="30" x14ac:dyDescent="0.35">
      <c r="A363" s="14">
        <f>IF(base!A363="","",base!A363)</f>
        <v>6200361</v>
      </c>
      <c r="B363" s="13">
        <f>IF(base!BN363="","",base!BN363)</f>
        <v>46303.625</v>
      </c>
      <c r="C363" s="12" t="str">
        <f>IF(base!C363="","",base!C363)</f>
        <v>ZETABURGOS SRL</v>
      </c>
      <c r="D363" s="12" t="str">
        <f>IF(base!E363="","",base!E363)</f>
        <v>ENTREGADO</v>
      </c>
      <c r="E363" s="12" t="str">
        <f>IF(base!BF363="","",base!BF363)</f>
        <v/>
      </c>
      <c r="F363" s="12" t="str">
        <f>IF(D363="","",IF(OR(ISNUMBER(SEARCH("VISITA",D363)),ISNUMBER(SEARCH("RUTA",D363)),ISNUMBER(SEARCH("ARRIB",D363)),ISNUMBER(SEARCH("MATRIZ",D363)),ISNUMBER(SEARCH("PENDIENTE",D363))),"VISITA COORDINADA CON EL CLIENTE","N/A"))</f>
        <v>N/A</v>
      </c>
      <c r="G363" s="12" t="str">
        <f>"#ABC"</f>
        <v>#ABC</v>
      </c>
      <c r="H363" s="12" t="str">
        <f>IF(base!I363="","",base!I363)</f>
        <v>SAMEDAY</v>
      </c>
      <c r="I363" s="12" t="str">
        <f>IF(base!S363="","",base!S363)</f>
        <v>Prueba 361</v>
      </c>
      <c r="J363" s="12" t="str">
        <f>IF(base!T363="","",base!T363)</f>
        <v>Calle 123
Piso 2</v>
      </c>
      <c r="K363" s="12" t="str">
        <f>IF(base!U363="","",base!U363)</f>
        <v/>
      </c>
      <c r="L363" s="12" t="str">
        <f>IF(base!Y363="","",base!Y363)</f>
        <v/>
      </c>
      <c r="M363" s="12" t="str">
        <f>IF(base!AH363="","",base!AH363)</f>
        <v/>
      </c>
      <c r="N363" s="12" t="str">
        <f>IF(base!AI363="","",base!AI363)</f>
        <v>34.072273</v>
      </c>
      <c r="O363" s="12">
        <f>IF(base!BA363="","",base!BA363)</f>
        <v>1875</v>
      </c>
      <c r="P363" s="13">
        <f>IF(base!BK363="","",base!BK363)</f>
        <v>46303.805902777778</v>
      </c>
      <c r="Q363" s="15" t="str">
        <f>IF(base!BS363="","",base!BS363)</f>
        <v/>
      </c>
    </row>
    <row r="364" spans="1:17" ht="30" x14ac:dyDescent="0.35">
      <c r="A364" s="14">
        <f>IF(base!A364="","",base!A364)</f>
        <v>6200362</v>
      </c>
      <c r="B364" s="13">
        <f>IF(base!BN364="","",base!BN364)</f>
        <v>46303.625</v>
      </c>
      <c r="C364" s="12" t="str">
        <f>IF(base!C364="","",base!C364)</f>
        <v>ZETABURGOS SRL</v>
      </c>
      <c r="D364" s="12" t="str">
        <f>IF(base!E364="","",base!E364)</f>
        <v>REPROGRAMACIÓN</v>
      </c>
      <c r="E364" s="12" t="str">
        <f>IF(base!BF364="","",base!BF364)</f>
        <v/>
      </c>
      <c r="F364" s="12" t="str">
        <f>IF(D364="","",IF(OR(ISNUMBER(SEARCH("VISITA",D364)),ISNUMBER(SEARCH("RUTA",D364)),ISNUMBER(SEARCH("ARRIB",D364)),ISNUMBER(SEARCH("MATRIZ",D364)),ISNUMBER(SEARCH("PENDIENTE",D364))),"VISITA COORDINADA CON EL CLIENTE","N/A"))</f>
        <v>N/A</v>
      </c>
      <c r="G364" s="12">
        <f>IF(base!G364="","",base!G364)</f>
        <v>470123456</v>
      </c>
      <c r="H364" s="12" t="str">
        <f>IF(base!I364="","",base!I364)</f>
        <v>FLEX</v>
      </c>
      <c r="I364" s="12" t="str">
        <f>IF(base!S364="","",base!S364)</f>
        <v>Prueba 362</v>
      </c>
      <c r="J364" s="12" t="str">
        <f>IF(base!T364="","",base!T364)</f>
        <v>Calle 123
Piso 2</v>
      </c>
      <c r="K364" s="12" t="str">
        <f>IF(base!U364="","",base!U364)</f>
        <v/>
      </c>
      <c r="L364" s="12" t="str">
        <f>IF(base!Y364="","",base!Y364)</f>
        <v/>
      </c>
      <c r="M364" s="12" t="str">
        <f>IF(base!AH364="","",base!AH364)</f>
        <v/>
      </c>
      <c r="N364" s="12" t="str">
        <f>IF(base!AI364="","",base!AI364)</f>
        <v>34.072273</v>
      </c>
      <c r="O364" s="12">
        <f>IF(base!BA364="","",base!BA364)</f>
        <v>1875</v>
      </c>
      <c r="P364" s="13">
        <f>IF(base!BK364="","",base!BK364)</f>
        <v>46303.805902777778</v>
      </c>
      <c r="Q364" s="15" t="str">
        <f>IF(base!BS364="","",base!BS364)</f>
        <v/>
      </c>
    </row>
    <row r="365" spans="1:17" ht="30" x14ac:dyDescent="0.35">
      <c r="A365" s="14">
        <f>IF(base!A365="","",base!A365)</f>
        <v>6200363</v>
      </c>
      <c r="B365" s="13">
        <f>IF(base!BN365="","",base!BN365)</f>
        <v>46303.625</v>
      </c>
      <c r="C365" s="12" t="str">
        <f>IF(base!C365="","",base!C365)</f>
        <v>ZETABURGOS SRL</v>
      </c>
      <c r="D365" s="12" t="str">
        <f>IF(base!E365="","",base!E365)</f>
        <v>1RVT - 1° VISITA</v>
      </c>
      <c r="E365" s="12" t="str">
        <f>IF(base!BF365="","",base!BF365)</f>
        <v/>
      </c>
      <c r="F365" s="12" t="str">
        <f>IF(D365="","",IF(OR(ISNUMBER(SEARCH("VISITA",D365)),ISNUMBER(SEARCH("RUTA",D365)),ISNUMBER(SEARCH("ARRIB",D365)),ISNUMBER(SEARCH("MATRIZ",D365)),ISNUMBER(SEARCH("PENDIENTE",D365))),"VISITA COORDINADA CON EL CLIENTE","N/A"))</f>
        <v>VISITA COORDINADA CON EL CLIENTE</v>
      </c>
      <c r="G365" s="12" t="str">
        <f>IF(base!G365="","",base!G365)</f>
        <v>ABC001</v>
      </c>
      <c r="H365" s="12" t="str">
        <f>IF(base!I365="","",base!I365)</f>
        <v>SAMEDAY</v>
      </c>
      <c r="I365" s="12" t="str">
        <f>IF(base!S365="","",base!S365)</f>
        <v>Prueba 363</v>
      </c>
      <c r="J365" s="12" t="str">
        <f>IF(base!T365="","",base!T365)</f>
        <v>Calle 123
Piso 2</v>
      </c>
      <c r="K365" s="12" t="str">
        <f>IF(base!U365="","",base!U365)</f>
        <v/>
      </c>
      <c r="L365" s="12" t="str">
        <f>IF(base!Y365="","",base!Y365)</f>
        <v/>
      </c>
      <c r="M365" s="12" t="str">
        <f>IF(base!AH365="","",base!AH365)</f>
        <v/>
      </c>
      <c r="N365" s="12" t="str">
        <f>IF(base!AI365="","",base!AI365)</f>
        <v>34.072273</v>
      </c>
      <c r="O365" s="12">
        <f>IF(base!BA365="","",base!BA365)</f>
        <v>1875</v>
      </c>
      <c r="P365" s="13">
        <f>IF(base!BK365="","",base!BK365)</f>
        <v>46303.805902777778</v>
      </c>
      <c r="Q365" s="15" t="str">
        <f>IF(base!BS365="","",base!BS365)</f>
        <v/>
      </c>
    </row>
    <row r="366" spans="1:17" ht="30" x14ac:dyDescent="0.35">
      <c r="A366" s="14">
        <f>IF(base!A366="","",base!A366)</f>
        <v>6200364</v>
      </c>
      <c r="B366" s="13">
        <f>IF(base!BN366="","",base!BN366)</f>
        <v>46303.625</v>
      </c>
      <c r="C366" s="12" t="str">
        <f>IF(base!C366="","",base!C366)</f>
        <v>ZETABURGOS SRL</v>
      </c>
      <c r="D366" s="12" t="str">
        <f>IF(base!E366="","",base!E366)</f>
        <v>ENTREGADO</v>
      </c>
      <c r="E366" s="12" t="str">
        <f>IF(base!BF366="","",base!BF366)</f>
        <v/>
      </c>
      <c r="F366" s="12" t="str">
        <f>IF(D366="","",IF(OR(ISNUMBER(SEARCH("VISITA",D366)),ISNUMBER(SEARCH("RUTA",D366)),ISNUMBER(SEARCH("ARRIB",D366)),ISNUMBER(SEARCH("MATRIZ",D366)),ISNUMBER(SEARCH("PENDIENTE",D366))),"VISITA COORDINADA CON EL CLIENTE","N/A"))</f>
        <v>N/A</v>
      </c>
      <c r="G366" s="12" t="str">
        <f>IF(base!G366="","",base!G366)</f>
        <v>2000018857041302</v>
      </c>
      <c r="H366" s="12" t="str">
        <f>IF(base!I366="","",base!I366)</f>
        <v>FLEX</v>
      </c>
      <c r="I366" s="12" t="str">
        <f>IF(base!S366="","",base!S366)</f>
        <v>Prueba 364</v>
      </c>
      <c r="J366" s="12" t="str">
        <f>IF(base!T366="","",base!T366)</f>
        <v>Calle 123
Piso 2</v>
      </c>
      <c r="K366" s="12" t="str">
        <f>IF(base!U366="","",base!U366)</f>
        <v/>
      </c>
      <c r="L366" s="12" t="str">
        <f>IF(base!Y366="","",base!Y366)</f>
        <v/>
      </c>
      <c r="M366" s="12" t="str">
        <f>IF(base!AH366="","",base!AH366)</f>
        <v/>
      </c>
      <c r="N366" s="12" t="str">
        <f>IF(base!AI366="","",base!AI366)</f>
        <v>34.072273</v>
      </c>
      <c r="O366" s="12">
        <f>IF(base!BA366="","",base!BA366)</f>
        <v>1875</v>
      </c>
      <c r="P366" s="13">
        <f>IF(base!BK366="","",base!BK366)</f>
        <v>46303.805902777778</v>
      </c>
      <c r="Q366" s="15" t="str">
        <f>IF(base!BS366="","",base!BS366)</f>
        <v/>
      </c>
    </row>
    <row r="367" spans="1:17" ht="30" x14ac:dyDescent="0.35">
      <c r="A367" s="14">
        <f>IF(base!A367="","",base!A367)</f>
        <v>6200365</v>
      </c>
      <c r="B367" s="13">
        <f>IF(base!BN367="","",base!BN367)</f>
        <v>46303.625</v>
      </c>
      <c r="C367" s="12" t="str">
        <f>IF(base!C367="","",base!C367)</f>
        <v>ZETABURGOS SRL</v>
      </c>
      <c r="D367" s="12" t="str">
        <f>IF(base!E367="","",base!E367)</f>
        <v>REPROGRAMACIÓN</v>
      </c>
      <c r="E367" s="12" t="str">
        <f>IF(base!BF367="","",base!BF367)</f>
        <v/>
      </c>
      <c r="F367" s="12" t="str">
        <f>IF(D367="","",IF(OR(ISNUMBER(SEARCH("VISITA",D367)),ISNUMBER(SEARCH("RUTA",D367)),ISNUMBER(SEARCH("ARRIB",D367)),ISNUMBER(SEARCH("MATRIZ",D367)),ISNUMBER(SEARCH("PENDIENTE",D367))),"VISITA COORDINADA CON EL CLIENTE","N/A"))</f>
        <v>N/A</v>
      </c>
      <c r="G367" s="12" t="str">
        <f>IF(base!G367="","",base!G367)</f>
        <v>001234</v>
      </c>
      <c r="H367" s="12" t="str">
        <f>IF(base!I367="","",base!I367)</f>
        <v>FLEX</v>
      </c>
      <c r="I367" s="12" t="str">
        <f>IF(base!S367="","",base!S367)</f>
        <v>Prueba 365</v>
      </c>
      <c r="J367" s="12" t="str">
        <f>IF(base!T367="","",base!T367)</f>
        <v>Calle 123
Piso 2</v>
      </c>
      <c r="K367" s="12" t="str">
        <f>IF(base!U367="","",base!U367)</f>
        <v/>
      </c>
      <c r="L367" s="12" t="str">
        <f>IF(base!Y367="","",base!Y367)</f>
        <v/>
      </c>
      <c r="M367" s="12" t="str">
        <f>IF(base!AH367="","",base!AH367)</f>
        <v/>
      </c>
      <c r="N367" s="12" t="str">
        <f>IF(base!AI367="","",base!AI367)</f>
        <v>34.072273</v>
      </c>
      <c r="O367" s="12">
        <f>IF(base!BA367="","",base!BA367)</f>
        <v>1875</v>
      </c>
      <c r="P367" s="13">
        <f>IF(base!BK367="","",base!BK367)</f>
        <v>46303.805902777778</v>
      </c>
      <c r="Q367" s="15" t="str">
        <f>IF(base!BS367="","",base!BS367)</f>
        <v/>
      </c>
    </row>
    <row r="368" spans="1:17" ht="30" x14ac:dyDescent="0.35">
      <c r="A368" s="14">
        <f>IF(base!A368="","",base!A368)</f>
        <v>6200366</v>
      </c>
      <c r="B368" s="13">
        <f>IF(base!BN368="","",base!BN368)</f>
        <v>46303.625</v>
      </c>
      <c r="C368" s="12" t="str">
        <f>IF(base!C368="","",base!C368)</f>
        <v>ZETABURGOS SRL</v>
      </c>
      <c r="D368" s="12" t="str">
        <f>IF(base!E368="","",base!E368)</f>
        <v>1RVT - 1° VISITA</v>
      </c>
      <c r="E368" s="12" t="str">
        <f>IF(base!BF368="","",base!BF368)</f>
        <v/>
      </c>
      <c r="F368" s="12" t="str">
        <f>IF(D368="","",IF(OR(ISNUMBER(SEARCH("VISITA",D368)),ISNUMBER(SEARCH("RUTA",D368)),ISNUMBER(SEARCH("ARRIB",D368)),ISNUMBER(SEARCH("MATRIZ",D368)),ISNUMBER(SEARCH("PENDIENTE",D368))),"VISITA COORDINADA CON EL CLIENTE","N/A"))</f>
        <v>VISITA COORDINADA CON EL CLIENTE</v>
      </c>
      <c r="G368" s="12" t="str">
        <f>"#ABC"</f>
        <v>#ABC</v>
      </c>
      <c r="H368" s="12" t="str">
        <f>IF(base!I368="","",base!I368)</f>
        <v>SAMEDAY</v>
      </c>
      <c r="I368" s="12" t="str">
        <f>IF(base!S368="","",base!S368)</f>
        <v>Prueba 366</v>
      </c>
      <c r="J368" s="12" t="str">
        <f>IF(base!T368="","",base!T368)</f>
        <v>Calle 123
Piso 2</v>
      </c>
      <c r="K368" s="12" t="str">
        <f>IF(base!U368="","",base!U368)</f>
        <v/>
      </c>
      <c r="L368" s="12" t="str">
        <f>IF(base!Y368="","",base!Y368)</f>
        <v/>
      </c>
      <c r="M368" s="12" t="str">
        <f>IF(base!AH368="","",base!AH368)</f>
        <v/>
      </c>
      <c r="N368" s="12" t="str">
        <f>IF(base!AI368="","",base!AI368)</f>
        <v>34.072273</v>
      </c>
      <c r="O368" s="12">
        <f>IF(base!BA368="","",base!BA368)</f>
        <v>1875</v>
      </c>
      <c r="P368" s="13">
        <f>IF(base!BK368="","",base!BK368)</f>
        <v>46303.805902777778</v>
      </c>
      <c r="Q368" s="15" t="str">
        <f>IF(base!BS368="","",base!BS368)</f>
        <v/>
      </c>
    </row>
    <row r="369" spans="1:17" ht="30" x14ac:dyDescent="0.35">
      <c r="A369" s="14">
        <f>IF(base!A369="","",base!A369)</f>
        <v>6200367</v>
      </c>
      <c r="B369" s="13">
        <f>IF(base!BN369="","",base!BN369)</f>
        <v>46303.625</v>
      </c>
      <c r="C369" s="12" t="str">
        <f>IF(base!C369="","",base!C369)</f>
        <v>ZETABURGOS SRL</v>
      </c>
      <c r="D369" s="12" t="str">
        <f>IF(base!E369="","",base!E369)</f>
        <v>ENTREGADO</v>
      </c>
      <c r="E369" s="12" t="str">
        <f>IF(base!BF369="","",base!BF369)</f>
        <v/>
      </c>
      <c r="F369" s="12" t="str">
        <f>IF(D369="","",IF(OR(ISNUMBER(SEARCH("VISITA",D369)),ISNUMBER(SEARCH("RUTA",D369)),ISNUMBER(SEARCH("ARRIB",D369)),ISNUMBER(SEARCH("MATRIZ",D369)),ISNUMBER(SEARCH("PENDIENTE",D369))),"VISITA COORDINADA CON EL CLIENTE","N/A"))</f>
        <v>N/A</v>
      </c>
      <c r="G369" s="12">
        <f>IF(base!G369="","",base!G369)</f>
        <v>470123456</v>
      </c>
      <c r="H369" s="12" t="str">
        <f>IF(base!I369="","",base!I369)</f>
        <v>FLEX</v>
      </c>
      <c r="I369" s="12" t="str">
        <f>IF(base!S369="","",base!S369)</f>
        <v>Prueba 367</v>
      </c>
      <c r="J369" s="12" t="str">
        <f>IF(base!T369="","",base!T369)</f>
        <v>Calle 123
Piso 2</v>
      </c>
      <c r="K369" s="12" t="str">
        <f>IF(base!U369="","",base!U369)</f>
        <v/>
      </c>
      <c r="L369" s="12" t="str">
        <f>IF(base!Y369="","",base!Y369)</f>
        <v/>
      </c>
      <c r="M369" s="12" t="str">
        <f>IF(base!AH369="","",base!AH369)</f>
        <v/>
      </c>
      <c r="N369" s="12" t="str">
        <f>IF(base!AI369="","",base!AI369)</f>
        <v>34.072273</v>
      </c>
      <c r="O369" s="12">
        <f>IF(base!BA369="","",base!BA369)</f>
        <v>1875</v>
      </c>
      <c r="P369" s="13">
        <f>IF(base!BK369="","",base!BK369)</f>
        <v>46303.805902777778</v>
      </c>
      <c r="Q369" s="15" t="str">
        <f>IF(base!BS369="","",base!BS369)</f>
        <v/>
      </c>
    </row>
    <row r="370" spans="1:17" ht="30" x14ac:dyDescent="0.35">
      <c r="A370" s="14">
        <f>IF(base!A370="","",base!A370)</f>
        <v>6200368</v>
      </c>
      <c r="B370" s="13">
        <f>IF(base!BN370="","",base!BN370)</f>
        <v>46303.625</v>
      </c>
      <c r="C370" s="12" t="str">
        <f>IF(base!C370="","",base!C370)</f>
        <v>ZETABURGOS SRL</v>
      </c>
      <c r="D370" s="12" t="str">
        <f>IF(base!E370="","",base!E370)</f>
        <v>REPROGRAMACIÓN</v>
      </c>
      <c r="E370" s="12" t="str">
        <f>IF(base!BF370="","",base!BF370)</f>
        <v/>
      </c>
      <c r="F370" s="12" t="str">
        <f>IF(D370="","",IF(OR(ISNUMBER(SEARCH("VISITA",D370)),ISNUMBER(SEARCH("RUTA",D370)),ISNUMBER(SEARCH("ARRIB",D370)),ISNUMBER(SEARCH("MATRIZ",D370)),ISNUMBER(SEARCH("PENDIENTE",D370))),"VISITA COORDINADA CON EL CLIENTE","N/A"))</f>
        <v>N/A</v>
      </c>
      <c r="G370" s="12" t="str">
        <f>IF(base!G370="","",base!G370)</f>
        <v>ABC001</v>
      </c>
      <c r="H370" s="12" t="str">
        <f>IF(base!I370="","",base!I370)</f>
        <v>SAMEDAY</v>
      </c>
      <c r="I370" s="12" t="str">
        <f>IF(base!S370="","",base!S370)</f>
        <v>Prueba 368</v>
      </c>
      <c r="J370" s="12" t="str">
        <f>IF(base!T370="","",base!T370)</f>
        <v>Calle 123
Piso 2</v>
      </c>
      <c r="K370" s="12" t="str">
        <f>IF(base!U370="","",base!U370)</f>
        <v/>
      </c>
      <c r="L370" s="12" t="str">
        <f>IF(base!Y370="","",base!Y370)</f>
        <v/>
      </c>
      <c r="M370" s="12" t="str">
        <f>IF(base!AH370="","",base!AH370)</f>
        <v/>
      </c>
      <c r="N370" s="12" t="str">
        <f>IF(base!AI370="","",base!AI370)</f>
        <v>34.072273</v>
      </c>
      <c r="O370" s="12">
        <f>IF(base!BA370="","",base!BA370)</f>
        <v>1875</v>
      </c>
      <c r="P370" s="13">
        <f>IF(base!BK370="","",base!BK370)</f>
        <v>46303.805902777778</v>
      </c>
      <c r="Q370" s="15" t="str">
        <f>IF(base!BS370="","",base!BS370)</f>
        <v/>
      </c>
    </row>
    <row r="371" spans="1:17" ht="30" x14ac:dyDescent="0.35">
      <c r="A371" s="14">
        <f>IF(base!A371="","",base!A371)</f>
        <v>6200369</v>
      </c>
      <c r="B371" s="13">
        <f>IF(base!BN371="","",base!BN371)</f>
        <v>46303.625</v>
      </c>
      <c r="C371" s="12" t="str">
        <f>IF(base!C371="","",base!C371)</f>
        <v>ZETABURGOS SRL</v>
      </c>
      <c r="D371" s="12" t="str">
        <f>IF(base!E371="","",base!E371)</f>
        <v>1RVT - 1° VISITA</v>
      </c>
      <c r="E371" s="12" t="str">
        <f>IF(base!BF371="","",base!BF371)</f>
        <v/>
      </c>
      <c r="F371" s="12" t="str">
        <f>IF(D371="","",IF(OR(ISNUMBER(SEARCH("VISITA",D371)),ISNUMBER(SEARCH("RUTA",D371)),ISNUMBER(SEARCH("ARRIB",D371)),ISNUMBER(SEARCH("MATRIZ",D371)),ISNUMBER(SEARCH("PENDIENTE",D371))),"VISITA COORDINADA CON EL CLIENTE","N/A"))</f>
        <v>VISITA COORDINADA CON EL CLIENTE</v>
      </c>
      <c r="G371" s="12" t="str">
        <f>IF(base!G371="","",base!G371)</f>
        <v>2000018857041302</v>
      </c>
      <c r="H371" s="12" t="str">
        <f>IF(base!I371="","",base!I371)</f>
        <v>FLEX</v>
      </c>
      <c r="I371" s="12" t="str">
        <f>IF(base!S371="","",base!S371)</f>
        <v>Prueba 369</v>
      </c>
      <c r="J371" s="12" t="str">
        <f>IF(base!T371="","",base!T371)</f>
        <v>Calle 123
Piso 2</v>
      </c>
      <c r="K371" s="12" t="str">
        <f>IF(base!U371="","",base!U371)</f>
        <v/>
      </c>
      <c r="L371" s="12" t="str">
        <f>IF(base!Y371="","",base!Y371)</f>
        <v/>
      </c>
      <c r="M371" s="12" t="str">
        <f>IF(base!AH371="","",base!AH371)</f>
        <v/>
      </c>
      <c r="N371" s="12" t="str">
        <f>IF(base!AI371="","",base!AI371)</f>
        <v>34.072273</v>
      </c>
      <c r="O371" s="12">
        <f>IF(base!BA371="","",base!BA371)</f>
        <v>1875</v>
      </c>
      <c r="P371" s="13">
        <f>IF(base!BK371="","",base!BK371)</f>
        <v>46303.805902777778</v>
      </c>
      <c r="Q371" s="15" t="str">
        <f>IF(base!BS371="","",base!BS371)</f>
        <v/>
      </c>
    </row>
    <row r="372" spans="1:17" ht="30" x14ac:dyDescent="0.35">
      <c r="A372" s="14">
        <f>IF(base!A372="","",base!A372)</f>
        <v>6200370</v>
      </c>
      <c r="B372" s="13">
        <f>IF(base!BN372="","",base!BN372)</f>
        <v>46303.625</v>
      </c>
      <c r="C372" s="12" t="str">
        <f>IF(base!C372="","",base!C372)</f>
        <v>ZETABURGOS SRL</v>
      </c>
      <c r="D372" s="12" t="str">
        <f>IF(base!E372="","",base!E372)</f>
        <v>ENTREGADO</v>
      </c>
      <c r="E372" s="12" t="str">
        <f>IF(base!BF372="","",base!BF372)</f>
        <v/>
      </c>
      <c r="F372" s="12" t="str">
        <f>IF(D372="","",IF(OR(ISNUMBER(SEARCH("VISITA",D372)),ISNUMBER(SEARCH("RUTA",D372)),ISNUMBER(SEARCH("ARRIB",D372)),ISNUMBER(SEARCH("MATRIZ",D372)),ISNUMBER(SEARCH("PENDIENTE",D372))),"VISITA COORDINADA CON EL CLIENTE","N/A"))</f>
        <v>N/A</v>
      </c>
      <c r="G372" s="12" t="str">
        <f>IF(base!G372="","",base!G372)</f>
        <v>001234</v>
      </c>
      <c r="H372" s="12" t="str">
        <f>IF(base!I372="","",base!I372)</f>
        <v>FLEX</v>
      </c>
      <c r="I372" s="12" t="str">
        <f>IF(base!S372="","",base!S372)</f>
        <v>Prueba 370</v>
      </c>
      <c r="J372" s="12" t="str">
        <f>IF(base!T372="","",base!T372)</f>
        <v>Calle 123
Piso 2</v>
      </c>
      <c r="K372" s="12" t="str">
        <f>IF(base!U372="","",base!U372)</f>
        <v/>
      </c>
      <c r="L372" s="12" t="str">
        <f>IF(base!Y372="","",base!Y372)</f>
        <v/>
      </c>
      <c r="M372" s="12" t="str">
        <f>IF(base!AH372="","",base!AH372)</f>
        <v/>
      </c>
      <c r="N372" s="12" t="str">
        <f>IF(base!AI372="","",base!AI372)</f>
        <v>34.072273</v>
      </c>
      <c r="O372" s="12">
        <f>IF(base!BA372="","",base!BA372)</f>
        <v>1875</v>
      </c>
      <c r="P372" s="13">
        <f>IF(base!BK372="","",base!BK372)</f>
        <v>46303.805902777778</v>
      </c>
      <c r="Q372" s="15" t="str">
        <f>IF(base!BS372="","",base!BS372)</f>
        <v/>
      </c>
    </row>
    <row r="373" spans="1:17" ht="30" x14ac:dyDescent="0.35">
      <c r="A373" s="14">
        <f>IF(base!A373="","",base!A373)</f>
        <v>6200371</v>
      </c>
      <c r="B373" s="13">
        <f>IF(base!BN373="","",base!BN373)</f>
        <v>46303.625</v>
      </c>
      <c r="C373" s="12" t="str">
        <f>IF(base!C373="","",base!C373)</f>
        <v>ZETABURGOS SRL</v>
      </c>
      <c r="D373" s="12" t="str">
        <f>IF(base!E373="","",base!E373)</f>
        <v>REPROGRAMACIÓN</v>
      </c>
      <c r="E373" s="12" t="str">
        <f>IF(base!BF373="","",base!BF373)</f>
        <v/>
      </c>
      <c r="F373" s="12" t="str">
        <f>IF(D373="","",IF(OR(ISNUMBER(SEARCH("VISITA",D373)),ISNUMBER(SEARCH("RUTA",D373)),ISNUMBER(SEARCH("ARRIB",D373)),ISNUMBER(SEARCH("MATRIZ",D373)),ISNUMBER(SEARCH("PENDIENTE",D373))),"VISITA COORDINADA CON EL CLIENTE","N/A"))</f>
        <v>N/A</v>
      </c>
      <c r="G373" s="12" t="str">
        <f>"#ABC"</f>
        <v>#ABC</v>
      </c>
      <c r="H373" s="12" t="str">
        <f>IF(base!I373="","",base!I373)</f>
        <v>SAMEDAY</v>
      </c>
      <c r="I373" s="12" t="str">
        <f>IF(base!S373="","",base!S373)</f>
        <v>Prueba 371</v>
      </c>
      <c r="J373" s="12" t="str">
        <f>IF(base!T373="","",base!T373)</f>
        <v>Calle 123
Piso 2</v>
      </c>
      <c r="K373" s="12" t="str">
        <f>IF(base!U373="","",base!U373)</f>
        <v/>
      </c>
      <c r="L373" s="12" t="str">
        <f>IF(base!Y373="","",base!Y373)</f>
        <v/>
      </c>
      <c r="M373" s="12" t="str">
        <f>IF(base!AH373="","",base!AH373)</f>
        <v/>
      </c>
      <c r="N373" s="12" t="str">
        <f>IF(base!AI373="","",base!AI373)</f>
        <v>34.072273</v>
      </c>
      <c r="O373" s="12">
        <f>IF(base!BA373="","",base!BA373)</f>
        <v>1875</v>
      </c>
      <c r="P373" s="13">
        <f>IF(base!BK373="","",base!BK373)</f>
        <v>46303.805902777778</v>
      </c>
      <c r="Q373" s="15" t="str">
        <f>IF(base!BS373="","",base!BS373)</f>
        <v/>
      </c>
    </row>
    <row r="374" spans="1:17" ht="30" x14ac:dyDescent="0.35">
      <c r="A374" s="14">
        <f>IF(base!A374="","",base!A374)</f>
        <v>6200372</v>
      </c>
      <c r="B374" s="13">
        <f>IF(base!BN374="","",base!BN374)</f>
        <v>46303.625</v>
      </c>
      <c r="C374" s="12" t="str">
        <f>IF(base!C374="","",base!C374)</f>
        <v>ZETABURGOS SRL</v>
      </c>
      <c r="D374" s="12" t="str">
        <f>IF(base!E374="","",base!E374)</f>
        <v>1RVT - 1° VISITA</v>
      </c>
      <c r="E374" s="12" t="str">
        <f>IF(base!BF374="","",base!BF374)</f>
        <v/>
      </c>
      <c r="F374" s="12" t="str">
        <f>IF(D374="","",IF(OR(ISNUMBER(SEARCH("VISITA",D374)),ISNUMBER(SEARCH("RUTA",D374)),ISNUMBER(SEARCH("ARRIB",D374)),ISNUMBER(SEARCH("MATRIZ",D374)),ISNUMBER(SEARCH("PENDIENTE",D374))),"VISITA COORDINADA CON EL CLIENTE","N/A"))</f>
        <v>VISITA COORDINADA CON EL CLIENTE</v>
      </c>
      <c r="G374" s="12">
        <f>IF(base!G374="","",base!G374)</f>
        <v>470123456</v>
      </c>
      <c r="H374" s="12" t="str">
        <f>IF(base!I374="","",base!I374)</f>
        <v>FLEX</v>
      </c>
      <c r="I374" s="12" t="str">
        <f>IF(base!S374="","",base!S374)</f>
        <v>Prueba 372</v>
      </c>
      <c r="J374" s="12" t="str">
        <f>IF(base!T374="","",base!T374)</f>
        <v>Calle 123
Piso 2</v>
      </c>
      <c r="K374" s="12" t="str">
        <f>IF(base!U374="","",base!U374)</f>
        <v/>
      </c>
      <c r="L374" s="12" t="str">
        <f>IF(base!Y374="","",base!Y374)</f>
        <v/>
      </c>
      <c r="M374" s="12" t="str">
        <f>IF(base!AH374="","",base!AH374)</f>
        <v/>
      </c>
      <c r="N374" s="12" t="str">
        <f>IF(base!AI374="","",base!AI374)</f>
        <v>34.072273</v>
      </c>
      <c r="O374" s="12">
        <f>IF(base!BA374="","",base!BA374)</f>
        <v>1875</v>
      </c>
      <c r="P374" s="13">
        <f>IF(base!BK374="","",base!BK374)</f>
        <v>46303.805902777778</v>
      </c>
      <c r="Q374" s="15" t="str">
        <f>IF(base!BS374="","",base!BS374)</f>
        <v/>
      </c>
    </row>
    <row r="375" spans="1:17" ht="30" x14ac:dyDescent="0.35">
      <c r="A375" s="14">
        <f>IF(base!A375="","",base!A375)</f>
        <v>6200373</v>
      </c>
      <c r="B375" s="13">
        <f>IF(base!BN375="","",base!BN375)</f>
        <v>46303.625</v>
      </c>
      <c r="C375" s="12" t="str">
        <f>IF(base!C375="","",base!C375)</f>
        <v>ZETABURGOS SRL</v>
      </c>
      <c r="D375" s="12" t="str">
        <f>IF(base!E375="","",base!E375)</f>
        <v>ENTREGADO</v>
      </c>
      <c r="E375" s="12" t="str">
        <f>IF(base!BF375="","",base!BF375)</f>
        <v/>
      </c>
      <c r="F375" s="12" t="str">
        <f>IF(D375="","",IF(OR(ISNUMBER(SEARCH("VISITA",D375)),ISNUMBER(SEARCH("RUTA",D375)),ISNUMBER(SEARCH("ARRIB",D375)),ISNUMBER(SEARCH("MATRIZ",D375)),ISNUMBER(SEARCH("PENDIENTE",D375))),"VISITA COORDINADA CON EL CLIENTE","N/A"))</f>
        <v>N/A</v>
      </c>
      <c r="G375" s="12" t="str">
        <f>IF(base!G375="","",base!G375)</f>
        <v>ABC001</v>
      </c>
      <c r="H375" s="12" t="str">
        <f>IF(base!I375="","",base!I375)</f>
        <v>SAMEDAY</v>
      </c>
      <c r="I375" s="12" t="str">
        <f>IF(base!S375="","",base!S375)</f>
        <v>Prueba 373</v>
      </c>
      <c r="J375" s="12" t="str">
        <f>IF(base!T375="","",base!T375)</f>
        <v>Calle 123
Piso 2</v>
      </c>
      <c r="K375" s="12" t="str">
        <f>IF(base!U375="","",base!U375)</f>
        <v/>
      </c>
      <c r="L375" s="12" t="str">
        <f>IF(base!Y375="","",base!Y375)</f>
        <v/>
      </c>
      <c r="M375" s="12" t="str">
        <f>IF(base!AH375="","",base!AH375)</f>
        <v/>
      </c>
      <c r="N375" s="12" t="str">
        <f>IF(base!AI375="","",base!AI375)</f>
        <v>34.072273</v>
      </c>
      <c r="O375" s="12">
        <f>IF(base!BA375="","",base!BA375)</f>
        <v>1875</v>
      </c>
      <c r="P375" s="13">
        <f>IF(base!BK375="","",base!BK375)</f>
        <v>46303.805902777778</v>
      </c>
      <c r="Q375" s="15" t="str">
        <f>IF(base!BS375="","",base!BS375)</f>
        <v/>
      </c>
    </row>
    <row r="376" spans="1:17" ht="30" x14ac:dyDescent="0.35">
      <c r="A376" s="14">
        <f>IF(base!A376="","",base!A376)</f>
        <v>6200374</v>
      </c>
      <c r="B376" s="13">
        <f>IF(base!BN376="","",base!BN376)</f>
        <v>46303.625</v>
      </c>
      <c r="C376" s="12" t="str">
        <f>IF(base!C376="","",base!C376)</f>
        <v>ZETABURGOS SRL</v>
      </c>
      <c r="D376" s="12" t="str">
        <f>IF(base!E376="","",base!E376)</f>
        <v>REPROGRAMACIÓN</v>
      </c>
      <c r="E376" s="12" t="str">
        <f>IF(base!BF376="","",base!BF376)</f>
        <v/>
      </c>
      <c r="F376" s="12" t="str">
        <f>IF(D376="","",IF(OR(ISNUMBER(SEARCH("VISITA",D376)),ISNUMBER(SEARCH("RUTA",D376)),ISNUMBER(SEARCH("ARRIB",D376)),ISNUMBER(SEARCH("MATRIZ",D376)),ISNUMBER(SEARCH("PENDIENTE",D376))),"VISITA COORDINADA CON EL CLIENTE","N/A"))</f>
        <v>N/A</v>
      </c>
      <c r="G376" s="12" t="str">
        <f>IF(base!G376="","",base!G376)</f>
        <v>2000018857041302</v>
      </c>
      <c r="H376" s="12" t="str">
        <f>IF(base!I376="","",base!I376)</f>
        <v>FLEX</v>
      </c>
      <c r="I376" s="12" t="str">
        <f>IF(base!S376="","",base!S376)</f>
        <v>Prueba 374</v>
      </c>
      <c r="J376" s="12" t="str">
        <f>IF(base!T376="","",base!T376)</f>
        <v>Calle 123
Piso 2</v>
      </c>
      <c r="K376" s="12" t="str">
        <f>IF(base!U376="","",base!U376)</f>
        <v/>
      </c>
      <c r="L376" s="12" t="str">
        <f>IF(base!Y376="","",base!Y376)</f>
        <v/>
      </c>
      <c r="M376" s="12" t="str">
        <f>IF(base!AH376="","",base!AH376)</f>
        <v/>
      </c>
      <c r="N376" s="12" t="str">
        <f>IF(base!AI376="","",base!AI376)</f>
        <v>34.072273</v>
      </c>
      <c r="O376" s="12">
        <f>IF(base!BA376="","",base!BA376)</f>
        <v>1875</v>
      </c>
      <c r="P376" s="13">
        <f>IF(base!BK376="","",base!BK376)</f>
        <v>46303.805902777778</v>
      </c>
      <c r="Q376" s="15" t="str">
        <f>IF(base!BS376="","",base!BS376)</f>
        <v/>
      </c>
    </row>
    <row r="377" spans="1:17" ht="30" x14ac:dyDescent="0.35">
      <c r="A377" s="14">
        <f>IF(base!A377="","",base!A377)</f>
        <v>6200375</v>
      </c>
      <c r="B377" s="13">
        <f>IF(base!BN377="","",base!BN377)</f>
        <v>46303.625</v>
      </c>
      <c r="C377" s="12" t="str">
        <f>IF(base!C377="","",base!C377)</f>
        <v>ZETABURGOS SRL</v>
      </c>
      <c r="D377" s="12" t="str">
        <f>IF(base!E377="","",base!E377)</f>
        <v>1RVT - 1° VISITA</v>
      </c>
      <c r="E377" s="12" t="str">
        <f>IF(base!BF377="","",base!BF377)</f>
        <v/>
      </c>
      <c r="F377" s="12" t="str">
        <f>IF(D377="","",IF(OR(ISNUMBER(SEARCH("VISITA",D377)),ISNUMBER(SEARCH("RUTA",D377)),ISNUMBER(SEARCH("ARRIB",D377)),ISNUMBER(SEARCH("MATRIZ",D377)),ISNUMBER(SEARCH("PENDIENTE",D377))),"VISITA COORDINADA CON EL CLIENTE","N/A"))</f>
        <v>VISITA COORDINADA CON EL CLIENTE</v>
      </c>
      <c r="G377" s="12" t="str">
        <f>IF(base!G377="","",base!G377)</f>
        <v>001234</v>
      </c>
      <c r="H377" s="12" t="str">
        <f>IF(base!I377="","",base!I377)</f>
        <v>FLEX</v>
      </c>
      <c r="I377" s="12" t="str">
        <f>IF(base!S377="","",base!S377)</f>
        <v>Prueba 375</v>
      </c>
      <c r="J377" s="12" t="str">
        <f>IF(base!T377="","",base!T377)</f>
        <v>Calle 123
Piso 2</v>
      </c>
      <c r="K377" s="12" t="str">
        <f>IF(base!U377="","",base!U377)</f>
        <v/>
      </c>
      <c r="L377" s="12" t="str">
        <f>IF(base!Y377="","",base!Y377)</f>
        <v/>
      </c>
      <c r="M377" s="12" t="str">
        <f>IF(base!AH377="","",base!AH377)</f>
        <v/>
      </c>
      <c r="N377" s="12" t="str">
        <f>IF(base!AI377="","",base!AI377)</f>
        <v>34.072273</v>
      </c>
      <c r="O377" s="12">
        <f>IF(base!BA377="","",base!BA377)</f>
        <v>1875</v>
      </c>
      <c r="P377" s="13">
        <f>IF(base!BK377="","",base!BK377)</f>
        <v>46303.805902777778</v>
      </c>
      <c r="Q377" s="15" t="str">
        <f>IF(base!BS377="","",base!BS377)</f>
        <v/>
      </c>
    </row>
    <row r="378" spans="1:17" ht="30" x14ac:dyDescent="0.35">
      <c r="A378" s="14">
        <f>IF(base!A378="","",base!A378)</f>
        <v>6200376</v>
      </c>
      <c r="B378" s="13">
        <f>IF(base!BN378="","",base!BN378)</f>
        <v>46303.625</v>
      </c>
      <c r="C378" s="12" t="str">
        <f>IF(base!C378="","",base!C378)</f>
        <v>ZETABURGOS SRL</v>
      </c>
      <c r="D378" s="12" t="str">
        <f>IF(base!E378="","",base!E378)</f>
        <v>ENTREGADO</v>
      </c>
      <c r="E378" s="12" t="str">
        <f>IF(base!BF378="","",base!BF378)</f>
        <v/>
      </c>
      <c r="F378" s="12" t="str">
        <f>IF(D378="","",IF(OR(ISNUMBER(SEARCH("VISITA",D378)),ISNUMBER(SEARCH("RUTA",D378)),ISNUMBER(SEARCH("ARRIB",D378)),ISNUMBER(SEARCH("MATRIZ",D378)),ISNUMBER(SEARCH("PENDIENTE",D378))),"VISITA COORDINADA CON EL CLIENTE","N/A"))</f>
        <v>N/A</v>
      </c>
      <c r="G378" s="12" t="str">
        <f>"#ABC"</f>
        <v>#ABC</v>
      </c>
      <c r="H378" s="12" t="str">
        <f>IF(base!I378="","",base!I378)</f>
        <v>SAMEDAY</v>
      </c>
      <c r="I378" s="12" t="str">
        <f>IF(base!S378="","",base!S378)</f>
        <v>Prueba 376</v>
      </c>
      <c r="J378" s="12" t="str">
        <f>IF(base!T378="","",base!T378)</f>
        <v>Calle 123
Piso 2</v>
      </c>
      <c r="K378" s="12" t="str">
        <f>IF(base!U378="","",base!U378)</f>
        <v/>
      </c>
      <c r="L378" s="12" t="str">
        <f>IF(base!Y378="","",base!Y378)</f>
        <v/>
      </c>
      <c r="M378" s="12" t="str">
        <f>IF(base!AH378="","",base!AH378)</f>
        <v/>
      </c>
      <c r="N378" s="12" t="str">
        <f>IF(base!AI378="","",base!AI378)</f>
        <v>34.072273</v>
      </c>
      <c r="O378" s="12">
        <f>IF(base!BA378="","",base!BA378)</f>
        <v>1875</v>
      </c>
      <c r="P378" s="13">
        <f>IF(base!BK378="","",base!BK378)</f>
        <v>46303.805902777778</v>
      </c>
      <c r="Q378" s="15" t="str">
        <f>IF(base!BS378="","",base!BS378)</f>
        <v/>
      </c>
    </row>
    <row r="379" spans="1:17" ht="30" x14ac:dyDescent="0.35">
      <c r="A379" s="14">
        <f>IF(base!A379="","",base!A379)</f>
        <v>6200377</v>
      </c>
      <c r="B379" s="13">
        <f>IF(base!BN379="","",base!BN379)</f>
        <v>46303.625</v>
      </c>
      <c r="C379" s="12" t="str">
        <f>IF(base!C379="","",base!C379)</f>
        <v>ZETABURGOS SRL</v>
      </c>
      <c r="D379" s="12" t="str">
        <f>IF(base!E379="","",base!E379)</f>
        <v>REPROGRAMACIÓN</v>
      </c>
      <c r="E379" s="12" t="str">
        <f>IF(base!BF379="","",base!BF379)</f>
        <v/>
      </c>
      <c r="F379" s="12" t="str">
        <f>IF(D379="","",IF(OR(ISNUMBER(SEARCH("VISITA",D379)),ISNUMBER(SEARCH("RUTA",D379)),ISNUMBER(SEARCH("ARRIB",D379)),ISNUMBER(SEARCH("MATRIZ",D379)),ISNUMBER(SEARCH("PENDIENTE",D379))),"VISITA COORDINADA CON EL CLIENTE","N/A"))</f>
        <v>N/A</v>
      </c>
      <c r="G379" s="12">
        <f>IF(base!G379="","",base!G379)</f>
        <v>470123456</v>
      </c>
      <c r="H379" s="12" t="str">
        <f>IF(base!I379="","",base!I379)</f>
        <v>FLEX</v>
      </c>
      <c r="I379" s="12" t="str">
        <f>IF(base!S379="","",base!S379)</f>
        <v>Prueba 377</v>
      </c>
      <c r="J379" s="12" t="str">
        <f>IF(base!T379="","",base!T379)</f>
        <v>Calle 123
Piso 2</v>
      </c>
      <c r="K379" s="12" t="str">
        <f>IF(base!U379="","",base!U379)</f>
        <v/>
      </c>
      <c r="L379" s="12" t="str">
        <f>IF(base!Y379="","",base!Y379)</f>
        <v/>
      </c>
      <c r="M379" s="12" t="str">
        <f>IF(base!AH379="","",base!AH379)</f>
        <v/>
      </c>
      <c r="N379" s="12" t="str">
        <f>IF(base!AI379="","",base!AI379)</f>
        <v>34.072273</v>
      </c>
      <c r="O379" s="12">
        <f>IF(base!BA379="","",base!BA379)</f>
        <v>1875</v>
      </c>
      <c r="P379" s="13">
        <f>IF(base!BK379="","",base!BK379)</f>
        <v>46303.805902777778</v>
      </c>
      <c r="Q379" s="15" t="str">
        <f>IF(base!BS379="","",base!BS379)</f>
        <v/>
      </c>
    </row>
    <row r="380" spans="1:17" ht="30" x14ac:dyDescent="0.35">
      <c r="A380" s="14">
        <f>IF(base!A380="","",base!A380)</f>
        <v>6200378</v>
      </c>
      <c r="B380" s="13">
        <f>IF(base!BN380="","",base!BN380)</f>
        <v>46303.625</v>
      </c>
      <c r="C380" s="12" t="str">
        <f>IF(base!C380="","",base!C380)</f>
        <v>ZETABURGOS SRL</v>
      </c>
      <c r="D380" s="12" t="str">
        <f>IF(base!E380="","",base!E380)</f>
        <v>1RVT - 1° VISITA</v>
      </c>
      <c r="E380" s="12" t="str">
        <f>IF(base!BF380="","",base!BF380)</f>
        <v/>
      </c>
      <c r="F380" s="12" t="str">
        <f>IF(D380="","",IF(OR(ISNUMBER(SEARCH("VISITA",D380)),ISNUMBER(SEARCH("RUTA",D380)),ISNUMBER(SEARCH("ARRIB",D380)),ISNUMBER(SEARCH("MATRIZ",D380)),ISNUMBER(SEARCH("PENDIENTE",D380))),"VISITA COORDINADA CON EL CLIENTE","N/A"))</f>
        <v>VISITA COORDINADA CON EL CLIENTE</v>
      </c>
      <c r="G380" s="12" t="str">
        <f>IF(base!G380="","",base!G380)</f>
        <v>ABC001</v>
      </c>
      <c r="H380" s="12" t="str">
        <f>IF(base!I380="","",base!I380)</f>
        <v>SAMEDAY</v>
      </c>
      <c r="I380" s="12" t="str">
        <f>IF(base!S380="","",base!S380)</f>
        <v>Prueba 378</v>
      </c>
      <c r="J380" s="12" t="str">
        <f>IF(base!T380="","",base!T380)</f>
        <v>Calle 123
Piso 2</v>
      </c>
      <c r="K380" s="12" t="str">
        <f>IF(base!U380="","",base!U380)</f>
        <v/>
      </c>
      <c r="L380" s="12" t="str">
        <f>IF(base!Y380="","",base!Y380)</f>
        <v/>
      </c>
      <c r="M380" s="12" t="str">
        <f>IF(base!AH380="","",base!AH380)</f>
        <v/>
      </c>
      <c r="N380" s="12" t="str">
        <f>IF(base!AI380="","",base!AI380)</f>
        <v>34.072273</v>
      </c>
      <c r="O380" s="12">
        <f>IF(base!BA380="","",base!BA380)</f>
        <v>1875</v>
      </c>
      <c r="P380" s="13">
        <f>IF(base!BK380="","",base!BK380)</f>
        <v>46303.805902777778</v>
      </c>
      <c r="Q380" s="15" t="str">
        <f>IF(base!BS380="","",base!BS380)</f>
        <v/>
      </c>
    </row>
    <row r="381" spans="1:17" ht="30" x14ac:dyDescent="0.35">
      <c r="A381" s="14">
        <f>IF(base!A381="","",base!A381)</f>
        <v>6200379</v>
      </c>
      <c r="B381" s="13">
        <f>IF(base!BN381="","",base!BN381)</f>
        <v>46303.625</v>
      </c>
      <c r="C381" s="12" t="str">
        <f>IF(base!C381="","",base!C381)</f>
        <v>ZETABURGOS SRL</v>
      </c>
      <c r="D381" s="12" t="str">
        <f>IF(base!E381="","",base!E381)</f>
        <v>ENTREGADO</v>
      </c>
      <c r="E381" s="12" t="str">
        <f>IF(base!BF381="","",base!BF381)</f>
        <v/>
      </c>
      <c r="F381" s="12" t="str">
        <f>IF(D381="","",IF(OR(ISNUMBER(SEARCH("VISITA",D381)),ISNUMBER(SEARCH("RUTA",D381)),ISNUMBER(SEARCH("ARRIB",D381)),ISNUMBER(SEARCH("MATRIZ",D381)),ISNUMBER(SEARCH("PENDIENTE",D381))),"VISITA COORDINADA CON EL CLIENTE","N/A"))</f>
        <v>N/A</v>
      </c>
      <c r="G381" s="12" t="str">
        <f>IF(base!G381="","",base!G381)</f>
        <v>2000018857041302</v>
      </c>
      <c r="H381" s="12" t="str">
        <f>IF(base!I381="","",base!I381)</f>
        <v>FLEX</v>
      </c>
      <c r="I381" s="12" t="str">
        <f>IF(base!S381="","",base!S381)</f>
        <v>Prueba 379</v>
      </c>
      <c r="J381" s="12" t="str">
        <f>IF(base!T381="","",base!T381)</f>
        <v>Calle 123
Piso 2</v>
      </c>
      <c r="K381" s="12" t="str">
        <f>IF(base!U381="","",base!U381)</f>
        <v/>
      </c>
      <c r="L381" s="12" t="str">
        <f>IF(base!Y381="","",base!Y381)</f>
        <v/>
      </c>
      <c r="M381" s="12" t="str">
        <f>IF(base!AH381="","",base!AH381)</f>
        <v/>
      </c>
      <c r="N381" s="12" t="str">
        <f>IF(base!AI381="","",base!AI381)</f>
        <v>34.072273</v>
      </c>
      <c r="O381" s="12">
        <f>IF(base!BA381="","",base!BA381)</f>
        <v>1875</v>
      </c>
      <c r="P381" s="13">
        <f>IF(base!BK381="","",base!BK381)</f>
        <v>46303.805902777778</v>
      </c>
      <c r="Q381" s="15" t="str">
        <f>IF(base!BS381="","",base!BS381)</f>
        <v/>
      </c>
    </row>
    <row r="382" spans="1:17" ht="30" x14ac:dyDescent="0.35">
      <c r="A382" s="14">
        <f>IF(base!A382="","",base!A382)</f>
        <v>6200380</v>
      </c>
      <c r="B382" s="13">
        <f>IF(base!BN382="","",base!BN382)</f>
        <v>46303.625</v>
      </c>
      <c r="C382" s="12" t="str">
        <f>IF(base!C382="","",base!C382)</f>
        <v>ZETABURGOS SRL</v>
      </c>
      <c r="D382" s="12" t="str">
        <f>IF(base!E382="","",base!E382)</f>
        <v>REPROGRAMACIÓN</v>
      </c>
      <c r="E382" s="12" t="str">
        <f>IF(base!BF382="","",base!BF382)</f>
        <v/>
      </c>
      <c r="F382" s="12" t="str">
        <f>IF(D382="","",IF(OR(ISNUMBER(SEARCH("VISITA",D382)),ISNUMBER(SEARCH("RUTA",D382)),ISNUMBER(SEARCH("ARRIB",D382)),ISNUMBER(SEARCH("MATRIZ",D382)),ISNUMBER(SEARCH("PENDIENTE",D382))),"VISITA COORDINADA CON EL CLIENTE","N/A"))</f>
        <v>N/A</v>
      </c>
      <c r="G382" s="12" t="str">
        <f>IF(base!G382="","",base!G382)</f>
        <v>001234</v>
      </c>
      <c r="H382" s="12" t="str">
        <f>IF(base!I382="","",base!I382)</f>
        <v>FLEX</v>
      </c>
      <c r="I382" s="12" t="str">
        <f>IF(base!S382="","",base!S382)</f>
        <v>Prueba 380</v>
      </c>
      <c r="J382" s="12" t="str">
        <f>IF(base!T382="","",base!T382)</f>
        <v>Calle 123
Piso 2</v>
      </c>
      <c r="K382" s="12" t="str">
        <f>IF(base!U382="","",base!U382)</f>
        <v/>
      </c>
      <c r="L382" s="12" t="str">
        <f>IF(base!Y382="","",base!Y382)</f>
        <v/>
      </c>
      <c r="M382" s="12" t="str">
        <f>IF(base!AH382="","",base!AH382)</f>
        <v/>
      </c>
      <c r="N382" s="12" t="str">
        <f>IF(base!AI382="","",base!AI382)</f>
        <v>34.072273</v>
      </c>
      <c r="O382" s="12">
        <f>IF(base!BA382="","",base!BA382)</f>
        <v>1875</v>
      </c>
      <c r="P382" s="13">
        <f>IF(base!BK382="","",base!BK382)</f>
        <v>46303.805902777778</v>
      </c>
      <c r="Q382" s="15" t="str">
        <f>IF(base!BS382="","",base!BS382)</f>
        <v/>
      </c>
    </row>
    <row r="383" spans="1:17" ht="30" x14ac:dyDescent="0.35">
      <c r="A383" s="14">
        <f>IF(base!A383="","",base!A383)</f>
        <v>6200381</v>
      </c>
      <c r="B383" s="13">
        <f>IF(base!BN383="","",base!BN383)</f>
        <v>46303.625</v>
      </c>
      <c r="C383" s="12" t="str">
        <f>IF(base!C383="","",base!C383)</f>
        <v>ZETABURGOS SRL</v>
      </c>
      <c r="D383" s="12" t="str">
        <f>IF(base!E383="","",base!E383)</f>
        <v>1RVT - 1° VISITA</v>
      </c>
      <c r="E383" s="12" t="str">
        <f>IF(base!BF383="","",base!BF383)</f>
        <v/>
      </c>
      <c r="F383" s="12" t="str">
        <f>IF(D383="","",IF(OR(ISNUMBER(SEARCH("VISITA",D383)),ISNUMBER(SEARCH("RUTA",D383)),ISNUMBER(SEARCH("ARRIB",D383)),ISNUMBER(SEARCH("MATRIZ",D383)),ISNUMBER(SEARCH("PENDIENTE",D383))),"VISITA COORDINADA CON EL CLIENTE","N/A"))</f>
        <v>VISITA COORDINADA CON EL CLIENTE</v>
      </c>
      <c r="G383" s="12" t="str">
        <f>"#ABC"</f>
        <v>#ABC</v>
      </c>
      <c r="H383" s="12" t="str">
        <f>IF(base!I383="","",base!I383)</f>
        <v>SAMEDAY</v>
      </c>
      <c r="I383" s="12" t="str">
        <f>IF(base!S383="","",base!S383)</f>
        <v>Prueba 381</v>
      </c>
      <c r="J383" s="12" t="str">
        <f>IF(base!T383="","",base!T383)</f>
        <v>Calle 123
Piso 2</v>
      </c>
      <c r="K383" s="12" t="str">
        <f>IF(base!U383="","",base!U383)</f>
        <v/>
      </c>
      <c r="L383" s="12" t="str">
        <f>IF(base!Y383="","",base!Y383)</f>
        <v/>
      </c>
      <c r="M383" s="12" t="str">
        <f>IF(base!AH383="","",base!AH383)</f>
        <v/>
      </c>
      <c r="N383" s="12" t="str">
        <f>IF(base!AI383="","",base!AI383)</f>
        <v>34.072273</v>
      </c>
      <c r="O383" s="12">
        <f>IF(base!BA383="","",base!BA383)</f>
        <v>1875</v>
      </c>
      <c r="P383" s="13">
        <f>IF(base!BK383="","",base!BK383)</f>
        <v>46303.805902777778</v>
      </c>
      <c r="Q383" s="15" t="str">
        <f>IF(base!BS383="","",base!BS383)</f>
        <v/>
      </c>
    </row>
    <row r="384" spans="1:17" ht="30" x14ac:dyDescent="0.35">
      <c r="A384" s="14">
        <f>IF(base!A384="","",base!A384)</f>
        <v>6200382</v>
      </c>
      <c r="B384" s="13">
        <f>IF(base!BN384="","",base!BN384)</f>
        <v>46303.625</v>
      </c>
      <c r="C384" s="12" t="str">
        <f>IF(base!C384="","",base!C384)</f>
        <v>ZETABURGOS SRL</v>
      </c>
      <c r="D384" s="12" t="str">
        <f>IF(base!E384="","",base!E384)</f>
        <v>ENTREGADO</v>
      </c>
      <c r="E384" s="12" t="str">
        <f>IF(base!BF384="","",base!BF384)</f>
        <v/>
      </c>
      <c r="F384" s="12" t="str">
        <f>IF(D384="","",IF(OR(ISNUMBER(SEARCH("VISITA",D384)),ISNUMBER(SEARCH("RUTA",D384)),ISNUMBER(SEARCH("ARRIB",D384)),ISNUMBER(SEARCH("MATRIZ",D384)),ISNUMBER(SEARCH("PENDIENTE",D384))),"VISITA COORDINADA CON EL CLIENTE","N/A"))</f>
        <v>N/A</v>
      </c>
      <c r="G384" s="12">
        <f>IF(base!G384="","",base!G384)</f>
        <v>470123456</v>
      </c>
      <c r="H384" s="12" t="str">
        <f>IF(base!I384="","",base!I384)</f>
        <v>FLEX</v>
      </c>
      <c r="I384" s="12" t="str">
        <f>IF(base!S384="","",base!S384)</f>
        <v>Prueba 382</v>
      </c>
      <c r="J384" s="12" t="str">
        <f>IF(base!T384="","",base!T384)</f>
        <v>Calle 123
Piso 2</v>
      </c>
      <c r="K384" s="12" t="str">
        <f>IF(base!U384="","",base!U384)</f>
        <v/>
      </c>
      <c r="L384" s="12" t="str">
        <f>IF(base!Y384="","",base!Y384)</f>
        <v/>
      </c>
      <c r="M384" s="12" t="str">
        <f>IF(base!AH384="","",base!AH384)</f>
        <v/>
      </c>
      <c r="N384" s="12" t="str">
        <f>IF(base!AI384="","",base!AI384)</f>
        <v>34.072273</v>
      </c>
      <c r="O384" s="12">
        <f>IF(base!BA384="","",base!BA384)</f>
        <v>1875</v>
      </c>
      <c r="P384" s="13">
        <f>IF(base!BK384="","",base!BK384)</f>
        <v>46303.805902777778</v>
      </c>
      <c r="Q384" s="15" t="str">
        <f>IF(base!BS384="","",base!BS384)</f>
        <v/>
      </c>
    </row>
    <row r="385" spans="1:17" ht="30" x14ac:dyDescent="0.35">
      <c r="A385" s="14">
        <f>IF(base!A385="","",base!A385)</f>
        <v>6200383</v>
      </c>
      <c r="B385" s="13">
        <f>IF(base!BN385="","",base!BN385)</f>
        <v>46303.625</v>
      </c>
      <c r="C385" s="12" t="str">
        <f>IF(base!C385="","",base!C385)</f>
        <v>ZETABURGOS SRL</v>
      </c>
      <c r="D385" s="12" t="str">
        <f>IF(base!E385="","",base!E385)</f>
        <v>REPROGRAMACIÓN</v>
      </c>
      <c r="E385" s="12" t="str">
        <f>IF(base!BF385="","",base!BF385)</f>
        <v/>
      </c>
      <c r="F385" s="12" t="str">
        <f>IF(D385="","",IF(OR(ISNUMBER(SEARCH("VISITA",D385)),ISNUMBER(SEARCH("RUTA",D385)),ISNUMBER(SEARCH("ARRIB",D385)),ISNUMBER(SEARCH("MATRIZ",D385)),ISNUMBER(SEARCH("PENDIENTE",D385))),"VISITA COORDINADA CON EL CLIENTE","N/A"))</f>
        <v>N/A</v>
      </c>
      <c r="G385" s="12" t="str">
        <f>IF(base!G385="","",base!G385)</f>
        <v>ABC001</v>
      </c>
      <c r="H385" s="12" t="str">
        <f>IF(base!I385="","",base!I385)</f>
        <v>SAMEDAY</v>
      </c>
      <c r="I385" s="12" t="str">
        <f>IF(base!S385="","",base!S385)</f>
        <v>Prueba 383</v>
      </c>
      <c r="J385" s="12" t="str">
        <f>IF(base!T385="","",base!T385)</f>
        <v>Calle 123
Piso 2</v>
      </c>
      <c r="K385" s="12" t="str">
        <f>IF(base!U385="","",base!U385)</f>
        <v/>
      </c>
      <c r="L385" s="12" t="str">
        <f>IF(base!Y385="","",base!Y385)</f>
        <v/>
      </c>
      <c r="M385" s="12" t="str">
        <f>IF(base!AH385="","",base!AH385)</f>
        <v/>
      </c>
      <c r="N385" s="12" t="str">
        <f>IF(base!AI385="","",base!AI385)</f>
        <v>34.072273</v>
      </c>
      <c r="O385" s="12">
        <f>IF(base!BA385="","",base!BA385)</f>
        <v>1875</v>
      </c>
      <c r="P385" s="13">
        <f>IF(base!BK385="","",base!BK385)</f>
        <v>46303.805902777778</v>
      </c>
      <c r="Q385" s="15" t="str">
        <f>IF(base!BS385="","",base!BS385)</f>
        <v/>
      </c>
    </row>
    <row r="386" spans="1:17" ht="30" x14ac:dyDescent="0.35">
      <c r="A386" s="14">
        <f>IF(base!A386="","",base!A386)</f>
        <v>6200384</v>
      </c>
      <c r="B386" s="13">
        <f>IF(base!BN386="","",base!BN386)</f>
        <v>46303.625</v>
      </c>
      <c r="C386" s="12" t="str">
        <f>IF(base!C386="","",base!C386)</f>
        <v>ZETABURGOS SRL</v>
      </c>
      <c r="D386" s="12" t="str">
        <f>IF(base!E386="","",base!E386)</f>
        <v>1RVT - 1° VISITA</v>
      </c>
      <c r="E386" s="12" t="str">
        <f>IF(base!BF386="","",base!BF386)</f>
        <v/>
      </c>
      <c r="F386" s="12" t="str">
        <f>IF(D386="","",IF(OR(ISNUMBER(SEARCH("VISITA",D386)),ISNUMBER(SEARCH("RUTA",D386)),ISNUMBER(SEARCH("ARRIB",D386)),ISNUMBER(SEARCH("MATRIZ",D386)),ISNUMBER(SEARCH("PENDIENTE",D386))),"VISITA COORDINADA CON EL CLIENTE","N/A"))</f>
        <v>VISITA COORDINADA CON EL CLIENTE</v>
      </c>
      <c r="G386" s="12" t="str">
        <f>IF(base!G386="","",base!G386)</f>
        <v>2000018857041302</v>
      </c>
      <c r="H386" s="12" t="str">
        <f>IF(base!I386="","",base!I386)</f>
        <v>FLEX</v>
      </c>
      <c r="I386" s="12" t="str">
        <f>IF(base!S386="","",base!S386)</f>
        <v>Prueba 384</v>
      </c>
      <c r="J386" s="12" t="str">
        <f>IF(base!T386="","",base!T386)</f>
        <v>Calle 123
Piso 2</v>
      </c>
      <c r="K386" s="12" t="str">
        <f>IF(base!U386="","",base!U386)</f>
        <v/>
      </c>
      <c r="L386" s="12" t="str">
        <f>IF(base!Y386="","",base!Y386)</f>
        <v/>
      </c>
      <c r="M386" s="12" t="str">
        <f>IF(base!AH386="","",base!AH386)</f>
        <v/>
      </c>
      <c r="N386" s="12" t="str">
        <f>IF(base!AI386="","",base!AI386)</f>
        <v>34.072273</v>
      </c>
      <c r="O386" s="12">
        <f>IF(base!BA386="","",base!BA386)</f>
        <v>1875</v>
      </c>
      <c r="P386" s="13">
        <f>IF(base!BK386="","",base!BK386)</f>
        <v>46303.805902777778</v>
      </c>
      <c r="Q386" s="15" t="str">
        <f>IF(base!BS386="","",base!BS386)</f>
        <v/>
      </c>
    </row>
    <row r="387" spans="1:17" ht="30" x14ac:dyDescent="0.35">
      <c r="A387" s="14">
        <f>IF(base!A387="","",base!A387)</f>
        <v>6200385</v>
      </c>
      <c r="B387" s="13">
        <f>IF(base!BN387="","",base!BN387)</f>
        <v>46303.625</v>
      </c>
      <c r="C387" s="12" t="str">
        <f>IF(base!C387="","",base!C387)</f>
        <v>ZETABURGOS SRL</v>
      </c>
      <c r="D387" s="12" t="str">
        <f>IF(base!E387="","",base!E387)</f>
        <v>ENTREGADO</v>
      </c>
      <c r="E387" s="12" t="str">
        <f>IF(base!BF387="","",base!BF387)</f>
        <v/>
      </c>
      <c r="F387" s="12" t="str">
        <f>IF(D387="","",IF(OR(ISNUMBER(SEARCH("VISITA",D387)),ISNUMBER(SEARCH("RUTA",D387)),ISNUMBER(SEARCH("ARRIB",D387)),ISNUMBER(SEARCH("MATRIZ",D387)),ISNUMBER(SEARCH("PENDIENTE",D387))),"VISITA COORDINADA CON EL CLIENTE","N/A"))</f>
        <v>N/A</v>
      </c>
      <c r="G387" s="12" t="str">
        <f>IF(base!G387="","",base!G387)</f>
        <v>001234</v>
      </c>
      <c r="H387" s="12" t="str">
        <f>IF(base!I387="","",base!I387)</f>
        <v>FLEX</v>
      </c>
      <c r="I387" s="12" t="str">
        <f>IF(base!S387="","",base!S387)</f>
        <v>Prueba 385</v>
      </c>
      <c r="J387" s="12" t="str">
        <f>IF(base!T387="","",base!T387)</f>
        <v>Calle 123
Piso 2</v>
      </c>
      <c r="K387" s="12" t="str">
        <f>IF(base!U387="","",base!U387)</f>
        <v/>
      </c>
      <c r="L387" s="12" t="str">
        <f>IF(base!Y387="","",base!Y387)</f>
        <v/>
      </c>
      <c r="M387" s="12" t="str">
        <f>IF(base!AH387="","",base!AH387)</f>
        <v/>
      </c>
      <c r="N387" s="12" t="str">
        <f>IF(base!AI387="","",base!AI387)</f>
        <v>34.072273</v>
      </c>
      <c r="O387" s="12">
        <f>IF(base!BA387="","",base!BA387)</f>
        <v>1875</v>
      </c>
      <c r="P387" s="13">
        <f>IF(base!BK387="","",base!BK387)</f>
        <v>46303.805902777778</v>
      </c>
      <c r="Q387" s="15" t="str">
        <f>IF(base!BS387="","",base!BS387)</f>
        <v/>
      </c>
    </row>
    <row r="388" spans="1:17" ht="30" x14ac:dyDescent="0.35">
      <c r="A388" s="14">
        <f>IF(base!A388="","",base!A388)</f>
        <v>6200386</v>
      </c>
      <c r="B388" s="13">
        <f>IF(base!BN388="","",base!BN388)</f>
        <v>46303.625</v>
      </c>
      <c r="C388" s="12" t="str">
        <f>IF(base!C388="","",base!C388)</f>
        <v>ZETABURGOS SRL</v>
      </c>
      <c r="D388" s="12" t="str">
        <f>IF(base!E388="","",base!E388)</f>
        <v>REPROGRAMACIÓN</v>
      </c>
      <c r="E388" s="12" t="str">
        <f>IF(base!BF388="","",base!BF388)</f>
        <v/>
      </c>
      <c r="F388" s="12" t="str">
        <f>IF(D388="","",IF(OR(ISNUMBER(SEARCH("VISITA",D388)),ISNUMBER(SEARCH("RUTA",D388)),ISNUMBER(SEARCH("ARRIB",D388)),ISNUMBER(SEARCH("MATRIZ",D388)),ISNUMBER(SEARCH("PENDIENTE",D388))),"VISITA COORDINADA CON EL CLIENTE","N/A"))</f>
        <v>N/A</v>
      </c>
      <c r="G388" s="12" t="str">
        <f>"#ABC"</f>
        <v>#ABC</v>
      </c>
      <c r="H388" s="12" t="str">
        <f>IF(base!I388="","",base!I388)</f>
        <v>SAMEDAY</v>
      </c>
      <c r="I388" s="12" t="str">
        <f>IF(base!S388="","",base!S388)</f>
        <v>Prueba 386</v>
      </c>
      <c r="J388" s="12" t="str">
        <f>IF(base!T388="","",base!T388)</f>
        <v>Calle 123
Piso 2</v>
      </c>
      <c r="K388" s="12" t="str">
        <f>IF(base!U388="","",base!U388)</f>
        <v/>
      </c>
      <c r="L388" s="12" t="str">
        <f>IF(base!Y388="","",base!Y388)</f>
        <v/>
      </c>
      <c r="M388" s="12" t="str">
        <f>IF(base!AH388="","",base!AH388)</f>
        <v/>
      </c>
      <c r="N388" s="12" t="str">
        <f>IF(base!AI388="","",base!AI388)</f>
        <v>34.072273</v>
      </c>
      <c r="O388" s="12">
        <f>IF(base!BA388="","",base!BA388)</f>
        <v>1875</v>
      </c>
      <c r="P388" s="13">
        <f>IF(base!BK388="","",base!BK388)</f>
        <v>46303.805902777778</v>
      </c>
      <c r="Q388" s="15" t="str">
        <f>IF(base!BS388="","",base!BS388)</f>
        <v/>
      </c>
    </row>
    <row r="389" spans="1:17" ht="30" x14ac:dyDescent="0.35">
      <c r="A389" s="14">
        <f>IF(base!A389="","",base!A389)</f>
        <v>6200387</v>
      </c>
      <c r="B389" s="13">
        <f>IF(base!BN389="","",base!BN389)</f>
        <v>46303.625</v>
      </c>
      <c r="C389" s="12" t="str">
        <f>IF(base!C389="","",base!C389)</f>
        <v>ZETABURGOS SRL</v>
      </c>
      <c r="D389" s="12" t="str">
        <f>IF(base!E389="","",base!E389)</f>
        <v>1RVT - 1° VISITA</v>
      </c>
      <c r="E389" s="12" t="str">
        <f>IF(base!BF389="","",base!BF389)</f>
        <v/>
      </c>
      <c r="F389" s="12" t="str">
        <f>IF(D389="","",IF(OR(ISNUMBER(SEARCH("VISITA",D389)),ISNUMBER(SEARCH("RUTA",D389)),ISNUMBER(SEARCH("ARRIB",D389)),ISNUMBER(SEARCH("MATRIZ",D389)),ISNUMBER(SEARCH("PENDIENTE",D389))),"VISITA COORDINADA CON EL CLIENTE","N/A"))</f>
        <v>VISITA COORDINADA CON EL CLIENTE</v>
      </c>
      <c r="G389" s="12">
        <f>IF(base!G389="","",base!G389)</f>
        <v>470123456</v>
      </c>
      <c r="H389" s="12" t="str">
        <f>IF(base!I389="","",base!I389)</f>
        <v>FLEX</v>
      </c>
      <c r="I389" s="12" t="str">
        <f>IF(base!S389="","",base!S389)</f>
        <v>Prueba 387</v>
      </c>
      <c r="J389" s="12" t="str">
        <f>IF(base!T389="","",base!T389)</f>
        <v>Calle 123
Piso 2</v>
      </c>
      <c r="K389" s="12" t="str">
        <f>IF(base!U389="","",base!U389)</f>
        <v/>
      </c>
      <c r="L389" s="12" t="str">
        <f>IF(base!Y389="","",base!Y389)</f>
        <v/>
      </c>
      <c r="M389" s="12" t="str">
        <f>IF(base!AH389="","",base!AH389)</f>
        <v/>
      </c>
      <c r="N389" s="12" t="str">
        <f>IF(base!AI389="","",base!AI389)</f>
        <v>34.072273</v>
      </c>
      <c r="O389" s="12">
        <f>IF(base!BA389="","",base!BA389)</f>
        <v>1875</v>
      </c>
      <c r="P389" s="13">
        <f>IF(base!BK389="","",base!BK389)</f>
        <v>46303.805902777778</v>
      </c>
      <c r="Q389" s="15" t="str">
        <f>IF(base!BS389="","",base!BS389)</f>
        <v/>
      </c>
    </row>
    <row r="390" spans="1:17" ht="30" x14ac:dyDescent="0.35">
      <c r="A390" s="14">
        <f>IF(base!A390="","",base!A390)</f>
        <v>6200388</v>
      </c>
      <c r="B390" s="13">
        <f>IF(base!BN390="","",base!BN390)</f>
        <v>46303.625</v>
      </c>
      <c r="C390" s="12" t="str">
        <f>IF(base!C390="","",base!C390)</f>
        <v>ZETABURGOS SRL</v>
      </c>
      <c r="D390" s="12" t="str">
        <f>IF(base!E390="","",base!E390)</f>
        <v>ENTREGADO</v>
      </c>
      <c r="E390" s="12" t="str">
        <f>IF(base!BF390="","",base!BF390)</f>
        <v/>
      </c>
      <c r="F390" s="12" t="str">
        <f>IF(D390="","",IF(OR(ISNUMBER(SEARCH("VISITA",D390)),ISNUMBER(SEARCH("RUTA",D390)),ISNUMBER(SEARCH("ARRIB",D390)),ISNUMBER(SEARCH("MATRIZ",D390)),ISNUMBER(SEARCH("PENDIENTE",D390))),"VISITA COORDINADA CON EL CLIENTE","N/A"))</f>
        <v>N/A</v>
      </c>
      <c r="G390" s="12" t="str">
        <f>IF(base!G390="","",base!G390)</f>
        <v>ABC001</v>
      </c>
      <c r="H390" s="12" t="str">
        <f>IF(base!I390="","",base!I390)</f>
        <v>SAMEDAY</v>
      </c>
      <c r="I390" s="12" t="str">
        <f>IF(base!S390="","",base!S390)</f>
        <v>Prueba 388</v>
      </c>
      <c r="J390" s="12" t="str">
        <f>IF(base!T390="","",base!T390)</f>
        <v>Calle 123
Piso 2</v>
      </c>
      <c r="K390" s="12" t="str">
        <f>IF(base!U390="","",base!U390)</f>
        <v/>
      </c>
      <c r="L390" s="12" t="str">
        <f>IF(base!Y390="","",base!Y390)</f>
        <v/>
      </c>
      <c r="M390" s="12" t="str">
        <f>IF(base!AH390="","",base!AH390)</f>
        <v/>
      </c>
      <c r="N390" s="12" t="str">
        <f>IF(base!AI390="","",base!AI390)</f>
        <v>34.072273</v>
      </c>
      <c r="O390" s="12">
        <f>IF(base!BA390="","",base!BA390)</f>
        <v>1875</v>
      </c>
      <c r="P390" s="13">
        <f>IF(base!BK390="","",base!BK390)</f>
        <v>46303.805902777778</v>
      </c>
      <c r="Q390" s="15" t="str">
        <f>IF(base!BS390="","",base!BS390)</f>
        <v/>
      </c>
    </row>
    <row r="391" spans="1:17" ht="30" x14ac:dyDescent="0.35">
      <c r="A391" s="14">
        <f>IF(base!A391="","",base!A391)</f>
        <v>6200389</v>
      </c>
      <c r="B391" s="13">
        <f>IF(base!BN391="","",base!BN391)</f>
        <v>46303.625</v>
      </c>
      <c r="C391" s="12" t="str">
        <f>IF(base!C391="","",base!C391)</f>
        <v>ZETABURGOS SRL</v>
      </c>
      <c r="D391" s="12" t="str">
        <f>IF(base!E391="","",base!E391)</f>
        <v>REPROGRAMACIÓN</v>
      </c>
      <c r="E391" s="12" t="str">
        <f>IF(base!BF391="","",base!BF391)</f>
        <v/>
      </c>
      <c r="F391" s="12" t="str">
        <f>IF(D391="","",IF(OR(ISNUMBER(SEARCH("VISITA",D391)),ISNUMBER(SEARCH("RUTA",D391)),ISNUMBER(SEARCH("ARRIB",D391)),ISNUMBER(SEARCH("MATRIZ",D391)),ISNUMBER(SEARCH("PENDIENTE",D391))),"VISITA COORDINADA CON EL CLIENTE","N/A"))</f>
        <v>N/A</v>
      </c>
      <c r="G391" s="12" t="str">
        <f>IF(base!G391="","",base!G391)</f>
        <v>2000018857041302</v>
      </c>
      <c r="H391" s="12" t="str">
        <f>IF(base!I391="","",base!I391)</f>
        <v>FLEX</v>
      </c>
      <c r="I391" s="12" t="str">
        <f>IF(base!S391="","",base!S391)</f>
        <v>Prueba 389</v>
      </c>
      <c r="J391" s="12" t="str">
        <f>IF(base!T391="","",base!T391)</f>
        <v>Calle 123
Piso 2</v>
      </c>
      <c r="K391" s="12" t="str">
        <f>IF(base!U391="","",base!U391)</f>
        <v/>
      </c>
      <c r="L391" s="12" t="str">
        <f>IF(base!Y391="","",base!Y391)</f>
        <v/>
      </c>
      <c r="M391" s="12" t="str">
        <f>IF(base!AH391="","",base!AH391)</f>
        <v/>
      </c>
      <c r="N391" s="12" t="str">
        <f>IF(base!AI391="","",base!AI391)</f>
        <v>34.072273</v>
      </c>
      <c r="O391" s="12">
        <f>IF(base!BA391="","",base!BA391)</f>
        <v>1875</v>
      </c>
      <c r="P391" s="13">
        <f>IF(base!BK391="","",base!BK391)</f>
        <v>46303.805902777778</v>
      </c>
      <c r="Q391" s="15" t="str">
        <f>IF(base!BS391="","",base!BS391)</f>
        <v/>
      </c>
    </row>
    <row r="392" spans="1:17" ht="30" x14ac:dyDescent="0.35">
      <c r="A392" s="14">
        <f>IF(base!A392="","",base!A392)</f>
        <v>6200390</v>
      </c>
      <c r="B392" s="13">
        <f>IF(base!BN392="","",base!BN392)</f>
        <v>46303.625</v>
      </c>
      <c r="C392" s="12" t="str">
        <f>IF(base!C392="","",base!C392)</f>
        <v>ZETABURGOS SRL</v>
      </c>
      <c r="D392" s="12" t="str">
        <f>IF(base!E392="","",base!E392)</f>
        <v>1RVT - 1° VISITA</v>
      </c>
      <c r="E392" s="12" t="str">
        <f>IF(base!BF392="","",base!BF392)</f>
        <v/>
      </c>
      <c r="F392" s="12" t="str">
        <f>IF(D392="","",IF(OR(ISNUMBER(SEARCH("VISITA",D392)),ISNUMBER(SEARCH("RUTA",D392)),ISNUMBER(SEARCH("ARRIB",D392)),ISNUMBER(SEARCH("MATRIZ",D392)),ISNUMBER(SEARCH("PENDIENTE",D392))),"VISITA COORDINADA CON EL CLIENTE","N/A"))</f>
        <v>VISITA COORDINADA CON EL CLIENTE</v>
      </c>
      <c r="G392" s="12" t="str">
        <f>IF(base!G392="","",base!G392)</f>
        <v>001234</v>
      </c>
      <c r="H392" s="12" t="str">
        <f>IF(base!I392="","",base!I392)</f>
        <v>FLEX</v>
      </c>
      <c r="I392" s="12" t="str">
        <f>IF(base!S392="","",base!S392)</f>
        <v>Prueba 390</v>
      </c>
      <c r="J392" s="12" t="str">
        <f>IF(base!T392="","",base!T392)</f>
        <v>Calle 123
Piso 2</v>
      </c>
      <c r="K392" s="12" t="str">
        <f>IF(base!U392="","",base!U392)</f>
        <v/>
      </c>
      <c r="L392" s="12" t="str">
        <f>IF(base!Y392="","",base!Y392)</f>
        <v/>
      </c>
      <c r="M392" s="12" t="str">
        <f>IF(base!AH392="","",base!AH392)</f>
        <v/>
      </c>
      <c r="N392" s="12" t="str">
        <f>IF(base!AI392="","",base!AI392)</f>
        <v>34.072273</v>
      </c>
      <c r="O392" s="12">
        <f>IF(base!BA392="","",base!BA392)</f>
        <v>1875</v>
      </c>
      <c r="P392" s="13">
        <f>IF(base!BK392="","",base!BK392)</f>
        <v>46303.805902777778</v>
      </c>
      <c r="Q392" s="15" t="str">
        <f>IF(base!BS392="","",base!BS392)</f>
        <v/>
      </c>
    </row>
    <row r="393" spans="1:17" ht="30" x14ac:dyDescent="0.35">
      <c r="A393" s="14">
        <f>IF(base!A393="","",base!A393)</f>
        <v>6200391</v>
      </c>
      <c r="B393" s="13">
        <f>IF(base!BN393="","",base!BN393)</f>
        <v>46303.625</v>
      </c>
      <c r="C393" s="12" t="str">
        <f>IF(base!C393="","",base!C393)</f>
        <v>ZETABURGOS SRL</v>
      </c>
      <c r="D393" s="12" t="str">
        <f>IF(base!E393="","",base!E393)</f>
        <v>ENTREGADO</v>
      </c>
      <c r="E393" s="12" t="str">
        <f>IF(base!BF393="","",base!BF393)</f>
        <v/>
      </c>
      <c r="F393" s="12" t="str">
        <f>IF(D393="","",IF(OR(ISNUMBER(SEARCH("VISITA",D393)),ISNUMBER(SEARCH("RUTA",D393)),ISNUMBER(SEARCH("ARRIB",D393)),ISNUMBER(SEARCH("MATRIZ",D393)),ISNUMBER(SEARCH("PENDIENTE",D393))),"VISITA COORDINADA CON EL CLIENTE","N/A"))</f>
        <v>N/A</v>
      </c>
      <c r="G393" s="12" t="str">
        <f>"#ABC"</f>
        <v>#ABC</v>
      </c>
      <c r="H393" s="12" t="str">
        <f>IF(base!I393="","",base!I393)</f>
        <v>SAMEDAY</v>
      </c>
      <c r="I393" s="12" t="str">
        <f>IF(base!S393="","",base!S393)</f>
        <v>Prueba 391</v>
      </c>
      <c r="J393" s="12" t="str">
        <f>IF(base!T393="","",base!T393)</f>
        <v>Calle 123
Piso 2</v>
      </c>
      <c r="K393" s="12" t="str">
        <f>IF(base!U393="","",base!U393)</f>
        <v/>
      </c>
      <c r="L393" s="12" t="str">
        <f>IF(base!Y393="","",base!Y393)</f>
        <v/>
      </c>
      <c r="M393" s="12" t="str">
        <f>IF(base!AH393="","",base!AH393)</f>
        <v/>
      </c>
      <c r="N393" s="12" t="str">
        <f>IF(base!AI393="","",base!AI393)</f>
        <v>34.072273</v>
      </c>
      <c r="O393" s="12">
        <f>IF(base!BA393="","",base!BA393)</f>
        <v>1875</v>
      </c>
      <c r="P393" s="13">
        <f>IF(base!BK393="","",base!BK393)</f>
        <v>46303.805902777778</v>
      </c>
      <c r="Q393" s="15" t="str">
        <f>IF(base!BS393="","",base!BS393)</f>
        <v/>
      </c>
    </row>
    <row r="394" spans="1:17" ht="30" x14ac:dyDescent="0.35">
      <c r="A394" s="14">
        <f>IF(base!A394="","",base!A394)</f>
        <v>6200392</v>
      </c>
      <c r="B394" s="13">
        <f>IF(base!BN394="","",base!BN394)</f>
        <v>46303.625</v>
      </c>
      <c r="C394" s="12" t="str">
        <f>IF(base!C394="","",base!C394)</f>
        <v>ZETABURGOS SRL</v>
      </c>
      <c r="D394" s="12" t="str">
        <f>IF(base!E394="","",base!E394)</f>
        <v>REPROGRAMACIÓN</v>
      </c>
      <c r="E394" s="12" t="str">
        <f>IF(base!BF394="","",base!BF394)</f>
        <v/>
      </c>
      <c r="F394" s="12" t="str">
        <f>IF(D394="","",IF(OR(ISNUMBER(SEARCH("VISITA",D394)),ISNUMBER(SEARCH("RUTA",D394)),ISNUMBER(SEARCH("ARRIB",D394)),ISNUMBER(SEARCH("MATRIZ",D394)),ISNUMBER(SEARCH("PENDIENTE",D394))),"VISITA COORDINADA CON EL CLIENTE","N/A"))</f>
        <v>N/A</v>
      </c>
      <c r="G394" s="12">
        <f>IF(base!G394="","",base!G394)</f>
        <v>470123456</v>
      </c>
      <c r="H394" s="12" t="str">
        <f>IF(base!I394="","",base!I394)</f>
        <v>FLEX</v>
      </c>
      <c r="I394" s="12" t="str">
        <f>IF(base!S394="","",base!S394)</f>
        <v>Prueba 392</v>
      </c>
      <c r="J394" s="12" t="str">
        <f>IF(base!T394="","",base!T394)</f>
        <v>Calle 123
Piso 2</v>
      </c>
      <c r="K394" s="12" t="str">
        <f>IF(base!U394="","",base!U394)</f>
        <v/>
      </c>
      <c r="L394" s="12" t="str">
        <f>IF(base!Y394="","",base!Y394)</f>
        <v/>
      </c>
      <c r="M394" s="12" t="str">
        <f>IF(base!AH394="","",base!AH394)</f>
        <v/>
      </c>
      <c r="N394" s="12" t="str">
        <f>IF(base!AI394="","",base!AI394)</f>
        <v>34.072273</v>
      </c>
      <c r="O394" s="12">
        <f>IF(base!BA394="","",base!BA394)</f>
        <v>1875</v>
      </c>
      <c r="P394" s="13">
        <f>IF(base!BK394="","",base!BK394)</f>
        <v>46303.805902777778</v>
      </c>
      <c r="Q394" s="15" t="str">
        <f>IF(base!BS394="","",base!BS394)</f>
        <v/>
      </c>
    </row>
    <row r="395" spans="1:17" ht="30" x14ac:dyDescent="0.35">
      <c r="A395" s="14">
        <f>IF(base!A395="","",base!A395)</f>
        <v>6200393</v>
      </c>
      <c r="B395" s="13">
        <f>IF(base!BN395="","",base!BN395)</f>
        <v>46303.625</v>
      </c>
      <c r="C395" s="12" t="str">
        <f>IF(base!C395="","",base!C395)</f>
        <v>ZETABURGOS SRL</v>
      </c>
      <c r="D395" s="12" t="str">
        <f>IF(base!E395="","",base!E395)</f>
        <v>1RVT - 1° VISITA</v>
      </c>
      <c r="E395" s="12" t="str">
        <f>IF(base!BF395="","",base!BF395)</f>
        <v/>
      </c>
      <c r="F395" s="12" t="str">
        <f>IF(D395="","",IF(OR(ISNUMBER(SEARCH("VISITA",D395)),ISNUMBER(SEARCH("RUTA",D395)),ISNUMBER(SEARCH("ARRIB",D395)),ISNUMBER(SEARCH("MATRIZ",D395)),ISNUMBER(SEARCH("PENDIENTE",D395))),"VISITA COORDINADA CON EL CLIENTE","N/A"))</f>
        <v>VISITA COORDINADA CON EL CLIENTE</v>
      </c>
      <c r="G395" s="12" t="str">
        <f>IF(base!G395="","",base!G395)</f>
        <v>ABC001</v>
      </c>
      <c r="H395" s="12" t="str">
        <f>IF(base!I395="","",base!I395)</f>
        <v>SAMEDAY</v>
      </c>
      <c r="I395" s="12" t="str">
        <f>IF(base!S395="","",base!S395)</f>
        <v>Prueba 393</v>
      </c>
      <c r="J395" s="12" t="str">
        <f>IF(base!T395="","",base!T395)</f>
        <v>Calle 123
Piso 2</v>
      </c>
      <c r="K395" s="12" t="str">
        <f>IF(base!U395="","",base!U395)</f>
        <v/>
      </c>
      <c r="L395" s="12" t="str">
        <f>IF(base!Y395="","",base!Y395)</f>
        <v/>
      </c>
      <c r="M395" s="12" t="str">
        <f>IF(base!AH395="","",base!AH395)</f>
        <v/>
      </c>
      <c r="N395" s="12" t="str">
        <f>IF(base!AI395="","",base!AI395)</f>
        <v>34.072273</v>
      </c>
      <c r="O395" s="12">
        <f>IF(base!BA395="","",base!BA395)</f>
        <v>1875</v>
      </c>
      <c r="P395" s="13">
        <f>IF(base!BK395="","",base!BK395)</f>
        <v>46303.805902777778</v>
      </c>
      <c r="Q395" s="15" t="str">
        <f>IF(base!BS395="","",base!BS395)</f>
        <v/>
      </c>
    </row>
    <row r="396" spans="1:17" ht="30" x14ac:dyDescent="0.35">
      <c r="A396" s="14">
        <f>IF(base!A396="","",base!A396)</f>
        <v>6200394</v>
      </c>
      <c r="B396" s="13">
        <f>IF(base!BN396="","",base!BN396)</f>
        <v>46303.625</v>
      </c>
      <c r="C396" s="12" t="str">
        <f>IF(base!C396="","",base!C396)</f>
        <v>ZETABURGOS SRL</v>
      </c>
      <c r="D396" s="12" t="str">
        <f>IF(base!E396="","",base!E396)</f>
        <v>ENTREGADO</v>
      </c>
      <c r="E396" s="12" t="str">
        <f>IF(base!BF396="","",base!BF396)</f>
        <v/>
      </c>
      <c r="F396" s="12" t="str">
        <f>IF(D396="","",IF(OR(ISNUMBER(SEARCH("VISITA",D396)),ISNUMBER(SEARCH("RUTA",D396)),ISNUMBER(SEARCH("ARRIB",D396)),ISNUMBER(SEARCH("MATRIZ",D396)),ISNUMBER(SEARCH("PENDIENTE",D396))),"VISITA COORDINADA CON EL CLIENTE","N/A"))</f>
        <v>N/A</v>
      </c>
      <c r="G396" s="12" t="str">
        <f>IF(base!G396="","",base!G396)</f>
        <v>2000018857041302</v>
      </c>
      <c r="H396" s="12" t="str">
        <f>IF(base!I396="","",base!I396)</f>
        <v>FLEX</v>
      </c>
      <c r="I396" s="12" t="str">
        <f>IF(base!S396="","",base!S396)</f>
        <v>Prueba 394</v>
      </c>
      <c r="J396" s="12" t="str">
        <f>IF(base!T396="","",base!T396)</f>
        <v>Calle 123
Piso 2</v>
      </c>
      <c r="K396" s="12" t="str">
        <f>IF(base!U396="","",base!U396)</f>
        <v/>
      </c>
      <c r="L396" s="12" t="str">
        <f>IF(base!Y396="","",base!Y396)</f>
        <v/>
      </c>
      <c r="M396" s="12" t="str">
        <f>IF(base!AH396="","",base!AH396)</f>
        <v/>
      </c>
      <c r="N396" s="12" t="str">
        <f>IF(base!AI396="","",base!AI396)</f>
        <v>34.072273</v>
      </c>
      <c r="O396" s="12">
        <f>IF(base!BA396="","",base!BA396)</f>
        <v>1875</v>
      </c>
      <c r="P396" s="13">
        <f>IF(base!BK396="","",base!BK396)</f>
        <v>46303.805902777778</v>
      </c>
      <c r="Q396" s="15" t="str">
        <f>IF(base!BS396="","",base!BS396)</f>
        <v/>
      </c>
    </row>
    <row r="397" spans="1:17" ht="30" x14ac:dyDescent="0.35">
      <c r="A397" s="14">
        <f>IF(base!A397="","",base!A397)</f>
        <v>6200395</v>
      </c>
      <c r="B397" s="13">
        <f>IF(base!BN397="","",base!BN397)</f>
        <v>46303.625</v>
      </c>
      <c r="C397" s="12" t="str">
        <f>IF(base!C397="","",base!C397)</f>
        <v>ZETABURGOS SRL</v>
      </c>
      <c r="D397" s="12" t="str">
        <f>IF(base!E397="","",base!E397)</f>
        <v>REPROGRAMACIÓN</v>
      </c>
      <c r="E397" s="12" t="str">
        <f>IF(base!BF397="","",base!BF397)</f>
        <v/>
      </c>
      <c r="F397" s="12" t="str">
        <f>IF(D397="","",IF(OR(ISNUMBER(SEARCH("VISITA",D397)),ISNUMBER(SEARCH("RUTA",D397)),ISNUMBER(SEARCH("ARRIB",D397)),ISNUMBER(SEARCH("MATRIZ",D397)),ISNUMBER(SEARCH("PENDIENTE",D397))),"VISITA COORDINADA CON EL CLIENTE","N/A"))</f>
        <v>N/A</v>
      </c>
      <c r="G397" s="12" t="str">
        <f>IF(base!G397="","",base!G397)</f>
        <v>001234</v>
      </c>
      <c r="H397" s="12" t="str">
        <f>IF(base!I397="","",base!I397)</f>
        <v>FLEX</v>
      </c>
      <c r="I397" s="12" t="str">
        <f>IF(base!S397="","",base!S397)</f>
        <v>Prueba 395</v>
      </c>
      <c r="J397" s="12" t="str">
        <f>IF(base!T397="","",base!T397)</f>
        <v>Calle 123
Piso 2</v>
      </c>
      <c r="K397" s="12" t="str">
        <f>IF(base!U397="","",base!U397)</f>
        <v/>
      </c>
      <c r="L397" s="12" t="str">
        <f>IF(base!Y397="","",base!Y397)</f>
        <v/>
      </c>
      <c r="M397" s="12" t="str">
        <f>IF(base!AH397="","",base!AH397)</f>
        <v/>
      </c>
      <c r="N397" s="12" t="str">
        <f>IF(base!AI397="","",base!AI397)</f>
        <v>34.072273</v>
      </c>
      <c r="O397" s="12">
        <f>IF(base!BA397="","",base!BA397)</f>
        <v>1875</v>
      </c>
      <c r="P397" s="13">
        <f>IF(base!BK397="","",base!BK397)</f>
        <v>46303.805902777778</v>
      </c>
      <c r="Q397" s="15" t="str">
        <f>IF(base!BS397="","",base!BS397)</f>
        <v/>
      </c>
    </row>
    <row r="398" spans="1:17" ht="30" x14ac:dyDescent="0.35">
      <c r="A398" s="14">
        <f>IF(base!A398="","",base!A398)</f>
        <v>6200396</v>
      </c>
      <c r="B398" s="13">
        <f>IF(base!BN398="","",base!BN398)</f>
        <v>46303.625</v>
      </c>
      <c r="C398" s="12" t="str">
        <f>IF(base!C398="","",base!C398)</f>
        <v>ZETABURGOS SRL</v>
      </c>
      <c r="D398" s="12" t="str">
        <f>IF(base!E398="","",base!E398)</f>
        <v>1RVT - 1° VISITA</v>
      </c>
      <c r="E398" s="12" t="str">
        <f>IF(base!BF398="","",base!BF398)</f>
        <v/>
      </c>
      <c r="F398" s="12" t="str">
        <f>IF(D398="","",IF(OR(ISNUMBER(SEARCH("VISITA",D398)),ISNUMBER(SEARCH("RUTA",D398)),ISNUMBER(SEARCH("ARRIB",D398)),ISNUMBER(SEARCH("MATRIZ",D398)),ISNUMBER(SEARCH("PENDIENTE",D398))),"VISITA COORDINADA CON EL CLIENTE","N/A"))</f>
        <v>VISITA COORDINADA CON EL CLIENTE</v>
      </c>
      <c r="G398" s="12" t="str">
        <f>"#ABC"</f>
        <v>#ABC</v>
      </c>
      <c r="H398" s="12" t="str">
        <f>IF(base!I398="","",base!I398)</f>
        <v>SAMEDAY</v>
      </c>
      <c r="I398" s="12" t="str">
        <f>IF(base!S398="","",base!S398)</f>
        <v>Prueba 396</v>
      </c>
      <c r="J398" s="12" t="str">
        <f>IF(base!T398="","",base!T398)</f>
        <v>Calle 123
Piso 2</v>
      </c>
      <c r="K398" s="12" t="str">
        <f>IF(base!U398="","",base!U398)</f>
        <v/>
      </c>
      <c r="L398" s="12" t="str">
        <f>IF(base!Y398="","",base!Y398)</f>
        <v/>
      </c>
      <c r="M398" s="12" t="str">
        <f>IF(base!AH398="","",base!AH398)</f>
        <v/>
      </c>
      <c r="N398" s="12" t="str">
        <f>IF(base!AI398="","",base!AI398)</f>
        <v>34.072273</v>
      </c>
      <c r="O398" s="12">
        <f>IF(base!BA398="","",base!BA398)</f>
        <v>1875</v>
      </c>
      <c r="P398" s="13">
        <f>IF(base!BK398="","",base!BK398)</f>
        <v>46303.805902777778</v>
      </c>
      <c r="Q398" s="15" t="str">
        <f>IF(base!BS398="","",base!BS398)</f>
        <v/>
      </c>
    </row>
    <row r="399" spans="1:17" ht="30" x14ac:dyDescent="0.35">
      <c r="A399" s="14">
        <f>IF(base!A399="","",base!A399)</f>
        <v>6200397</v>
      </c>
      <c r="B399" s="13">
        <f>IF(base!BN399="","",base!BN399)</f>
        <v>46303.625</v>
      </c>
      <c r="C399" s="12" t="str">
        <f>IF(base!C399="","",base!C399)</f>
        <v>ZETABURGOS SRL</v>
      </c>
      <c r="D399" s="12" t="str">
        <f>IF(base!E399="","",base!E399)</f>
        <v>ENTREGADO</v>
      </c>
      <c r="E399" s="12" t="str">
        <f>IF(base!BF399="","",base!BF399)</f>
        <v/>
      </c>
      <c r="F399" s="12" t="str">
        <f>IF(D399="","",IF(OR(ISNUMBER(SEARCH("VISITA",D399)),ISNUMBER(SEARCH("RUTA",D399)),ISNUMBER(SEARCH("ARRIB",D399)),ISNUMBER(SEARCH("MATRIZ",D399)),ISNUMBER(SEARCH("PENDIENTE",D399))),"VISITA COORDINADA CON EL CLIENTE","N/A"))</f>
        <v>N/A</v>
      </c>
      <c r="G399" s="12">
        <f>IF(base!G399="","",base!G399)</f>
        <v>470123456</v>
      </c>
      <c r="H399" s="12" t="str">
        <f>IF(base!I399="","",base!I399)</f>
        <v>FLEX</v>
      </c>
      <c r="I399" s="12" t="str">
        <f>IF(base!S399="","",base!S399)</f>
        <v>Prueba 397</v>
      </c>
      <c r="J399" s="12" t="str">
        <f>IF(base!T399="","",base!T399)</f>
        <v>Calle 123
Piso 2</v>
      </c>
      <c r="K399" s="12" t="str">
        <f>IF(base!U399="","",base!U399)</f>
        <v/>
      </c>
      <c r="L399" s="12" t="str">
        <f>IF(base!Y399="","",base!Y399)</f>
        <v/>
      </c>
      <c r="M399" s="12" t="str">
        <f>IF(base!AH399="","",base!AH399)</f>
        <v/>
      </c>
      <c r="N399" s="12" t="str">
        <f>IF(base!AI399="","",base!AI399)</f>
        <v>34.072273</v>
      </c>
      <c r="O399" s="12">
        <f>IF(base!BA399="","",base!BA399)</f>
        <v>1875</v>
      </c>
      <c r="P399" s="13">
        <f>IF(base!BK399="","",base!BK399)</f>
        <v>46303.805902777778</v>
      </c>
      <c r="Q399" s="15" t="str">
        <f>IF(base!BS399="","",base!BS399)</f>
        <v/>
      </c>
    </row>
    <row r="400" spans="1:17" ht="30" x14ac:dyDescent="0.35">
      <c r="A400" s="14">
        <f>IF(base!A400="","",base!A400)</f>
        <v>6200398</v>
      </c>
      <c r="B400" s="13">
        <f>IF(base!BN400="","",base!BN400)</f>
        <v>46303.625</v>
      </c>
      <c r="C400" s="12" t="str">
        <f>IF(base!C400="","",base!C400)</f>
        <v>ZETABURGOS SRL</v>
      </c>
      <c r="D400" s="12" t="str">
        <f>IF(base!E400="","",base!E400)</f>
        <v>REPROGRAMACIÓN</v>
      </c>
      <c r="E400" s="12" t="str">
        <f>IF(base!BF400="","",base!BF400)</f>
        <v/>
      </c>
      <c r="F400" s="12" t="str">
        <f>IF(D400="","",IF(OR(ISNUMBER(SEARCH("VISITA",D400)),ISNUMBER(SEARCH("RUTA",D400)),ISNUMBER(SEARCH("ARRIB",D400)),ISNUMBER(SEARCH("MATRIZ",D400)),ISNUMBER(SEARCH("PENDIENTE",D400))),"VISITA COORDINADA CON EL CLIENTE","N/A"))</f>
        <v>N/A</v>
      </c>
      <c r="G400" s="12" t="str">
        <f>IF(base!G400="","",base!G400)</f>
        <v>ABC001</v>
      </c>
      <c r="H400" s="12" t="str">
        <f>IF(base!I400="","",base!I400)</f>
        <v>SAMEDAY</v>
      </c>
      <c r="I400" s="12" t="str">
        <f>IF(base!S400="","",base!S400)</f>
        <v>Prueba 398</v>
      </c>
      <c r="J400" s="12" t="str">
        <f>IF(base!T400="","",base!T400)</f>
        <v>Calle 123
Piso 2</v>
      </c>
      <c r="K400" s="12" t="str">
        <f>IF(base!U400="","",base!U400)</f>
        <v/>
      </c>
      <c r="L400" s="12" t="str">
        <f>IF(base!Y400="","",base!Y400)</f>
        <v/>
      </c>
      <c r="M400" s="12" t="str">
        <f>IF(base!AH400="","",base!AH400)</f>
        <v/>
      </c>
      <c r="N400" s="12" t="str">
        <f>IF(base!AI400="","",base!AI400)</f>
        <v>34.072273</v>
      </c>
      <c r="O400" s="12">
        <f>IF(base!BA400="","",base!BA400)</f>
        <v>1875</v>
      </c>
      <c r="P400" s="13">
        <f>IF(base!BK400="","",base!BK400)</f>
        <v>46303.805902777778</v>
      </c>
      <c r="Q400" s="15" t="str">
        <f>IF(base!BS400="","",base!BS400)</f>
        <v/>
      </c>
    </row>
    <row r="401" spans="1:17" ht="30" x14ac:dyDescent="0.35">
      <c r="A401" s="14">
        <f>IF(base!A401="","",base!A401)</f>
        <v>6200399</v>
      </c>
      <c r="B401" s="13">
        <f>IF(base!BN401="","",base!BN401)</f>
        <v>46303.625</v>
      </c>
      <c r="C401" s="12" t="str">
        <f>IF(base!C401="","",base!C401)</f>
        <v>ZETABURGOS SRL</v>
      </c>
      <c r="D401" s="12" t="str">
        <f>IF(base!E401="","",base!E401)</f>
        <v>1RVT - 1° VISITA</v>
      </c>
      <c r="E401" s="12" t="str">
        <f>IF(base!BF401="","",base!BF401)</f>
        <v/>
      </c>
      <c r="F401" s="12" t="str">
        <f>IF(D401="","",IF(OR(ISNUMBER(SEARCH("VISITA",D401)),ISNUMBER(SEARCH("RUTA",D401)),ISNUMBER(SEARCH("ARRIB",D401)),ISNUMBER(SEARCH("MATRIZ",D401)),ISNUMBER(SEARCH("PENDIENTE",D401))),"VISITA COORDINADA CON EL CLIENTE","N/A"))</f>
        <v>VISITA COORDINADA CON EL CLIENTE</v>
      </c>
      <c r="G401" s="12" t="str">
        <f>IF(base!G401="","",base!G401)</f>
        <v>2000018857041302</v>
      </c>
      <c r="H401" s="12" t="str">
        <f>IF(base!I401="","",base!I401)</f>
        <v>FLEX</v>
      </c>
      <c r="I401" s="12" t="str">
        <f>IF(base!S401="","",base!S401)</f>
        <v>Prueba 399</v>
      </c>
      <c r="J401" s="12" t="str">
        <f>IF(base!T401="","",base!T401)</f>
        <v>Calle 123
Piso 2</v>
      </c>
      <c r="K401" s="12" t="str">
        <f>IF(base!U401="","",base!U401)</f>
        <v/>
      </c>
      <c r="L401" s="12" t="str">
        <f>IF(base!Y401="","",base!Y401)</f>
        <v/>
      </c>
      <c r="M401" s="12" t="str">
        <f>IF(base!AH401="","",base!AH401)</f>
        <v/>
      </c>
      <c r="N401" s="12" t="str">
        <f>IF(base!AI401="","",base!AI401)</f>
        <v>34.072273</v>
      </c>
      <c r="O401" s="12">
        <f>IF(base!BA401="","",base!BA401)</f>
        <v>1875</v>
      </c>
      <c r="P401" s="13">
        <f>IF(base!BK401="","",base!BK401)</f>
        <v>46303.805902777778</v>
      </c>
      <c r="Q401" s="15" t="str">
        <f>IF(base!BS401="","",base!BS401)</f>
        <v/>
      </c>
    </row>
    <row r="402" spans="1:17" ht="30" x14ac:dyDescent="0.35">
      <c r="A402" s="14">
        <f>IF(base!A402="","",base!A402)</f>
        <v>6200400</v>
      </c>
      <c r="B402" s="13">
        <f>IF(base!BN402="","",base!BN402)</f>
        <v>46303.625</v>
      </c>
      <c r="C402" s="12" t="str">
        <f>IF(base!C402="","",base!C402)</f>
        <v>ZETABURGOS SRL</v>
      </c>
      <c r="D402" s="12" t="str">
        <f>IF(base!E402="","",base!E402)</f>
        <v>ENTREGADO</v>
      </c>
      <c r="E402" s="12" t="str">
        <f>IF(base!BF402="","",base!BF402)</f>
        <v/>
      </c>
      <c r="F402" s="12" t="str">
        <f>IF(D402="","",IF(OR(ISNUMBER(SEARCH("VISITA",D402)),ISNUMBER(SEARCH("RUTA",D402)),ISNUMBER(SEARCH("ARRIB",D402)),ISNUMBER(SEARCH("MATRIZ",D402)),ISNUMBER(SEARCH("PENDIENTE",D402))),"VISITA COORDINADA CON EL CLIENTE","N/A"))</f>
        <v>N/A</v>
      </c>
      <c r="G402" s="12" t="str">
        <f>IF(base!G402="","",base!G402)</f>
        <v>001234</v>
      </c>
      <c r="H402" s="12" t="str">
        <f>IF(base!I402="","",base!I402)</f>
        <v>FLEX</v>
      </c>
      <c r="I402" s="12" t="str">
        <f>IF(base!S402="","",base!S402)</f>
        <v>Prueba 400</v>
      </c>
      <c r="J402" s="12" t="str">
        <f>IF(base!T402="","",base!T402)</f>
        <v>Calle 123
Piso 2</v>
      </c>
      <c r="K402" s="12" t="str">
        <f>IF(base!U402="","",base!U402)</f>
        <v/>
      </c>
      <c r="L402" s="12" t="str">
        <f>IF(base!Y402="","",base!Y402)</f>
        <v/>
      </c>
      <c r="M402" s="12" t="str">
        <f>IF(base!AH402="","",base!AH402)</f>
        <v/>
      </c>
      <c r="N402" s="12" t="str">
        <f>IF(base!AI402="","",base!AI402)</f>
        <v>34.072273</v>
      </c>
      <c r="O402" s="12">
        <f>IF(base!BA402="","",base!BA402)</f>
        <v>1875</v>
      </c>
      <c r="P402" s="13">
        <f>IF(base!BK402="","",base!BK402)</f>
        <v>46303.805902777778</v>
      </c>
      <c r="Q402" s="15" t="str">
        <f>IF(base!BS402="","",base!BS402)</f>
        <v/>
      </c>
    </row>
    <row r="403" spans="1:17" ht="30" x14ac:dyDescent="0.35">
      <c r="A403" s="14">
        <f>IF(base!A403="","",base!A403)</f>
        <v>6200401</v>
      </c>
      <c r="B403" s="13">
        <f>IF(base!BN403="","",base!BN403)</f>
        <v>46303.625</v>
      </c>
      <c r="C403" s="12" t="str">
        <f>IF(base!C403="","",base!C403)</f>
        <v>ZETABURGOS SRL</v>
      </c>
      <c r="D403" s="12" t="str">
        <f>IF(base!E403="","",base!E403)</f>
        <v>REPROGRAMACIÓN</v>
      </c>
      <c r="E403" s="12" t="str">
        <f>IF(base!BF403="","",base!BF403)</f>
        <v/>
      </c>
      <c r="F403" s="12" t="str">
        <f>IF(D403="","",IF(OR(ISNUMBER(SEARCH("VISITA",D403)),ISNUMBER(SEARCH("RUTA",D403)),ISNUMBER(SEARCH("ARRIB",D403)),ISNUMBER(SEARCH("MATRIZ",D403)),ISNUMBER(SEARCH("PENDIENTE",D403))),"VISITA COORDINADA CON EL CLIENTE","N/A"))</f>
        <v>N/A</v>
      </c>
      <c r="G403" s="12" t="str">
        <f>"#ABC"</f>
        <v>#ABC</v>
      </c>
      <c r="H403" s="12" t="str">
        <f>IF(base!I403="","",base!I403)</f>
        <v>SAMEDAY</v>
      </c>
      <c r="I403" s="12" t="str">
        <f>IF(base!S403="","",base!S403)</f>
        <v>Prueba 401</v>
      </c>
      <c r="J403" s="12" t="str">
        <f>IF(base!T403="","",base!T403)</f>
        <v>Calle 123
Piso 2</v>
      </c>
      <c r="K403" s="12" t="str">
        <f>IF(base!U403="","",base!U403)</f>
        <v/>
      </c>
      <c r="L403" s="12" t="str">
        <f>IF(base!Y403="","",base!Y403)</f>
        <v/>
      </c>
      <c r="M403" s="12" t="str">
        <f>IF(base!AH403="","",base!AH403)</f>
        <v/>
      </c>
      <c r="N403" s="12" t="str">
        <f>IF(base!AI403="","",base!AI403)</f>
        <v>34.072273</v>
      </c>
      <c r="O403" s="12">
        <f>IF(base!BA403="","",base!BA403)</f>
        <v>1875</v>
      </c>
      <c r="P403" s="13">
        <f>IF(base!BK403="","",base!BK403)</f>
        <v>46303.805902777778</v>
      </c>
      <c r="Q403" s="15" t="str">
        <f>IF(base!BS403="","",base!BS403)</f>
        <v/>
      </c>
    </row>
    <row r="404" spans="1:17" ht="30" x14ac:dyDescent="0.35">
      <c r="A404" s="14">
        <f>IF(base!A404="","",base!A404)</f>
        <v>6200402</v>
      </c>
      <c r="B404" s="13">
        <f>IF(base!BN404="","",base!BN404)</f>
        <v>46303.625</v>
      </c>
      <c r="C404" s="12" t="str">
        <f>IF(base!C404="","",base!C404)</f>
        <v>ZETABURGOS SRL</v>
      </c>
      <c r="D404" s="12" t="str">
        <f>IF(base!E404="","",base!E404)</f>
        <v>1RVT - 1° VISITA</v>
      </c>
      <c r="E404" s="12" t="str">
        <f>IF(base!BF404="","",base!BF404)</f>
        <v/>
      </c>
      <c r="F404" s="12" t="str">
        <f>IF(D404="","",IF(OR(ISNUMBER(SEARCH("VISITA",D404)),ISNUMBER(SEARCH("RUTA",D404)),ISNUMBER(SEARCH("ARRIB",D404)),ISNUMBER(SEARCH("MATRIZ",D404)),ISNUMBER(SEARCH("PENDIENTE",D404))),"VISITA COORDINADA CON EL CLIENTE","N/A"))</f>
        <v>VISITA COORDINADA CON EL CLIENTE</v>
      </c>
      <c r="G404" s="12">
        <f>IF(base!G404="","",base!G404)</f>
        <v>470123456</v>
      </c>
      <c r="H404" s="12" t="str">
        <f>IF(base!I404="","",base!I404)</f>
        <v>FLEX</v>
      </c>
      <c r="I404" s="12" t="str">
        <f>IF(base!S404="","",base!S404)</f>
        <v>Prueba 402</v>
      </c>
      <c r="J404" s="12" t="str">
        <f>IF(base!T404="","",base!T404)</f>
        <v>Calle 123
Piso 2</v>
      </c>
      <c r="K404" s="12" t="str">
        <f>IF(base!U404="","",base!U404)</f>
        <v/>
      </c>
      <c r="L404" s="12" t="str">
        <f>IF(base!Y404="","",base!Y404)</f>
        <v/>
      </c>
      <c r="M404" s="12" t="str">
        <f>IF(base!AH404="","",base!AH404)</f>
        <v/>
      </c>
      <c r="N404" s="12" t="str">
        <f>IF(base!AI404="","",base!AI404)</f>
        <v>34.072273</v>
      </c>
      <c r="O404" s="12">
        <f>IF(base!BA404="","",base!BA404)</f>
        <v>1875</v>
      </c>
      <c r="P404" s="13">
        <f>IF(base!BK404="","",base!BK404)</f>
        <v>46303.805902777778</v>
      </c>
      <c r="Q404" s="15" t="str">
        <f>IF(base!BS404="","",base!BS404)</f>
        <v/>
      </c>
    </row>
    <row r="405" spans="1:17" ht="30" x14ac:dyDescent="0.35">
      <c r="A405" s="14">
        <f>IF(base!A405="","",base!A405)</f>
        <v>6200403</v>
      </c>
      <c r="B405" s="13">
        <f>IF(base!BN405="","",base!BN405)</f>
        <v>46303.625</v>
      </c>
      <c r="C405" s="12" t="str">
        <f>IF(base!C405="","",base!C405)</f>
        <v>ZETABURGOS SRL</v>
      </c>
      <c r="D405" s="12" t="str">
        <f>IF(base!E405="","",base!E405)</f>
        <v>ENTREGADO</v>
      </c>
      <c r="E405" s="12" t="str">
        <f>IF(base!BF405="","",base!BF405)</f>
        <v/>
      </c>
      <c r="F405" s="12" t="str">
        <f>IF(D405="","",IF(OR(ISNUMBER(SEARCH("VISITA",D405)),ISNUMBER(SEARCH("RUTA",D405)),ISNUMBER(SEARCH("ARRIB",D405)),ISNUMBER(SEARCH("MATRIZ",D405)),ISNUMBER(SEARCH("PENDIENTE",D405))),"VISITA COORDINADA CON EL CLIENTE","N/A"))</f>
        <v>N/A</v>
      </c>
      <c r="G405" s="12" t="str">
        <f>IF(base!G405="","",base!G405)</f>
        <v>ABC001</v>
      </c>
      <c r="H405" s="12" t="str">
        <f>IF(base!I405="","",base!I405)</f>
        <v>SAMEDAY</v>
      </c>
      <c r="I405" s="12" t="str">
        <f>IF(base!S405="","",base!S405)</f>
        <v>Prueba 403</v>
      </c>
      <c r="J405" s="12" t="str">
        <f>IF(base!T405="","",base!T405)</f>
        <v>Calle 123
Piso 2</v>
      </c>
      <c r="K405" s="12" t="str">
        <f>IF(base!U405="","",base!U405)</f>
        <v/>
      </c>
      <c r="L405" s="12" t="str">
        <f>IF(base!Y405="","",base!Y405)</f>
        <v/>
      </c>
      <c r="M405" s="12" t="str">
        <f>IF(base!AH405="","",base!AH405)</f>
        <v/>
      </c>
      <c r="N405" s="12" t="str">
        <f>IF(base!AI405="","",base!AI405)</f>
        <v>34.072273</v>
      </c>
      <c r="O405" s="12">
        <f>IF(base!BA405="","",base!BA405)</f>
        <v>1875</v>
      </c>
      <c r="P405" s="13">
        <f>IF(base!BK405="","",base!BK405)</f>
        <v>46303.805902777778</v>
      </c>
      <c r="Q405" s="15" t="str">
        <f>IF(base!BS405="","",base!BS405)</f>
        <v/>
      </c>
    </row>
    <row r="406" spans="1:17" ht="30" x14ac:dyDescent="0.35">
      <c r="A406" s="14">
        <f>IF(base!A406="","",base!A406)</f>
        <v>6200404</v>
      </c>
      <c r="B406" s="13">
        <f>IF(base!BN406="","",base!BN406)</f>
        <v>46303.625</v>
      </c>
      <c r="C406" s="12" t="str">
        <f>IF(base!C406="","",base!C406)</f>
        <v>ZETABURGOS SRL</v>
      </c>
      <c r="D406" s="12" t="str">
        <f>IF(base!E406="","",base!E406)</f>
        <v>REPROGRAMACIÓN</v>
      </c>
      <c r="E406" s="12" t="str">
        <f>IF(base!BF406="","",base!BF406)</f>
        <v/>
      </c>
      <c r="F406" s="12" t="str">
        <f>IF(D406="","",IF(OR(ISNUMBER(SEARCH("VISITA",D406)),ISNUMBER(SEARCH("RUTA",D406)),ISNUMBER(SEARCH("ARRIB",D406)),ISNUMBER(SEARCH("MATRIZ",D406)),ISNUMBER(SEARCH("PENDIENTE",D406))),"VISITA COORDINADA CON EL CLIENTE","N/A"))</f>
        <v>N/A</v>
      </c>
      <c r="G406" s="12" t="str">
        <f>IF(base!G406="","",base!G406)</f>
        <v>2000018857041302</v>
      </c>
      <c r="H406" s="12" t="str">
        <f>IF(base!I406="","",base!I406)</f>
        <v>FLEX</v>
      </c>
      <c r="I406" s="12" t="str">
        <f>IF(base!S406="","",base!S406)</f>
        <v>Prueba 404</v>
      </c>
      <c r="J406" s="12" t="str">
        <f>IF(base!T406="","",base!T406)</f>
        <v>Calle 123
Piso 2</v>
      </c>
      <c r="K406" s="12" t="str">
        <f>IF(base!U406="","",base!U406)</f>
        <v/>
      </c>
      <c r="L406" s="12" t="str">
        <f>IF(base!Y406="","",base!Y406)</f>
        <v/>
      </c>
      <c r="M406" s="12" t="str">
        <f>IF(base!AH406="","",base!AH406)</f>
        <v/>
      </c>
      <c r="N406" s="12" t="str">
        <f>IF(base!AI406="","",base!AI406)</f>
        <v>34.072273</v>
      </c>
      <c r="O406" s="12">
        <f>IF(base!BA406="","",base!BA406)</f>
        <v>1875</v>
      </c>
      <c r="P406" s="13">
        <f>IF(base!BK406="","",base!BK406)</f>
        <v>46303.805902777778</v>
      </c>
      <c r="Q406" s="15" t="str">
        <f>IF(base!BS406="","",base!BS406)</f>
        <v/>
      </c>
    </row>
    <row r="407" spans="1:17" ht="30" x14ac:dyDescent="0.35">
      <c r="A407" s="14">
        <f>IF(base!A407="","",base!A407)</f>
        <v>6200405</v>
      </c>
      <c r="B407" s="13">
        <f>IF(base!BN407="","",base!BN407)</f>
        <v>46303.625</v>
      </c>
      <c r="C407" s="12" t="str">
        <f>IF(base!C407="","",base!C407)</f>
        <v>ZETABURGOS SRL</v>
      </c>
      <c r="D407" s="12" t="str">
        <f>IF(base!E407="","",base!E407)</f>
        <v>1RVT - 1° VISITA</v>
      </c>
      <c r="E407" s="12" t="str">
        <f>IF(base!BF407="","",base!BF407)</f>
        <v/>
      </c>
      <c r="F407" s="12" t="str">
        <f>IF(D407="","",IF(OR(ISNUMBER(SEARCH("VISITA",D407)),ISNUMBER(SEARCH("RUTA",D407)),ISNUMBER(SEARCH("ARRIB",D407)),ISNUMBER(SEARCH("MATRIZ",D407)),ISNUMBER(SEARCH("PENDIENTE",D407))),"VISITA COORDINADA CON EL CLIENTE","N/A"))</f>
        <v>VISITA COORDINADA CON EL CLIENTE</v>
      </c>
      <c r="G407" s="12" t="str">
        <f>IF(base!G407="","",base!G407)</f>
        <v>001234</v>
      </c>
      <c r="H407" s="12" t="str">
        <f>IF(base!I407="","",base!I407)</f>
        <v>FLEX</v>
      </c>
      <c r="I407" s="12" t="str">
        <f>IF(base!S407="","",base!S407)</f>
        <v>Prueba 405</v>
      </c>
      <c r="J407" s="12" t="str">
        <f>IF(base!T407="","",base!T407)</f>
        <v>Calle 123
Piso 2</v>
      </c>
      <c r="K407" s="12" t="str">
        <f>IF(base!U407="","",base!U407)</f>
        <v/>
      </c>
      <c r="L407" s="12" t="str">
        <f>IF(base!Y407="","",base!Y407)</f>
        <v/>
      </c>
      <c r="M407" s="12" t="str">
        <f>IF(base!AH407="","",base!AH407)</f>
        <v/>
      </c>
      <c r="N407" s="12" t="str">
        <f>IF(base!AI407="","",base!AI407)</f>
        <v>34.072273</v>
      </c>
      <c r="O407" s="12">
        <f>IF(base!BA407="","",base!BA407)</f>
        <v>1875</v>
      </c>
      <c r="P407" s="13">
        <f>IF(base!BK407="","",base!BK407)</f>
        <v>46303.805902777778</v>
      </c>
      <c r="Q407" s="15" t="str">
        <f>IF(base!BS407="","",base!BS407)</f>
        <v/>
      </c>
    </row>
    <row r="408" spans="1:17" ht="30" x14ac:dyDescent="0.35">
      <c r="A408" s="14">
        <f>IF(base!A408="","",base!A408)</f>
        <v>6200406</v>
      </c>
      <c r="B408" s="13">
        <f>IF(base!BN408="","",base!BN408)</f>
        <v>46303.625</v>
      </c>
      <c r="C408" s="12" t="str">
        <f>IF(base!C408="","",base!C408)</f>
        <v>ZETABURGOS SRL</v>
      </c>
      <c r="D408" s="12" t="str">
        <f>IF(base!E408="","",base!E408)</f>
        <v>ENTREGADO</v>
      </c>
      <c r="E408" s="12" t="str">
        <f>IF(base!BF408="","",base!BF408)</f>
        <v/>
      </c>
      <c r="F408" s="12" t="str">
        <f>IF(D408="","",IF(OR(ISNUMBER(SEARCH("VISITA",D408)),ISNUMBER(SEARCH("RUTA",D408)),ISNUMBER(SEARCH("ARRIB",D408)),ISNUMBER(SEARCH("MATRIZ",D408)),ISNUMBER(SEARCH("PENDIENTE",D408))),"VISITA COORDINADA CON EL CLIENTE","N/A"))</f>
        <v>N/A</v>
      </c>
      <c r="G408" s="12" t="str">
        <f>"#ABC"</f>
        <v>#ABC</v>
      </c>
      <c r="H408" s="12" t="str">
        <f>IF(base!I408="","",base!I408)</f>
        <v>SAMEDAY</v>
      </c>
      <c r="I408" s="12" t="str">
        <f>IF(base!S408="","",base!S408)</f>
        <v>Prueba 406</v>
      </c>
      <c r="J408" s="12" t="str">
        <f>IF(base!T408="","",base!T408)</f>
        <v>Calle 123
Piso 2</v>
      </c>
      <c r="K408" s="12" t="str">
        <f>IF(base!U408="","",base!U408)</f>
        <v/>
      </c>
      <c r="L408" s="12" t="str">
        <f>IF(base!Y408="","",base!Y408)</f>
        <v/>
      </c>
      <c r="M408" s="12" t="str">
        <f>IF(base!AH408="","",base!AH408)</f>
        <v/>
      </c>
      <c r="N408" s="12" t="str">
        <f>IF(base!AI408="","",base!AI408)</f>
        <v>34.072273</v>
      </c>
      <c r="O408" s="12">
        <f>IF(base!BA408="","",base!BA408)</f>
        <v>1875</v>
      </c>
      <c r="P408" s="13">
        <f>IF(base!BK408="","",base!BK408)</f>
        <v>46303.805902777778</v>
      </c>
      <c r="Q408" s="15" t="str">
        <f>IF(base!BS408="","",base!BS408)</f>
        <v/>
      </c>
    </row>
    <row r="409" spans="1:17" ht="30" x14ac:dyDescent="0.35">
      <c r="A409" s="14">
        <f>IF(base!A409="","",base!A409)</f>
        <v>6200407</v>
      </c>
      <c r="B409" s="13">
        <f>IF(base!BN409="","",base!BN409)</f>
        <v>46303.625</v>
      </c>
      <c r="C409" s="12" t="str">
        <f>IF(base!C409="","",base!C409)</f>
        <v>ZETABURGOS SRL</v>
      </c>
      <c r="D409" s="12" t="str">
        <f>IF(base!E409="","",base!E409)</f>
        <v>REPROGRAMACIÓN</v>
      </c>
      <c r="E409" s="12" t="str">
        <f>IF(base!BF409="","",base!BF409)</f>
        <v/>
      </c>
      <c r="F409" s="12" t="str">
        <f>IF(D409="","",IF(OR(ISNUMBER(SEARCH("VISITA",D409)),ISNUMBER(SEARCH("RUTA",D409)),ISNUMBER(SEARCH("ARRIB",D409)),ISNUMBER(SEARCH("MATRIZ",D409)),ISNUMBER(SEARCH("PENDIENTE",D409))),"VISITA COORDINADA CON EL CLIENTE","N/A"))</f>
        <v>N/A</v>
      </c>
      <c r="G409" s="12">
        <f>IF(base!G409="","",base!G409)</f>
        <v>470123456</v>
      </c>
      <c r="H409" s="12" t="str">
        <f>IF(base!I409="","",base!I409)</f>
        <v>FLEX</v>
      </c>
      <c r="I409" s="12" t="str">
        <f>IF(base!S409="","",base!S409)</f>
        <v>Prueba 407</v>
      </c>
      <c r="J409" s="12" t="str">
        <f>IF(base!T409="","",base!T409)</f>
        <v>Calle 123
Piso 2</v>
      </c>
      <c r="K409" s="12" t="str">
        <f>IF(base!U409="","",base!U409)</f>
        <v/>
      </c>
      <c r="L409" s="12" t="str">
        <f>IF(base!Y409="","",base!Y409)</f>
        <v/>
      </c>
      <c r="M409" s="12" t="str">
        <f>IF(base!AH409="","",base!AH409)</f>
        <v/>
      </c>
      <c r="N409" s="12" t="str">
        <f>IF(base!AI409="","",base!AI409)</f>
        <v>34.072273</v>
      </c>
      <c r="O409" s="12">
        <f>IF(base!BA409="","",base!BA409)</f>
        <v>1875</v>
      </c>
      <c r="P409" s="13">
        <f>IF(base!BK409="","",base!BK409)</f>
        <v>46303.805902777778</v>
      </c>
      <c r="Q409" s="15" t="str">
        <f>IF(base!BS409="","",base!BS409)</f>
        <v/>
      </c>
    </row>
    <row r="410" spans="1:17" ht="30" x14ac:dyDescent="0.35">
      <c r="A410" s="14">
        <f>IF(base!A410="","",base!A410)</f>
        <v>6200408</v>
      </c>
      <c r="B410" s="13">
        <f>IF(base!BN410="","",base!BN410)</f>
        <v>46303.625</v>
      </c>
      <c r="C410" s="12" t="str">
        <f>IF(base!C410="","",base!C410)</f>
        <v>ZETABURGOS SRL</v>
      </c>
      <c r="D410" s="12" t="str">
        <f>IF(base!E410="","",base!E410)</f>
        <v>1RVT - 1° VISITA</v>
      </c>
      <c r="E410" s="12" t="str">
        <f>IF(base!BF410="","",base!BF410)</f>
        <v/>
      </c>
      <c r="F410" s="12" t="str">
        <f>IF(D410="","",IF(OR(ISNUMBER(SEARCH("VISITA",D410)),ISNUMBER(SEARCH("RUTA",D410)),ISNUMBER(SEARCH("ARRIB",D410)),ISNUMBER(SEARCH("MATRIZ",D410)),ISNUMBER(SEARCH("PENDIENTE",D410))),"VISITA COORDINADA CON EL CLIENTE","N/A"))</f>
        <v>VISITA COORDINADA CON EL CLIENTE</v>
      </c>
      <c r="G410" s="12" t="str">
        <f>IF(base!G410="","",base!G410)</f>
        <v>ABC001</v>
      </c>
      <c r="H410" s="12" t="str">
        <f>IF(base!I410="","",base!I410)</f>
        <v>SAMEDAY</v>
      </c>
      <c r="I410" s="12" t="str">
        <f>IF(base!S410="","",base!S410)</f>
        <v>Prueba 408</v>
      </c>
      <c r="J410" s="12" t="str">
        <f>IF(base!T410="","",base!T410)</f>
        <v>Calle 123
Piso 2</v>
      </c>
      <c r="K410" s="12" t="str">
        <f>IF(base!U410="","",base!U410)</f>
        <v/>
      </c>
      <c r="L410" s="12" t="str">
        <f>IF(base!Y410="","",base!Y410)</f>
        <v/>
      </c>
      <c r="M410" s="12" t="str">
        <f>IF(base!AH410="","",base!AH410)</f>
        <v/>
      </c>
      <c r="N410" s="12" t="str">
        <f>IF(base!AI410="","",base!AI410)</f>
        <v>34.072273</v>
      </c>
      <c r="O410" s="12">
        <f>IF(base!BA410="","",base!BA410)</f>
        <v>1875</v>
      </c>
      <c r="P410" s="13">
        <f>IF(base!BK410="","",base!BK410)</f>
        <v>46303.805902777778</v>
      </c>
      <c r="Q410" s="15" t="str">
        <f>IF(base!BS410="","",base!BS410)</f>
        <v/>
      </c>
    </row>
    <row r="411" spans="1:17" ht="30" x14ac:dyDescent="0.35">
      <c r="A411" s="14">
        <f>IF(base!A411="","",base!A411)</f>
        <v>6200409</v>
      </c>
      <c r="B411" s="13">
        <f>IF(base!BN411="","",base!BN411)</f>
        <v>46303.625</v>
      </c>
      <c r="C411" s="12" t="str">
        <f>IF(base!C411="","",base!C411)</f>
        <v>ZETABURGOS SRL</v>
      </c>
      <c r="D411" s="12" t="str">
        <f>IF(base!E411="","",base!E411)</f>
        <v>ENTREGADO</v>
      </c>
      <c r="E411" s="12" t="str">
        <f>IF(base!BF411="","",base!BF411)</f>
        <v/>
      </c>
      <c r="F411" s="12" t="str">
        <f>IF(D411="","",IF(OR(ISNUMBER(SEARCH("VISITA",D411)),ISNUMBER(SEARCH("RUTA",D411)),ISNUMBER(SEARCH("ARRIB",D411)),ISNUMBER(SEARCH("MATRIZ",D411)),ISNUMBER(SEARCH("PENDIENTE",D411))),"VISITA COORDINADA CON EL CLIENTE","N/A"))</f>
        <v>N/A</v>
      </c>
      <c r="G411" s="12" t="str">
        <f>IF(base!G411="","",base!G411)</f>
        <v>2000018857041302</v>
      </c>
      <c r="H411" s="12" t="str">
        <f>IF(base!I411="","",base!I411)</f>
        <v>FLEX</v>
      </c>
      <c r="I411" s="12" t="str">
        <f>IF(base!S411="","",base!S411)</f>
        <v>Prueba 409</v>
      </c>
      <c r="J411" s="12" t="str">
        <f>IF(base!T411="","",base!T411)</f>
        <v>Calle 123
Piso 2</v>
      </c>
      <c r="K411" s="12" t="str">
        <f>IF(base!U411="","",base!U411)</f>
        <v/>
      </c>
      <c r="L411" s="12" t="str">
        <f>IF(base!Y411="","",base!Y411)</f>
        <v/>
      </c>
      <c r="M411" s="12" t="str">
        <f>IF(base!AH411="","",base!AH411)</f>
        <v/>
      </c>
      <c r="N411" s="12" t="str">
        <f>IF(base!AI411="","",base!AI411)</f>
        <v>34.072273</v>
      </c>
      <c r="O411" s="12">
        <f>IF(base!BA411="","",base!BA411)</f>
        <v>1875</v>
      </c>
      <c r="P411" s="13">
        <f>IF(base!BK411="","",base!BK411)</f>
        <v>46303.805902777778</v>
      </c>
      <c r="Q411" s="15" t="str">
        <f>IF(base!BS411="","",base!BS411)</f>
        <v/>
      </c>
    </row>
    <row r="412" spans="1:17" ht="30" x14ac:dyDescent="0.35">
      <c r="A412" s="14">
        <f>IF(base!A412="","",base!A412)</f>
        <v>6200410</v>
      </c>
      <c r="B412" s="13">
        <f>IF(base!BN412="","",base!BN412)</f>
        <v>46303.625</v>
      </c>
      <c r="C412" s="12" t="str">
        <f>IF(base!C412="","",base!C412)</f>
        <v>ZETABURGOS SRL</v>
      </c>
      <c r="D412" s="12" t="str">
        <f>IF(base!E412="","",base!E412)</f>
        <v>REPROGRAMACIÓN</v>
      </c>
      <c r="E412" s="12" t="str">
        <f>IF(base!BF412="","",base!BF412)</f>
        <v/>
      </c>
      <c r="F412" s="12" t="str">
        <f>IF(D412="","",IF(OR(ISNUMBER(SEARCH("VISITA",D412)),ISNUMBER(SEARCH("RUTA",D412)),ISNUMBER(SEARCH("ARRIB",D412)),ISNUMBER(SEARCH("MATRIZ",D412)),ISNUMBER(SEARCH("PENDIENTE",D412))),"VISITA COORDINADA CON EL CLIENTE","N/A"))</f>
        <v>N/A</v>
      </c>
      <c r="G412" s="12" t="str">
        <f>IF(base!G412="","",base!G412)</f>
        <v>001234</v>
      </c>
      <c r="H412" s="12" t="str">
        <f>IF(base!I412="","",base!I412)</f>
        <v>FLEX</v>
      </c>
      <c r="I412" s="12" t="str">
        <f>IF(base!S412="","",base!S412)</f>
        <v>Prueba 410</v>
      </c>
      <c r="J412" s="12" t="str">
        <f>IF(base!T412="","",base!T412)</f>
        <v>Calle 123
Piso 2</v>
      </c>
      <c r="K412" s="12" t="str">
        <f>IF(base!U412="","",base!U412)</f>
        <v/>
      </c>
      <c r="L412" s="12" t="str">
        <f>IF(base!Y412="","",base!Y412)</f>
        <v/>
      </c>
      <c r="M412" s="12" t="str">
        <f>IF(base!AH412="","",base!AH412)</f>
        <v/>
      </c>
      <c r="N412" s="12" t="str">
        <f>IF(base!AI412="","",base!AI412)</f>
        <v>34.072273</v>
      </c>
      <c r="O412" s="12">
        <f>IF(base!BA412="","",base!BA412)</f>
        <v>1875</v>
      </c>
      <c r="P412" s="13">
        <f>IF(base!BK412="","",base!BK412)</f>
        <v>46303.805902777778</v>
      </c>
      <c r="Q412" s="15" t="str">
        <f>IF(base!BS412="","",base!BS412)</f>
        <v/>
      </c>
    </row>
    <row r="413" spans="1:17" ht="30" x14ac:dyDescent="0.35">
      <c r="A413" s="14">
        <f>IF(base!A413="","",base!A413)</f>
        <v>6200411</v>
      </c>
      <c r="B413" s="13">
        <f>IF(base!BN413="","",base!BN413)</f>
        <v>46303.625</v>
      </c>
      <c r="C413" s="12" t="str">
        <f>IF(base!C413="","",base!C413)</f>
        <v>ZETABURGOS SRL</v>
      </c>
      <c r="D413" s="12" t="str">
        <f>IF(base!E413="","",base!E413)</f>
        <v>1RVT - 1° VISITA</v>
      </c>
      <c r="E413" s="12" t="str">
        <f>IF(base!BF413="","",base!BF413)</f>
        <v/>
      </c>
      <c r="F413" s="12" t="str">
        <f>IF(D413="","",IF(OR(ISNUMBER(SEARCH("VISITA",D413)),ISNUMBER(SEARCH("RUTA",D413)),ISNUMBER(SEARCH("ARRIB",D413)),ISNUMBER(SEARCH("MATRIZ",D413)),ISNUMBER(SEARCH("PENDIENTE",D413))),"VISITA COORDINADA CON EL CLIENTE","N/A"))</f>
        <v>VISITA COORDINADA CON EL CLIENTE</v>
      </c>
      <c r="G413" s="12" t="str">
        <f>"#ABC"</f>
        <v>#ABC</v>
      </c>
      <c r="H413" s="12" t="str">
        <f>IF(base!I413="","",base!I413)</f>
        <v>SAMEDAY</v>
      </c>
      <c r="I413" s="12" t="str">
        <f>IF(base!S413="","",base!S413)</f>
        <v>Prueba 411</v>
      </c>
      <c r="J413" s="12" t="str">
        <f>IF(base!T413="","",base!T413)</f>
        <v>Calle 123
Piso 2</v>
      </c>
      <c r="K413" s="12" t="str">
        <f>IF(base!U413="","",base!U413)</f>
        <v/>
      </c>
      <c r="L413" s="12" t="str">
        <f>IF(base!Y413="","",base!Y413)</f>
        <v/>
      </c>
      <c r="M413" s="12" t="str">
        <f>IF(base!AH413="","",base!AH413)</f>
        <v/>
      </c>
      <c r="N413" s="12" t="str">
        <f>IF(base!AI413="","",base!AI413)</f>
        <v>34.072273</v>
      </c>
      <c r="O413" s="12">
        <f>IF(base!BA413="","",base!BA413)</f>
        <v>1875</v>
      </c>
      <c r="P413" s="13">
        <f>IF(base!BK413="","",base!BK413)</f>
        <v>46303.805902777778</v>
      </c>
      <c r="Q413" s="15" t="str">
        <f>IF(base!BS413="","",base!BS413)</f>
        <v/>
      </c>
    </row>
    <row r="414" spans="1:17" ht="30" x14ac:dyDescent="0.35">
      <c r="A414" s="14">
        <f>IF(base!A414="","",base!A414)</f>
        <v>6200412</v>
      </c>
      <c r="B414" s="13">
        <f>IF(base!BN414="","",base!BN414)</f>
        <v>46303.625</v>
      </c>
      <c r="C414" s="12" t="str">
        <f>IF(base!C414="","",base!C414)</f>
        <v>ZETABURGOS SRL</v>
      </c>
      <c r="D414" s="12" t="str">
        <f>IF(base!E414="","",base!E414)</f>
        <v>ENTREGADO</v>
      </c>
      <c r="E414" s="12" t="str">
        <f>IF(base!BF414="","",base!BF414)</f>
        <v/>
      </c>
      <c r="F414" s="12" t="str">
        <f>IF(D414="","",IF(OR(ISNUMBER(SEARCH("VISITA",D414)),ISNUMBER(SEARCH("RUTA",D414)),ISNUMBER(SEARCH("ARRIB",D414)),ISNUMBER(SEARCH("MATRIZ",D414)),ISNUMBER(SEARCH("PENDIENTE",D414))),"VISITA COORDINADA CON EL CLIENTE","N/A"))</f>
        <v>N/A</v>
      </c>
      <c r="G414" s="12">
        <f>IF(base!G414="","",base!G414)</f>
        <v>470123456</v>
      </c>
      <c r="H414" s="12" t="str">
        <f>IF(base!I414="","",base!I414)</f>
        <v>FLEX</v>
      </c>
      <c r="I414" s="12" t="str">
        <f>IF(base!S414="","",base!S414)</f>
        <v>Prueba 412</v>
      </c>
      <c r="J414" s="12" t="str">
        <f>IF(base!T414="","",base!T414)</f>
        <v>Calle 123
Piso 2</v>
      </c>
      <c r="K414" s="12" t="str">
        <f>IF(base!U414="","",base!U414)</f>
        <v/>
      </c>
      <c r="L414" s="12" t="str">
        <f>IF(base!Y414="","",base!Y414)</f>
        <v/>
      </c>
      <c r="M414" s="12" t="str">
        <f>IF(base!AH414="","",base!AH414)</f>
        <v/>
      </c>
      <c r="N414" s="12" t="str">
        <f>IF(base!AI414="","",base!AI414)</f>
        <v>34.072273</v>
      </c>
      <c r="O414" s="12">
        <f>IF(base!BA414="","",base!BA414)</f>
        <v>1875</v>
      </c>
      <c r="P414" s="13">
        <f>IF(base!BK414="","",base!BK414)</f>
        <v>46303.805902777778</v>
      </c>
      <c r="Q414" s="15" t="str">
        <f>IF(base!BS414="","",base!BS414)</f>
        <v/>
      </c>
    </row>
    <row r="415" spans="1:17" ht="30" x14ac:dyDescent="0.35">
      <c r="A415" s="14">
        <f>IF(base!A415="","",base!A415)</f>
        <v>6200413</v>
      </c>
      <c r="B415" s="13">
        <f>IF(base!BN415="","",base!BN415)</f>
        <v>46303.625</v>
      </c>
      <c r="C415" s="12" t="str">
        <f>IF(base!C415="","",base!C415)</f>
        <v>ZETABURGOS SRL</v>
      </c>
      <c r="D415" s="12" t="str">
        <f>IF(base!E415="","",base!E415)</f>
        <v>REPROGRAMACIÓN</v>
      </c>
      <c r="E415" s="12" t="str">
        <f>IF(base!BF415="","",base!BF415)</f>
        <v/>
      </c>
      <c r="F415" s="12" t="str">
        <f>IF(D415="","",IF(OR(ISNUMBER(SEARCH("VISITA",D415)),ISNUMBER(SEARCH("RUTA",D415)),ISNUMBER(SEARCH("ARRIB",D415)),ISNUMBER(SEARCH("MATRIZ",D415)),ISNUMBER(SEARCH("PENDIENTE",D415))),"VISITA COORDINADA CON EL CLIENTE","N/A"))</f>
        <v>N/A</v>
      </c>
      <c r="G415" s="12" t="str">
        <f>IF(base!G415="","",base!G415)</f>
        <v>ABC001</v>
      </c>
      <c r="H415" s="12" t="str">
        <f>IF(base!I415="","",base!I415)</f>
        <v>SAMEDAY</v>
      </c>
      <c r="I415" s="12" t="str">
        <f>IF(base!S415="","",base!S415)</f>
        <v>Prueba 413</v>
      </c>
      <c r="J415" s="12" t="str">
        <f>IF(base!T415="","",base!T415)</f>
        <v>Calle 123
Piso 2</v>
      </c>
      <c r="K415" s="12" t="str">
        <f>IF(base!U415="","",base!U415)</f>
        <v/>
      </c>
      <c r="L415" s="12" t="str">
        <f>IF(base!Y415="","",base!Y415)</f>
        <v/>
      </c>
      <c r="M415" s="12" t="str">
        <f>IF(base!AH415="","",base!AH415)</f>
        <v/>
      </c>
      <c r="N415" s="12" t="str">
        <f>IF(base!AI415="","",base!AI415)</f>
        <v>34.072273</v>
      </c>
      <c r="O415" s="12">
        <f>IF(base!BA415="","",base!BA415)</f>
        <v>1875</v>
      </c>
      <c r="P415" s="13">
        <f>IF(base!BK415="","",base!BK415)</f>
        <v>46303.805902777778</v>
      </c>
      <c r="Q415" s="15" t="str">
        <f>IF(base!BS415="","",base!BS415)</f>
        <v/>
      </c>
    </row>
    <row r="416" spans="1:17" ht="30" x14ac:dyDescent="0.35">
      <c r="A416" s="14">
        <f>IF(base!A416="","",base!A416)</f>
        <v>6200414</v>
      </c>
      <c r="B416" s="13">
        <f>IF(base!BN416="","",base!BN416)</f>
        <v>46303.625</v>
      </c>
      <c r="C416" s="12" t="str">
        <f>IF(base!C416="","",base!C416)</f>
        <v>ZETABURGOS SRL</v>
      </c>
      <c r="D416" s="12" t="str">
        <f>IF(base!E416="","",base!E416)</f>
        <v>1RVT - 1° VISITA</v>
      </c>
      <c r="E416" s="12" t="str">
        <f>IF(base!BF416="","",base!BF416)</f>
        <v/>
      </c>
      <c r="F416" s="12" t="str">
        <f>IF(D416="","",IF(OR(ISNUMBER(SEARCH("VISITA",D416)),ISNUMBER(SEARCH("RUTA",D416)),ISNUMBER(SEARCH("ARRIB",D416)),ISNUMBER(SEARCH("MATRIZ",D416)),ISNUMBER(SEARCH("PENDIENTE",D416))),"VISITA COORDINADA CON EL CLIENTE","N/A"))</f>
        <v>VISITA COORDINADA CON EL CLIENTE</v>
      </c>
      <c r="G416" s="12" t="str">
        <f>IF(base!G416="","",base!G416)</f>
        <v>2000018857041302</v>
      </c>
      <c r="H416" s="12" t="str">
        <f>IF(base!I416="","",base!I416)</f>
        <v>FLEX</v>
      </c>
      <c r="I416" s="12" t="str">
        <f>IF(base!S416="","",base!S416)</f>
        <v>Prueba 414</v>
      </c>
      <c r="J416" s="12" t="str">
        <f>IF(base!T416="","",base!T416)</f>
        <v>Calle 123
Piso 2</v>
      </c>
      <c r="K416" s="12" t="str">
        <f>IF(base!U416="","",base!U416)</f>
        <v/>
      </c>
      <c r="L416" s="12" t="str">
        <f>IF(base!Y416="","",base!Y416)</f>
        <v/>
      </c>
      <c r="M416" s="12" t="str">
        <f>IF(base!AH416="","",base!AH416)</f>
        <v/>
      </c>
      <c r="N416" s="12" t="str">
        <f>IF(base!AI416="","",base!AI416)</f>
        <v>34.072273</v>
      </c>
      <c r="O416" s="12">
        <f>IF(base!BA416="","",base!BA416)</f>
        <v>1875</v>
      </c>
      <c r="P416" s="13">
        <f>IF(base!BK416="","",base!BK416)</f>
        <v>46303.805902777778</v>
      </c>
      <c r="Q416" s="15" t="str">
        <f>IF(base!BS416="","",base!BS416)</f>
        <v/>
      </c>
    </row>
    <row r="417" spans="1:17" ht="30" x14ac:dyDescent="0.35">
      <c r="A417" s="14">
        <f>IF(base!A417="","",base!A417)</f>
        <v>6200415</v>
      </c>
      <c r="B417" s="13">
        <f>IF(base!BN417="","",base!BN417)</f>
        <v>46303.625</v>
      </c>
      <c r="C417" s="12" t="str">
        <f>IF(base!C417="","",base!C417)</f>
        <v>ZETABURGOS SRL</v>
      </c>
      <c r="D417" s="12" t="str">
        <f>IF(base!E417="","",base!E417)</f>
        <v>ENTREGADO</v>
      </c>
      <c r="E417" s="12" t="str">
        <f>IF(base!BF417="","",base!BF417)</f>
        <v/>
      </c>
      <c r="F417" s="12" t="str">
        <f>IF(D417="","",IF(OR(ISNUMBER(SEARCH("VISITA",D417)),ISNUMBER(SEARCH("RUTA",D417)),ISNUMBER(SEARCH("ARRIB",D417)),ISNUMBER(SEARCH("MATRIZ",D417)),ISNUMBER(SEARCH("PENDIENTE",D417))),"VISITA COORDINADA CON EL CLIENTE","N/A"))</f>
        <v>N/A</v>
      </c>
      <c r="G417" s="12" t="str">
        <f>IF(base!G417="","",base!G417)</f>
        <v>001234</v>
      </c>
      <c r="H417" s="12" t="str">
        <f>IF(base!I417="","",base!I417)</f>
        <v>FLEX</v>
      </c>
      <c r="I417" s="12" t="str">
        <f>IF(base!S417="","",base!S417)</f>
        <v>Prueba 415</v>
      </c>
      <c r="J417" s="12" t="str">
        <f>IF(base!T417="","",base!T417)</f>
        <v>Calle 123
Piso 2</v>
      </c>
      <c r="K417" s="12" t="str">
        <f>IF(base!U417="","",base!U417)</f>
        <v/>
      </c>
      <c r="L417" s="12" t="str">
        <f>IF(base!Y417="","",base!Y417)</f>
        <v/>
      </c>
      <c r="M417" s="12" t="str">
        <f>IF(base!AH417="","",base!AH417)</f>
        <v/>
      </c>
      <c r="N417" s="12" t="str">
        <f>IF(base!AI417="","",base!AI417)</f>
        <v>34.072273</v>
      </c>
      <c r="O417" s="12">
        <f>IF(base!BA417="","",base!BA417)</f>
        <v>1875</v>
      </c>
      <c r="P417" s="13">
        <f>IF(base!BK417="","",base!BK417)</f>
        <v>46303.805902777778</v>
      </c>
      <c r="Q417" s="15" t="str">
        <f>IF(base!BS417="","",base!BS417)</f>
        <v/>
      </c>
    </row>
    <row r="418" spans="1:17" ht="30" x14ac:dyDescent="0.35">
      <c r="A418" s="14">
        <f>IF(base!A418="","",base!A418)</f>
        <v>6200416</v>
      </c>
      <c r="B418" s="13">
        <f>IF(base!BN418="","",base!BN418)</f>
        <v>46303.625</v>
      </c>
      <c r="C418" s="12" t="str">
        <f>IF(base!C418="","",base!C418)</f>
        <v>ZETABURGOS SRL</v>
      </c>
      <c r="D418" s="12" t="str">
        <f>IF(base!E418="","",base!E418)</f>
        <v>REPROGRAMACIÓN</v>
      </c>
      <c r="E418" s="12" t="str">
        <f>IF(base!BF418="","",base!BF418)</f>
        <v/>
      </c>
      <c r="F418" s="12" t="str">
        <f>IF(D418="","",IF(OR(ISNUMBER(SEARCH("VISITA",D418)),ISNUMBER(SEARCH("RUTA",D418)),ISNUMBER(SEARCH("ARRIB",D418)),ISNUMBER(SEARCH("MATRIZ",D418)),ISNUMBER(SEARCH("PENDIENTE",D418))),"VISITA COORDINADA CON EL CLIENTE","N/A"))</f>
        <v>N/A</v>
      </c>
      <c r="G418" s="12" t="str">
        <f>"#ABC"</f>
        <v>#ABC</v>
      </c>
      <c r="H418" s="12" t="str">
        <f>IF(base!I418="","",base!I418)</f>
        <v>SAMEDAY</v>
      </c>
      <c r="I418" s="12" t="str">
        <f>IF(base!S418="","",base!S418)</f>
        <v>Prueba 416</v>
      </c>
      <c r="J418" s="12" t="str">
        <f>IF(base!T418="","",base!T418)</f>
        <v>Calle 123
Piso 2</v>
      </c>
      <c r="K418" s="12" t="str">
        <f>IF(base!U418="","",base!U418)</f>
        <v/>
      </c>
      <c r="L418" s="12" t="str">
        <f>IF(base!Y418="","",base!Y418)</f>
        <v/>
      </c>
      <c r="M418" s="12" t="str">
        <f>IF(base!AH418="","",base!AH418)</f>
        <v/>
      </c>
      <c r="N418" s="12" t="str">
        <f>IF(base!AI418="","",base!AI418)</f>
        <v>34.072273</v>
      </c>
      <c r="O418" s="12">
        <f>IF(base!BA418="","",base!BA418)</f>
        <v>1875</v>
      </c>
      <c r="P418" s="13">
        <f>IF(base!BK418="","",base!BK418)</f>
        <v>46303.805902777778</v>
      </c>
      <c r="Q418" s="15" t="str">
        <f>IF(base!BS418="","",base!BS418)</f>
        <v/>
      </c>
    </row>
    <row r="419" spans="1:17" ht="30" x14ac:dyDescent="0.35">
      <c r="A419" s="14">
        <f>IF(base!A419="","",base!A419)</f>
        <v>6200417</v>
      </c>
      <c r="B419" s="13">
        <f>IF(base!BN419="","",base!BN419)</f>
        <v>46303.625</v>
      </c>
      <c r="C419" s="12" t="str">
        <f>IF(base!C419="","",base!C419)</f>
        <v>ZETABURGOS SRL</v>
      </c>
      <c r="D419" s="12" t="str">
        <f>IF(base!E419="","",base!E419)</f>
        <v>1RVT - 1° VISITA</v>
      </c>
      <c r="E419" s="12" t="str">
        <f>IF(base!BF419="","",base!BF419)</f>
        <v/>
      </c>
      <c r="F419" s="12" t="str">
        <f>IF(D419="","",IF(OR(ISNUMBER(SEARCH("VISITA",D419)),ISNUMBER(SEARCH("RUTA",D419)),ISNUMBER(SEARCH("ARRIB",D419)),ISNUMBER(SEARCH("MATRIZ",D419)),ISNUMBER(SEARCH("PENDIENTE",D419))),"VISITA COORDINADA CON EL CLIENTE","N/A"))</f>
        <v>VISITA COORDINADA CON EL CLIENTE</v>
      </c>
      <c r="G419" s="12">
        <f>IF(base!G419="","",base!G419)</f>
        <v>470123456</v>
      </c>
      <c r="H419" s="12" t="str">
        <f>IF(base!I419="","",base!I419)</f>
        <v>FLEX</v>
      </c>
      <c r="I419" s="12" t="str">
        <f>IF(base!S419="","",base!S419)</f>
        <v>Prueba 417</v>
      </c>
      <c r="J419" s="12" t="str">
        <f>IF(base!T419="","",base!T419)</f>
        <v>Calle 123
Piso 2</v>
      </c>
      <c r="K419" s="12" t="str">
        <f>IF(base!U419="","",base!U419)</f>
        <v/>
      </c>
      <c r="L419" s="12" t="str">
        <f>IF(base!Y419="","",base!Y419)</f>
        <v/>
      </c>
      <c r="M419" s="12" t="str">
        <f>IF(base!AH419="","",base!AH419)</f>
        <v/>
      </c>
      <c r="N419" s="12" t="str">
        <f>IF(base!AI419="","",base!AI419)</f>
        <v>34.072273</v>
      </c>
      <c r="O419" s="12">
        <f>IF(base!BA419="","",base!BA419)</f>
        <v>1875</v>
      </c>
      <c r="P419" s="13">
        <f>IF(base!BK419="","",base!BK419)</f>
        <v>46303.805902777778</v>
      </c>
      <c r="Q419" s="15" t="str">
        <f>IF(base!BS419="","",base!BS419)</f>
        <v/>
      </c>
    </row>
    <row r="420" spans="1:17" ht="30" x14ac:dyDescent="0.35">
      <c r="A420" s="14">
        <f>IF(base!A420="","",base!A420)</f>
        <v>6200418</v>
      </c>
      <c r="B420" s="13">
        <f>IF(base!BN420="","",base!BN420)</f>
        <v>46303.625</v>
      </c>
      <c r="C420" s="12" t="str">
        <f>IF(base!C420="","",base!C420)</f>
        <v>ZETABURGOS SRL</v>
      </c>
      <c r="D420" s="12" t="str">
        <f>IF(base!E420="","",base!E420)</f>
        <v>ENTREGADO</v>
      </c>
      <c r="E420" s="12" t="str">
        <f>IF(base!BF420="","",base!BF420)</f>
        <v/>
      </c>
      <c r="F420" s="12" t="str">
        <f>IF(D420="","",IF(OR(ISNUMBER(SEARCH("VISITA",D420)),ISNUMBER(SEARCH("RUTA",D420)),ISNUMBER(SEARCH("ARRIB",D420)),ISNUMBER(SEARCH("MATRIZ",D420)),ISNUMBER(SEARCH("PENDIENTE",D420))),"VISITA COORDINADA CON EL CLIENTE","N/A"))</f>
        <v>N/A</v>
      </c>
      <c r="G420" s="12" t="str">
        <f>IF(base!G420="","",base!G420)</f>
        <v>ABC001</v>
      </c>
      <c r="H420" s="12" t="str">
        <f>IF(base!I420="","",base!I420)</f>
        <v>SAMEDAY</v>
      </c>
      <c r="I420" s="12" t="str">
        <f>IF(base!S420="","",base!S420)</f>
        <v>Prueba 418</v>
      </c>
      <c r="J420" s="12" t="str">
        <f>IF(base!T420="","",base!T420)</f>
        <v>Calle 123
Piso 2</v>
      </c>
      <c r="K420" s="12" t="str">
        <f>IF(base!U420="","",base!U420)</f>
        <v/>
      </c>
      <c r="L420" s="12" t="str">
        <f>IF(base!Y420="","",base!Y420)</f>
        <v/>
      </c>
      <c r="M420" s="12" t="str">
        <f>IF(base!AH420="","",base!AH420)</f>
        <v/>
      </c>
      <c r="N420" s="12" t="str">
        <f>IF(base!AI420="","",base!AI420)</f>
        <v>34.072273</v>
      </c>
      <c r="O420" s="12">
        <f>IF(base!BA420="","",base!BA420)</f>
        <v>1875</v>
      </c>
      <c r="P420" s="13">
        <f>IF(base!BK420="","",base!BK420)</f>
        <v>46303.805902777778</v>
      </c>
      <c r="Q420" s="15" t="str">
        <f>IF(base!BS420="","",base!BS420)</f>
        <v/>
      </c>
    </row>
    <row r="421" spans="1:17" ht="30" x14ac:dyDescent="0.35">
      <c r="A421" s="14">
        <f>IF(base!A421="","",base!A421)</f>
        <v>6200419</v>
      </c>
      <c r="B421" s="13">
        <f>IF(base!BN421="","",base!BN421)</f>
        <v>46303.625</v>
      </c>
      <c r="C421" s="12" t="str">
        <f>IF(base!C421="","",base!C421)</f>
        <v>ZETABURGOS SRL</v>
      </c>
      <c r="D421" s="12" t="str">
        <f>IF(base!E421="","",base!E421)</f>
        <v>REPROGRAMACIÓN</v>
      </c>
      <c r="E421" s="12" t="str">
        <f>IF(base!BF421="","",base!BF421)</f>
        <v/>
      </c>
      <c r="F421" s="12" t="str">
        <f>IF(D421="","",IF(OR(ISNUMBER(SEARCH("VISITA",D421)),ISNUMBER(SEARCH("RUTA",D421)),ISNUMBER(SEARCH("ARRIB",D421)),ISNUMBER(SEARCH("MATRIZ",D421)),ISNUMBER(SEARCH("PENDIENTE",D421))),"VISITA COORDINADA CON EL CLIENTE","N/A"))</f>
        <v>N/A</v>
      </c>
      <c r="G421" s="12" t="str">
        <f>IF(base!G421="","",base!G421)</f>
        <v>2000018857041302</v>
      </c>
      <c r="H421" s="12" t="str">
        <f>IF(base!I421="","",base!I421)</f>
        <v>FLEX</v>
      </c>
      <c r="I421" s="12" t="str">
        <f>IF(base!S421="","",base!S421)</f>
        <v>Prueba 419</v>
      </c>
      <c r="J421" s="12" t="str">
        <f>IF(base!T421="","",base!T421)</f>
        <v>Calle 123
Piso 2</v>
      </c>
      <c r="K421" s="12" t="str">
        <f>IF(base!U421="","",base!U421)</f>
        <v/>
      </c>
      <c r="L421" s="12" t="str">
        <f>IF(base!Y421="","",base!Y421)</f>
        <v/>
      </c>
      <c r="M421" s="12" t="str">
        <f>IF(base!AH421="","",base!AH421)</f>
        <v/>
      </c>
      <c r="N421" s="12" t="str">
        <f>IF(base!AI421="","",base!AI421)</f>
        <v>34.072273</v>
      </c>
      <c r="O421" s="12">
        <f>IF(base!BA421="","",base!BA421)</f>
        <v>1875</v>
      </c>
      <c r="P421" s="13">
        <f>IF(base!BK421="","",base!BK421)</f>
        <v>46303.805902777778</v>
      </c>
      <c r="Q421" s="15" t="str">
        <f>IF(base!BS421="","",base!BS421)</f>
        <v/>
      </c>
    </row>
    <row r="422" spans="1:17" ht="30" x14ac:dyDescent="0.35">
      <c r="A422" s="14">
        <f>IF(base!A422="","",base!A422)</f>
        <v>6200420</v>
      </c>
      <c r="B422" s="13">
        <f>IF(base!BN422="","",base!BN422)</f>
        <v>46303.625</v>
      </c>
      <c r="C422" s="12" t="str">
        <f>IF(base!C422="","",base!C422)</f>
        <v>ZETABURGOS SRL</v>
      </c>
      <c r="D422" s="12" t="str">
        <f>IF(base!E422="","",base!E422)</f>
        <v>1RVT - 1° VISITA</v>
      </c>
      <c r="E422" s="12" t="str">
        <f>IF(base!BF422="","",base!BF422)</f>
        <v/>
      </c>
      <c r="F422" s="12" t="str">
        <f>IF(D422="","",IF(OR(ISNUMBER(SEARCH("VISITA",D422)),ISNUMBER(SEARCH("RUTA",D422)),ISNUMBER(SEARCH("ARRIB",D422)),ISNUMBER(SEARCH("MATRIZ",D422)),ISNUMBER(SEARCH("PENDIENTE",D422))),"VISITA COORDINADA CON EL CLIENTE","N/A"))</f>
        <v>VISITA COORDINADA CON EL CLIENTE</v>
      </c>
      <c r="G422" s="12" t="str">
        <f>IF(base!G422="","",base!G422)</f>
        <v>001234</v>
      </c>
      <c r="H422" s="12" t="str">
        <f>IF(base!I422="","",base!I422)</f>
        <v>FLEX</v>
      </c>
      <c r="I422" s="12" t="str">
        <f>IF(base!S422="","",base!S422)</f>
        <v>Prueba 420</v>
      </c>
      <c r="J422" s="12" t="str">
        <f>IF(base!T422="","",base!T422)</f>
        <v>Calle 123
Piso 2</v>
      </c>
      <c r="K422" s="12" t="str">
        <f>IF(base!U422="","",base!U422)</f>
        <v/>
      </c>
      <c r="L422" s="12" t="str">
        <f>IF(base!Y422="","",base!Y422)</f>
        <v/>
      </c>
      <c r="M422" s="12" t="str">
        <f>IF(base!AH422="","",base!AH422)</f>
        <v/>
      </c>
      <c r="N422" s="12" t="str">
        <f>IF(base!AI422="","",base!AI422)</f>
        <v>34.072273</v>
      </c>
      <c r="O422" s="12">
        <f>IF(base!BA422="","",base!BA422)</f>
        <v>1875</v>
      </c>
      <c r="P422" s="13">
        <f>IF(base!BK422="","",base!BK422)</f>
        <v>46303.805902777778</v>
      </c>
      <c r="Q422" s="15" t="str">
        <f>IF(base!BS422="","",base!BS422)</f>
        <v/>
      </c>
    </row>
    <row r="423" spans="1:17" ht="30" x14ac:dyDescent="0.35">
      <c r="A423" s="14">
        <f>IF(base!A423="","",base!A423)</f>
        <v>6200421</v>
      </c>
      <c r="B423" s="13">
        <f>IF(base!BN423="","",base!BN423)</f>
        <v>46303.625</v>
      </c>
      <c r="C423" s="12" t="str">
        <f>IF(base!C423="","",base!C423)</f>
        <v>ZETABURGOS SRL</v>
      </c>
      <c r="D423" s="12" t="str">
        <f>IF(base!E423="","",base!E423)</f>
        <v>ENTREGADO</v>
      </c>
      <c r="E423" s="12" t="str">
        <f>IF(base!BF423="","",base!BF423)</f>
        <v/>
      </c>
      <c r="F423" s="12" t="str">
        <f>IF(D423="","",IF(OR(ISNUMBER(SEARCH("VISITA",D423)),ISNUMBER(SEARCH("RUTA",D423)),ISNUMBER(SEARCH("ARRIB",D423)),ISNUMBER(SEARCH("MATRIZ",D423)),ISNUMBER(SEARCH("PENDIENTE",D423))),"VISITA COORDINADA CON EL CLIENTE","N/A"))</f>
        <v>N/A</v>
      </c>
      <c r="G423" s="12" t="str">
        <f>"#ABC"</f>
        <v>#ABC</v>
      </c>
      <c r="H423" s="12" t="str">
        <f>IF(base!I423="","",base!I423)</f>
        <v>SAMEDAY</v>
      </c>
      <c r="I423" s="12" t="str">
        <f>IF(base!S423="","",base!S423)</f>
        <v>Prueba 421</v>
      </c>
      <c r="J423" s="12" t="str">
        <f>IF(base!T423="","",base!T423)</f>
        <v>Calle 123
Piso 2</v>
      </c>
      <c r="K423" s="12" t="str">
        <f>IF(base!U423="","",base!U423)</f>
        <v/>
      </c>
      <c r="L423" s="12" t="str">
        <f>IF(base!Y423="","",base!Y423)</f>
        <v/>
      </c>
      <c r="M423" s="12" t="str">
        <f>IF(base!AH423="","",base!AH423)</f>
        <v/>
      </c>
      <c r="N423" s="12" t="str">
        <f>IF(base!AI423="","",base!AI423)</f>
        <v>34.072273</v>
      </c>
      <c r="O423" s="12">
        <f>IF(base!BA423="","",base!BA423)</f>
        <v>1875</v>
      </c>
      <c r="P423" s="13">
        <f>IF(base!BK423="","",base!BK423)</f>
        <v>46303.805902777778</v>
      </c>
      <c r="Q423" s="15" t="str">
        <f>IF(base!BS423="","",base!BS423)</f>
        <v/>
      </c>
    </row>
    <row r="424" spans="1:17" ht="30" x14ac:dyDescent="0.35">
      <c r="A424" s="14">
        <f>IF(base!A424="","",base!A424)</f>
        <v>6200422</v>
      </c>
      <c r="B424" s="13">
        <f>IF(base!BN424="","",base!BN424)</f>
        <v>46303.625</v>
      </c>
      <c r="C424" s="12" t="str">
        <f>IF(base!C424="","",base!C424)</f>
        <v>ZETABURGOS SRL</v>
      </c>
      <c r="D424" s="12" t="str">
        <f>IF(base!E424="","",base!E424)</f>
        <v>REPROGRAMACIÓN</v>
      </c>
      <c r="E424" s="12" t="str">
        <f>IF(base!BF424="","",base!BF424)</f>
        <v/>
      </c>
      <c r="F424" s="12" t="str">
        <f>IF(D424="","",IF(OR(ISNUMBER(SEARCH("VISITA",D424)),ISNUMBER(SEARCH("RUTA",D424)),ISNUMBER(SEARCH("ARRIB",D424)),ISNUMBER(SEARCH("MATRIZ",D424)),ISNUMBER(SEARCH("PENDIENTE",D424))),"VISITA COORDINADA CON EL CLIENTE","N/A"))</f>
        <v>N/A</v>
      </c>
      <c r="G424" s="12">
        <f>IF(base!G424="","",base!G424)</f>
        <v>470123456</v>
      </c>
      <c r="H424" s="12" t="str">
        <f>IF(base!I424="","",base!I424)</f>
        <v>FLEX</v>
      </c>
      <c r="I424" s="12" t="str">
        <f>IF(base!S424="","",base!S424)</f>
        <v>Prueba 422</v>
      </c>
      <c r="J424" s="12" t="str">
        <f>IF(base!T424="","",base!T424)</f>
        <v>Calle 123
Piso 2</v>
      </c>
      <c r="K424" s="12" t="str">
        <f>IF(base!U424="","",base!U424)</f>
        <v/>
      </c>
      <c r="L424" s="12" t="str">
        <f>IF(base!Y424="","",base!Y424)</f>
        <v/>
      </c>
      <c r="M424" s="12" t="str">
        <f>IF(base!AH424="","",base!AH424)</f>
        <v/>
      </c>
      <c r="N424" s="12" t="str">
        <f>IF(base!AI424="","",base!AI424)</f>
        <v>34.072273</v>
      </c>
      <c r="O424" s="12">
        <f>IF(base!BA424="","",base!BA424)</f>
        <v>1875</v>
      </c>
      <c r="P424" s="13">
        <f>IF(base!BK424="","",base!BK424)</f>
        <v>46303.805902777778</v>
      </c>
      <c r="Q424" s="15" t="str">
        <f>IF(base!BS424="","",base!BS424)</f>
        <v/>
      </c>
    </row>
    <row r="425" spans="1:17" ht="30" x14ac:dyDescent="0.35">
      <c r="A425" s="14">
        <f>IF(base!A425="","",base!A425)</f>
        <v>6200423</v>
      </c>
      <c r="B425" s="13">
        <f>IF(base!BN425="","",base!BN425)</f>
        <v>46303.625</v>
      </c>
      <c r="C425" s="12" t="str">
        <f>IF(base!C425="","",base!C425)</f>
        <v>ZETABURGOS SRL</v>
      </c>
      <c r="D425" s="12" t="str">
        <f>IF(base!E425="","",base!E425)</f>
        <v>1RVT - 1° VISITA</v>
      </c>
      <c r="E425" s="12" t="str">
        <f>IF(base!BF425="","",base!BF425)</f>
        <v/>
      </c>
      <c r="F425" s="12" t="str">
        <f>IF(D425="","",IF(OR(ISNUMBER(SEARCH("VISITA",D425)),ISNUMBER(SEARCH("RUTA",D425)),ISNUMBER(SEARCH("ARRIB",D425)),ISNUMBER(SEARCH("MATRIZ",D425)),ISNUMBER(SEARCH("PENDIENTE",D425))),"VISITA COORDINADA CON EL CLIENTE","N/A"))</f>
        <v>VISITA COORDINADA CON EL CLIENTE</v>
      </c>
      <c r="G425" s="12" t="str">
        <f>IF(base!G425="","",base!G425)</f>
        <v>ABC001</v>
      </c>
      <c r="H425" s="12" t="str">
        <f>IF(base!I425="","",base!I425)</f>
        <v>SAMEDAY</v>
      </c>
      <c r="I425" s="12" t="str">
        <f>IF(base!S425="","",base!S425)</f>
        <v>Prueba 423</v>
      </c>
      <c r="J425" s="12" t="str">
        <f>IF(base!T425="","",base!T425)</f>
        <v>Calle 123
Piso 2</v>
      </c>
      <c r="K425" s="12" t="str">
        <f>IF(base!U425="","",base!U425)</f>
        <v/>
      </c>
      <c r="L425" s="12" t="str">
        <f>IF(base!Y425="","",base!Y425)</f>
        <v/>
      </c>
      <c r="M425" s="12" t="str">
        <f>IF(base!AH425="","",base!AH425)</f>
        <v/>
      </c>
      <c r="N425" s="12" t="str">
        <f>IF(base!AI425="","",base!AI425)</f>
        <v>34.072273</v>
      </c>
      <c r="O425" s="12">
        <f>IF(base!BA425="","",base!BA425)</f>
        <v>1875</v>
      </c>
      <c r="P425" s="13">
        <f>IF(base!BK425="","",base!BK425)</f>
        <v>46303.805902777778</v>
      </c>
      <c r="Q425" s="15" t="str">
        <f>IF(base!BS425="","",base!BS425)</f>
        <v/>
      </c>
    </row>
    <row r="426" spans="1:17" ht="30" x14ac:dyDescent="0.35">
      <c r="A426" s="14">
        <f>IF(base!A426="","",base!A426)</f>
        <v>6200424</v>
      </c>
      <c r="B426" s="13">
        <f>IF(base!BN426="","",base!BN426)</f>
        <v>46303.625</v>
      </c>
      <c r="C426" s="12" t="str">
        <f>IF(base!C426="","",base!C426)</f>
        <v>ZETABURGOS SRL</v>
      </c>
      <c r="D426" s="12" t="str">
        <f>IF(base!E426="","",base!E426)</f>
        <v>ENTREGADO</v>
      </c>
      <c r="E426" s="12" t="str">
        <f>IF(base!BF426="","",base!BF426)</f>
        <v/>
      </c>
      <c r="F426" s="12" t="str">
        <f>IF(D426="","",IF(OR(ISNUMBER(SEARCH("VISITA",D426)),ISNUMBER(SEARCH("RUTA",D426)),ISNUMBER(SEARCH("ARRIB",D426)),ISNUMBER(SEARCH("MATRIZ",D426)),ISNUMBER(SEARCH("PENDIENTE",D426))),"VISITA COORDINADA CON EL CLIENTE","N/A"))</f>
        <v>N/A</v>
      </c>
      <c r="G426" s="12" t="str">
        <f>IF(base!G426="","",base!G426)</f>
        <v>2000018857041302</v>
      </c>
      <c r="H426" s="12" t="str">
        <f>IF(base!I426="","",base!I426)</f>
        <v>FLEX</v>
      </c>
      <c r="I426" s="12" t="str">
        <f>IF(base!S426="","",base!S426)</f>
        <v>Prueba 424</v>
      </c>
      <c r="J426" s="12" t="str">
        <f>IF(base!T426="","",base!T426)</f>
        <v>Calle 123
Piso 2</v>
      </c>
      <c r="K426" s="12" t="str">
        <f>IF(base!U426="","",base!U426)</f>
        <v/>
      </c>
      <c r="L426" s="12" t="str">
        <f>IF(base!Y426="","",base!Y426)</f>
        <v/>
      </c>
      <c r="M426" s="12" t="str">
        <f>IF(base!AH426="","",base!AH426)</f>
        <v/>
      </c>
      <c r="N426" s="12" t="str">
        <f>IF(base!AI426="","",base!AI426)</f>
        <v>34.072273</v>
      </c>
      <c r="O426" s="12">
        <f>IF(base!BA426="","",base!BA426)</f>
        <v>1875</v>
      </c>
      <c r="P426" s="13">
        <f>IF(base!BK426="","",base!BK426)</f>
        <v>46303.805902777778</v>
      </c>
      <c r="Q426" s="15" t="str">
        <f>IF(base!BS426="","",base!BS426)</f>
        <v/>
      </c>
    </row>
    <row r="427" spans="1:17" ht="30" x14ac:dyDescent="0.35">
      <c r="A427" s="14">
        <f>IF(base!A427="","",base!A427)</f>
        <v>6200425</v>
      </c>
      <c r="B427" s="13">
        <f>IF(base!BN427="","",base!BN427)</f>
        <v>46303.625</v>
      </c>
      <c r="C427" s="12" t="str">
        <f>IF(base!C427="","",base!C427)</f>
        <v>ZETABURGOS SRL</v>
      </c>
      <c r="D427" s="12" t="str">
        <f>IF(base!E427="","",base!E427)</f>
        <v>REPROGRAMACIÓN</v>
      </c>
      <c r="E427" s="12" t="str">
        <f>IF(base!BF427="","",base!BF427)</f>
        <v/>
      </c>
      <c r="F427" s="12" t="str">
        <f>IF(D427="","",IF(OR(ISNUMBER(SEARCH("VISITA",D427)),ISNUMBER(SEARCH("RUTA",D427)),ISNUMBER(SEARCH("ARRIB",D427)),ISNUMBER(SEARCH("MATRIZ",D427)),ISNUMBER(SEARCH("PENDIENTE",D427))),"VISITA COORDINADA CON EL CLIENTE","N/A"))</f>
        <v>N/A</v>
      </c>
      <c r="G427" s="12" t="str">
        <f>IF(base!G427="","",base!G427)</f>
        <v>001234</v>
      </c>
      <c r="H427" s="12" t="str">
        <f>IF(base!I427="","",base!I427)</f>
        <v>FLEX</v>
      </c>
      <c r="I427" s="12" t="str">
        <f>IF(base!S427="","",base!S427)</f>
        <v>Prueba 425</v>
      </c>
      <c r="J427" s="12" t="str">
        <f>IF(base!T427="","",base!T427)</f>
        <v>Calle 123
Piso 2</v>
      </c>
      <c r="K427" s="12" t="str">
        <f>IF(base!U427="","",base!U427)</f>
        <v/>
      </c>
      <c r="L427" s="12" t="str">
        <f>IF(base!Y427="","",base!Y427)</f>
        <v/>
      </c>
      <c r="M427" s="12" t="str">
        <f>IF(base!AH427="","",base!AH427)</f>
        <v/>
      </c>
      <c r="N427" s="12" t="str">
        <f>IF(base!AI427="","",base!AI427)</f>
        <v>34.072273</v>
      </c>
      <c r="O427" s="12">
        <f>IF(base!BA427="","",base!BA427)</f>
        <v>1875</v>
      </c>
      <c r="P427" s="13">
        <f>IF(base!BK427="","",base!BK427)</f>
        <v>46303.805902777778</v>
      </c>
      <c r="Q427" s="15" t="str">
        <f>IF(base!BS427="","",base!BS427)</f>
        <v/>
      </c>
    </row>
    <row r="428" spans="1:17" ht="30" x14ac:dyDescent="0.35">
      <c r="A428" s="14">
        <f>IF(base!A428="","",base!A428)</f>
        <v>6200426</v>
      </c>
      <c r="B428" s="13">
        <f>IF(base!BN428="","",base!BN428)</f>
        <v>46303.625</v>
      </c>
      <c r="C428" s="12" t="str">
        <f>IF(base!C428="","",base!C428)</f>
        <v>ZETABURGOS SRL</v>
      </c>
      <c r="D428" s="12" t="str">
        <f>IF(base!E428="","",base!E428)</f>
        <v>1RVT - 1° VISITA</v>
      </c>
      <c r="E428" s="12" t="str">
        <f>IF(base!BF428="","",base!BF428)</f>
        <v/>
      </c>
      <c r="F428" s="12" t="str">
        <f>IF(D428="","",IF(OR(ISNUMBER(SEARCH("VISITA",D428)),ISNUMBER(SEARCH("RUTA",D428)),ISNUMBER(SEARCH("ARRIB",D428)),ISNUMBER(SEARCH("MATRIZ",D428)),ISNUMBER(SEARCH("PENDIENTE",D428))),"VISITA COORDINADA CON EL CLIENTE","N/A"))</f>
        <v>VISITA COORDINADA CON EL CLIENTE</v>
      </c>
      <c r="G428" s="12" t="str">
        <f>"#ABC"</f>
        <v>#ABC</v>
      </c>
      <c r="H428" s="12" t="str">
        <f>IF(base!I428="","",base!I428)</f>
        <v>SAMEDAY</v>
      </c>
      <c r="I428" s="12" t="str">
        <f>IF(base!S428="","",base!S428)</f>
        <v>Prueba 426</v>
      </c>
      <c r="J428" s="12" t="str">
        <f>IF(base!T428="","",base!T428)</f>
        <v>Calle 123
Piso 2</v>
      </c>
      <c r="K428" s="12" t="str">
        <f>IF(base!U428="","",base!U428)</f>
        <v/>
      </c>
      <c r="L428" s="12" t="str">
        <f>IF(base!Y428="","",base!Y428)</f>
        <v/>
      </c>
      <c r="M428" s="12" t="str">
        <f>IF(base!AH428="","",base!AH428)</f>
        <v/>
      </c>
      <c r="N428" s="12" t="str">
        <f>IF(base!AI428="","",base!AI428)</f>
        <v>34.072273</v>
      </c>
      <c r="O428" s="12">
        <f>IF(base!BA428="","",base!BA428)</f>
        <v>1875</v>
      </c>
      <c r="P428" s="13">
        <f>IF(base!BK428="","",base!BK428)</f>
        <v>46303.805902777778</v>
      </c>
      <c r="Q428" s="15" t="str">
        <f>IF(base!BS428="","",base!BS428)</f>
        <v/>
      </c>
    </row>
    <row r="429" spans="1:17" ht="30" x14ac:dyDescent="0.35">
      <c r="A429" s="14">
        <f>IF(base!A429="","",base!A429)</f>
        <v>6200427</v>
      </c>
      <c r="B429" s="13">
        <f>IF(base!BN429="","",base!BN429)</f>
        <v>46303.625</v>
      </c>
      <c r="C429" s="12" t="str">
        <f>IF(base!C429="","",base!C429)</f>
        <v>ZETABURGOS SRL</v>
      </c>
      <c r="D429" s="12" t="str">
        <f>IF(base!E429="","",base!E429)</f>
        <v>ENTREGADO</v>
      </c>
      <c r="E429" s="12" t="str">
        <f>IF(base!BF429="","",base!BF429)</f>
        <v/>
      </c>
      <c r="F429" s="12" t="str">
        <f>IF(D429="","",IF(OR(ISNUMBER(SEARCH("VISITA",D429)),ISNUMBER(SEARCH("RUTA",D429)),ISNUMBER(SEARCH("ARRIB",D429)),ISNUMBER(SEARCH("MATRIZ",D429)),ISNUMBER(SEARCH("PENDIENTE",D429))),"VISITA COORDINADA CON EL CLIENTE","N/A"))</f>
        <v>N/A</v>
      </c>
      <c r="G429" s="12">
        <f>IF(base!G429="","",base!G429)</f>
        <v>470123456</v>
      </c>
      <c r="H429" s="12" t="str">
        <f>IF(base!I429="","",base!I429)</f>
        <v>FLEX</v>
      </c>
      <c r="I429" s="12" t="str">
        <f>IF(base!S429="","",base!S429)</f>
        <v>Prueba 427</v>
      </c>
      <c r="J429" s="12" t="str">
        <f>IF(base!T429="","",base!T429)</f>
        <v>Calle 123
Piso 2</v>
      </c>
      <c r="K429" s="12" t="str">
        <f>IF(base!U429="","",base!U429)</f>
        <v/>
      </c>
      <c r="L429" s="12" t="str">
        <f>IF(base!Y429="","",base!Y429)</f>
        <v/>
      </c>
      <c r="M429" s="12" t="str">
        <f>IF(base!AH429="","",base!AH429)</f>
        <v/>
      </c>
      <c r="N429" s="12" t="str">
        <f>IF(base!AI429="","",base!AI429)</f>
        <v>34.072273</v>
      </c>
      <c r="O429" s="12">
        <f>IF(base!BA429="","",base!BA429)</f>
        <v>1875</v>
      </c>
      <c r="P429" s="13">
        <f>IF(base!BK429="","",base!BK429)</f>
        <v>46303.805902777778</v>
      </c>
      <c r="Q429" s="15" t="str">
        <f>IF(base!BS429="","",base!BS429)</f>
        <v/>
      </c>
    </row>
    <row r="430" spans="1:17" ht="30" x14ac:dyDescent="0.35">
      <c r="A430" s="14">
        <f>IF(base!A430="","",base!A430)</f>
        <v>6200428</v>
      </c>
      <c r="B430" s="13">
        <f>IF(base!BN430="","",base!BN430)</f>
        <v>46303.625</v>
      </c>
      <c r="C430" s="12" t="str">
        <f>IF(base!C430="","",base!C430)</f>
        <v>ZETABURGOS SRL</v>
      </c>
      <c r="D430" s="12" t="str">
        <f>IF(base!E430="","",base!E430)</f>
        <v>REPROGRAMACIÓN</v>
      </c>
      <c r="E430" s="12" t="str">
        <f>IF(base!BF430="","",base!BF430)</f>
        <v/>
      </c>
      <c r="F430" s="12" t="str">
        <f>IF(D430="","",IF(OR(ISNUMBER(SEARCH("VISITA",D430)),ISNUMBER(SEARCH("RUTA",D430)),ISNUMBER(SEARCH("ARRIB",D430)),ISNUMBER(SEARCH("MATRIZ",D430)),ISNUMBER(SEARCH("PENDIENTE",D430))),"VISITA COORDINADA CON EL CLIENTE","N/A"))</f>
        <v>N/A</v>
      </c>
      <c r="G430" s="12" t="str">
        <f>IF(base!G430="","",base!G430)</f>
        <v>ABC001</v>
      </c>
      <c r="H430" s="12" t="str">
        <f>IF(base!I430="","",base!I430)</f>
        <v>SAMEDAY</v>
      </c>
      <c r="I430" s="12" t="str">
        <f>IF(base!S430="","",base!S430)</f>
        <v>Prueba 428</v>
      </c>
      <c r="J430" s="12" t="str">
        <f>IF(base!T430="","",base!T430)</f>
        <v>Calle 123
Piso 2</v>
      </c>
      <c r="K430" s="12" t="str">
        <f>IF(base!U430="","",base!U430)</f>
        <v/>
      </c>
      <c r="L430" s="12" t="str">
        <f>IF(base!Y430="","",base!Y430)</f>
        <v/>
      </c>
      <c r="M430" s="12" t="str">
        <f>IF(base!AH430="","",base!AH430)</f>
        <v/>
      </c>
      <c r="N430" s="12" t="str">
        <f>IF(base!AI430="","",base!AI430)</f>
        <v>34.072273</v>
      </c>
      <c r="O430" s="12">
        <f>IF(base!BA430="","",base!BA430)</f>
        <v>1875</v>
      </c>
      <c r="P430" s="13">
        <f>IF(base!BK430="","",base!BK430)</f>
        <v>46303.805902777778</v>
      </c>
      <c r="Q430" s="15" t="str">
        <f>IF(base!BS430="","",base!BS430)</f>
        <v/>
      </c>
    </row>
    <row r="431" spans="1:17" ht="30" x14ac:dyDescent="0.35">
      <c r="A431" s="14">
        <f>IF(base!A431="","",base!A431)</f>
        <v>6200429</v>
      </c>
      <c r="B431" s="13">
        <f>IF(base!BN431="","",base!BN431)</f>
        <v>46303.625</v>
      </c>
      <c r="C431" s="12" t="str">
        <f>IF(base!C431="","",base!C431)</f>
        <v>ZETABURGOS SRL</v>
      </c>
      <c r="D431" s="12" t="str">
        <f>IF(base!E431="","",base!E431)</f>
        <v>1RVT - 1° VISITA</v>
      </c>
      <c r="E431" s="12" t="str">
        <f>IF(base!BF431="","",base!BF431)</f>
        <v/>
      </c>
      <c r="F431" s="12" t="str">
        <f>IF(D431="","",IF(OR(ISNUMBER(SEARCH("VISITA",D431)),ISNUMBER(SEARCH("RUTA",D431)),ISNUMBER(SEARCH("ARRIB",D431)),ISNUMBER(SEARCH("MATRIZ",D431)),ISNUMBER(SEARCH("PENDIENTE",D431))),"VISITA COORDINADA CON EL CLIENTE","N/A"))</f>
        <v>VISITA COORDINADA CON EL CLIENTE</v>
      </c>
      <c r="G431" s="12" t="str">
        <f>IF(base!G431="","",base!G431)</f>
        <v>2000018857041302</v>
      </c>
      <c r="H431" s="12" t="str">
        <f>IF(base!I431="","",base!I431)</f>
        <v>FLEX</v>
      </c>
      <c r="I431" s="12" t="str">
        <f>IF(base!S431="","",base!S431)</f>
        <v>Prueba 429</v>
      </c>
      <c r="J431" s="12" t="str">
        <f>IF(base!T431="","",base!T431)</f>
        <v>Calle 123
Piso 2</v>
      </c>
      <c r="K431" s="12" t="str">
        <f>IF(base!U431="","",base!U431)</f>
        <v/>
      </c>
      <c r="L431" s="12" t="str">
        <f>IF(base!Y431="","",base!Y431)</f>
        <v/>
      </c>
      <c r="M431" s="12" t="str">
        <f>IF(base!AH431="","",base!AH431)</f>
        <v/>
      </c>
      <c r="N431" s="12" t="str">
        <f>IF(base!AI431="","",base!AI431)</f>
        <v>34.072273</v>
      </c>
      <c r="O431" s="12">
        <f>IF(base!BA431="","",base!BA431)</f>
        <v>1875</v>
      </c>
      <c r="P431" s="13">
        <f>IF(base!BK431="","",base!BK431)</f>
        <v>46303.805902777778</v>
      </c>
      <c r="Q431" s="15" t="str">
        <f>IF(base!BS431="","",base!BS431)</f>
        <v/>
      </c>
    </row>
    <row r="432" spans="1:17" ht="30" x14ac:dyDescent="0.35">
      <c r="A432" s="14">
        <f>IF(base!A432="","",base!A432)</f>
        <v>6200430</v>
      </c>
      <c r="B432" s="13">
        <f>IF(base!BN432="","",base!BN432)</f>
        <v>46303.625</v>
      </c>
      <c r="C432" s="12" t="str">
        <f>IF(base!C432="","",base!C432)</f>
        <v>ZETABURGOS SRL</v>
      </c>
      <c r="D432" s="12" t="str">
        <f>IF(base!E432="","",base!E432)</f>
        <v>ENTREGADO</v>
      </c>
      <c r="E432" s="12" t="str">
        <f>IF(base!BF432="","",base!BF432)</f>
        <v/>
      </c>
      <c r="F432" s="12" t="str">
        <f>IF(D432="","",IF(OR(ISNUMBER(SEARCH("VISITA",D432)),ISNUMBER(SEARCH("RUTA",D432)),ISNUMBER(SEARCH("ARRIB",D432)),ISNUMBER(SEARCH("MATRIZ",D432)),ISNUMBER(SEARCH("PENDIENTE",D432))),"VISITA COORDINADA CON EL CLIENTE","N/A"))</f>
        <v>N/A</v>
      </c>
      <c r="G432" s="12" t="str">
        <f>IF(base!G432="","",base!G432)</f>
        <v>001234</v>
      </c>
      <c r="H432" s="12" t="str">
        <f>IF(base!I432="","",base!I432)</f>
        <v>FLEX</v>
      </c>
      <c r="I432" s="12" t="str">
        <f>IF(base!S432="","",base!S432)</f>
        <v>Prueba 430</v>
      </c>
      <c r="J432" s="12" t="str">
        <f>IF(base!T432="","",base!T432)</f>
        <v>Calle 123
Piso 2</v>
      </c>
      <c r="K432" s="12" t="str">
        <f>IF(base!U432="","",base!U432)</f>
        <v/>
      </c>
      <c r="L432" s="12" t="str">
        <f>IF(base!Y432="","",base!Y432)</f>
        <v/>
      </c>
      <c r="M432" s="12" t="str">
        <f>IF(base!AH432="","",base!AH432)</f>
        <v/>
      </c>
      <c r="N432" s="12" t="str">
        <f>IF(base!AI432="","",base!AI432)</f>
        <v>34.072273</v>
      </c>
      <c r="O432" s="12">
        <f>IF(base!BA432="","",base!BA432)</f>
        <v>1875</v>
      </c>
      <c r="P432" s="13">
        <f>IF(base!BK432="","",base!BK432)</f>
        <v>46303.805902777778</v>
      </c>
      <c r="Q432" s="15" t="str">
        <f>IF(base!BS432="","",base!BS432)</f>
        <v/>
      </c>
    </row>
    <row r="433" spans="1:17" ht="30" x14ac:dyDescent="0.35">
      <c r="A433" s="14">
        <f>IF(base!A433="","",base!A433)</f>
        <v>6200431</v>
      </c>
      <c r="B433" s="13">
        <f>IF(base!BN433="","",base!BN433)</f>
        <v>46303.625</v>
      </c>
      <c r="C433" s="12" t="str">
        <f>IF(base!C433="","",base!C433)</f>
        <v>ZETABURGOS SRL</v>
      </c>
      <c r="D433" s="12" t="str">
        <f>IF(base!E433="","",base!E433)</f>
        <v>REPROGRAMACIÓN</v>
      </c>
      <c r="E433" s="12" t="str">
        <f>IF(base!BF433="","",base!BF433)</f>
        <v/>
      </c>
      <c r="F433" s="12" t="str">
        <f>IF(D433="","",IF(OR(ISNUMBER(SEARCH("VISITA",D433)),ISNUMBER(SEARCH("RUTA",D433)),ISNUMBER(SEARCH("ARRIB",D433)),ISNUMBER(SEARCH("MATRIZ",D433)),ISNUMBER(SEARCH("PENDIENTE",D433))),"VISITA COORDINADA CON EL CLIENTE","N/A"))</f>
        <v>N/A</v>
      </c>
      <c r="G433" s="12" t="str">
        <f>"#ABC"</f>
        <v>#ABC</v>
      </c>
      <c r="H433" s="12" t="str">
        <f>IF(base!I433="","",base!I433)</f>
        <v>SAMEDAY</v>
      </c>
      <c r="I433" s="12" t="str">
        <f>IF(base!S433="","",base!S433)</f>
        <v>Prueba 431</v>
      </c>
      <c r="J433" s="12" t="str">
        <f>IF(base!T433="","",base!T433)</f>
        <v>Calle 123
Piso 2</v>
      </c>
      <c r="K433" s="12" t="str">
        <f>IF(base!U433="","",base!U433)</f>
        <v/>
      </c>
      <c r="L433" s="12" t="str">
        <f>IF(base!Y433="","",base!Y433)</f>
        <v/>
      </c>
      <c r="M433" s="12" t="str">
        <f>IF(base!AH433="","",base!AH433)</f>
        <v/>
      </c>
      <c r="N433" s="12" t="str">
        <f>IF(base!AI433="","",base!AI433)</f>
        <v>34.072273</v>
      </c>
      <c r="O433" s="12">
        <f>IF(base!BA433="","",base!BA433)</f>
        <v>1875</v>
      </c>
      <c r="P433" s="13">
        <f>IF(base!BK433="","",base!BK433)</f>
        <v>46303.805902777778</v>
      </c>
      <c r="Q433" s="15" t="str">
        <f>IF(base!BS433="","",base!BS433)</f>
        <v/>
      </c>
    </row>
    <row r="434" spans="1:17" ht="30" x14ac:dyDescent="0.35">
      <c r="A434" s="14">
        <f>IF(base!A434="","",base!A434)</f>
        <v>6200432</v>
      </c>
      <c r="B434" s="13">
        <f>IF(base!BN434="","",base!BN434)</f>
        <v>46303.625</v>
      </c>
      <c r="C434" s="12" t="str">
        <f>IF(base!C434="","",base!C434)</f>
        <v>ZETABURGOS SRL</v>
      </c>
      <c r="D434" s="12" t="str">
        <f>IF(base!E434="","",base!E434)</f>
        <v>1RVT - 1° VISITA</v>
      </c>
      <c r="E434" s="12" t="str">
        <f>IF(base!BF434="","",base!BF434)</f>
        <v/>
      </c>
      <c r="F434" s="12" t="str">
        <f>IF(D434="","",IF(OR(ISNUMBER(SEARCH("VISITA",D434)),ISNUMBER(SEARCH("RUTA",D434)),ISNUMBER(SEARCH("ARRIB",D434)),ISNUMBER(SEARCH("MATRIZ",D434)),ISNUMBER(SEARCH("PENDIENTE",D434))),"VISITA COORDINADA CON EL CLIENTE","N/A"))</f>
        <v>VISITA COORDINADA CON EL CLIENTE</v>
      </c>
      <c r="G434" s="12">
        <f>IF(base!G434="","",base!G434)</f>
        <v>470123456</v>
      </c>
      <c r="H434" s="12" t="str">
        <f>IF(base!I434="","",base!I434)</f>
        <v>FLEX</v>
      </c>
      <c r="I434" s="12" t="str">
        <f>IF(base!S434="","",base!S434)</f>
        <v>Prueba 432</v>
      </c>
      <c r="J434" s="12" t="str">
        <f>IF(base!T434="","",base!T434)</f>
        <v>Calle 123
Piso 2</v>
      </c>
      <c r="K434" s="12" t="str">
        <f>IF(base!U434="","",base!U434)</f>
        <v/>
      </c>
      <c r="L434" s="12" t="str">
        <f>IF(base!Y434="","",base!Y434)</f>
        <v/>
      </c>
      <c r="M434" s="12" t="str">
        <f>IF(base!AH434="","",base!AH434)</f>
        <v/>
      </c>
      <c r="N434" s="12" t="str">
        <f>IF(base!AI434="","",base!AI434)</f>
        <v>34.072273</v>
      </c>
      <c r="O434" s="12">
        <f>IF(base!BA434="","",base!BA434)</f>
        <v>1875</v>
      </c>
      <c r="P434" s="13">
        <f>IF(base!BK434="","",base!BK434)</f>
        <v>46303.805902777778</v>
      </c>
      <c r="Q434" s="15" t="str">
        <f>IF(base!BS434="","",base!BS434)</f>
        <v/>
      </c>
    </row>
    <row r="435" spans="1:17" ht="30" x14ac:dyDescent="0.35">
      <c r="A435" s="14">
        <f>IF(base!A435="","",base!A435)</f>
        <v>6200433</v>
      </c>
      <c r="B435" s="13">
        <f>IF(base!BN435="","",base!BN435)</f>
        <v>46303.625</v>
      </c>
      <c r="C435" s="12" t="str">
        <f>IF(base!C435="","",base!C435)</f>
        <v>ZETABURGOS SRL</v>
      </c>
      <c r="D435" s="12" t="str">
        <f>IF(base!E435="","",base!E435)</f>
        <v>ENTREGADO</v>
      </c>
      <c r="E435" s="12" t="str">
        <f>IF(base!BF435="","",base!BF435)</f>
        <v/>
      </c>
      <c r="F435" s="12" t="str">
        <f>IF(D435="","",IF(OR(ISNUMBER(SEARCH("VISITA",D435)),ISNUMBER(SEARCH("RUTA",D435)),ISNUMBER(SEARCH("ARRIB",D435)),ISNUMBER(SEARCH("MATRIZ",D435)),ISNUMBER(SEARCH("PENDIENTE",D435))),"VISITA COORDINADA CON EL CLIENTE","N/A"))</f>
        <v>N/A</v>
      </c>
      <c r="G435" s="12" t="str">
        <f>IF(base!G435="","",base!G435)</f>
        <v>ABC001</v>
      </c>
      <c r="H435" s="12" t="str">
        <f>IF(base!I435="","",base!I435)</f>
        <v>SAMEDAY</v>
      </c>
      <c r="I435" s="12" t="str">
        <f>IF(base!S435="","",base!S435)</f>
        <v>Prueba 433</v>
      </c>
      <c r="J435" s="12" t="str">
        <f>IF(base!T435="","",base!T435)</f>
        <v>Calle 123
Piso 2</v>
      </c>
      <c r="K435" s="12" t="str">
        <f>IF(base!U435="","",base!U435)</f>
        <v/>
      </c>
      <c r="L435" s="12" t="str">
        <f>IF(base!Y435="","",base!Y435)</f>
        <v/>
      </c>
      <c r="M435" s="12" t="str">
        <f>IF(base!AH435="","",base!AH435)</f>
        <v/>
      </c>
      <c r="N435" s="12" t="str">
        <f>IF(base!AI435="","",base!AI435)</f>
        <v>34.072273</v>
      </c>
      <c r="O435" s="12">
        <f>IF(base!BA435="","",base!BA435)</f>
        <v>1875</v>
      </c>
      <c r="P435" s="13">
        <f>IF(base!BK435="","",base!BK435)</f>
        <v>46303.805902777778</v>
      </c>
      <c r="Q435" s="15" t="str">
        <f>IF(base!BS435="","",base!BS435)</f>
        <v/>
      </c>
    </row>
    <row r="436" spans="1:17" ht="30" x14ac:dyDescent="0.35">
      <c r="A436" s="14">
        <f>IF(base!A436="","",base!A436)</f>
        <v>6200434</v>
      </c>
      <c r="B436" s="13">
        <f>IF(base!BN436="","",base!BN436)</f>
        <v>46303.625</v>
      </c>
      <c r="C436" s="12" t="str">
        <f>IF(base!C436="","",base!C436)</f>
        <v>ZETABURGOS SRL</v>
      </c>
      <c r="D436" s="12" t="str">
        <f>IF(base!E436="","",base!E436)</f>
        <v>REPROGRAMACIÓN</v>
      </c>
      <c r="E436" s="12" t="str">
        <f>IF(base!BF436="","",base!BF436)</f>
        <v/>
      </c>
      <c r="F436" s="12" t="str">
        <f>IF(D436="","",IF(OR(ISNUMBER(SEARCH("VISITA",D436)),ISNUMBER(SEARCH("RUTA",D436)),ISNUMBER(SEARCH("ARRIB",D436)),ISNUMBER(SEARCH("MATRIZ",D436)),ISNUMBER(SEARCH("PENDIENTE",D436))),"VISITA COORDINADA CON EL CLIENTE","N/A"))</f>
        <v>N/A</v>
      </c>
      <c r="G436" s="12" t="str">
        <f>IF(base!G436="","",base!G436)</f>
        <v>2000018857041302</v>
      </c>
      <c r="H436" s="12" t="str">
        <f>IF(base!I436="","",base!I436)</f>
        <v>FLEX</v>
      </c>
      <c r="I436" s="12" t="str">
        <f>IF(base!S436="","",base!S436)</f>
        <v>Prueba 434</v>
      </c>
      <c r="J436" s="12" t="str">
        <f>IF(base!T436="","",base!T436)</f>
        <v>Calle 123
Piso 2</v>
      </c>
      <c r="K436" s="12" t="str">
        <f>IF(base!U436="","",base!U436)</f>
        <v/>
      </c>
      <c r="L436" s="12" t="str">
        <f>IF(base!Y436="","",base!Y436)</f>
        <v/>
      </c>
      <c r="M436" s="12" t="str">
        <f>IF(base!AH436="","",base!AH436)</f>
        <v/>
      </c>
      <c r="N436" s="12" t="str">
        <f>IF(base!AI436="","",base!AI436)</f>
        <v>34.072273</v>
      </c>
      <c r="O436" s="12">
        <f>IF(base!BA436="","",base!BA436)</f>
        <v>1875</v>
      </c>
      <c r="P436" s="13">
        <f>IF(base!BK436="","",base!BK436)</f>
        <v>46303.805902777778</v>
      </c>
      <c r="Q436" s="15" t="str">
        <f>IF(base!BS436="","",base!BS436)</f>
        <v/>
      </c>
    </row>
    <row r="437" spans="1:17" ht="30" x14ac:dyDescent="0.35">
      <c r="A437" s="14">
        <f>IF(base!A437="","",base!A437)</f>
        <v>6200435</v>
      </c>
      <c r="B437" s="13">
        <f>IF(base!BN437="","",base!BN437)</f>
        <v>46303.625</v>
      </c>
      <c r="C437" s="12" t="str">
        <f>IF(base!C437="","",base!C437)</f>
        <v>ZETABURGOS SRL</v>
      </c>
      <c r="D437" s="12" t="str">
        <f>IF(base!E437="","",base!E437)</f>
        <v>1RVT - 1° VISITA</v>
      </c>
      <c r="E437" s="12" t="str">
        <f>IF(base!BF437="","",base!BF437)</f>
        <v/>
      </c>
      <c r="F437" s="12" t="str">
        <f>IF(D437="","",IF(OR(ISNUMBER(SEARCH("VISITA",D437)),ISNUMBER(SEARCH("RUTA",D437)),ISNUMBER(SEARCH("ARRIB",D437)),ISNUMBER(SEARCH("MATRIZ",D437)),ISNUMBER(SEARCH("PENDIENTE",D437))),"VISITA COORDINADA CON EL CLIENTE","N/A"))</f>
        <v>VISITA COORDINADA CON EL CLIENTE</v>
      </c>
      <c r="G437" s="12" t="str">
        <f>IF(base!G437="","",base!G437)</f>
        <v>001234</v>
      </c>
      <c r="H437" s="12" t="str">
        <f>IF(base!I437="","",base!I437)</f>
        <v>FLEX</v>
      </c>
      <c r="I437" s="12" t="str">
        <f>IF(base!S437="","",base!S437)</f>
        <v>Prueba 435</v>
      </c>
      <c r="J437" s="12" t="str">
        <f>IF(base!T437="","",base!T437)</f>
        <v>Calle 123
Piso 2</v>
      </c>
      <c r="K437" s="12" t="str">
        <f>IF(base!U437="","",base!U437)</f>
        <v/>
      </c>
      <c r="L437" s="12" t="str">
        <f>IF(base!Y437="","",base!Y437)</f>
        <v/>
      </c>
      <c r="M437" s="12" t="str">
        <f>IF(base!AH437="","",base!AH437)</f>
        <v/>
      </c>
      <c r="N437" s="12" t="str">
        <f>IF(base!AI437="","",base!AI437)</f>
        <v>34.072273</v>
      </c>
      <c r="O437" s="12">
        <f>IF(base!BA437="","",base!BA437)</f>
        <v>1875</v>
      </c>
      <c r="P437" s="13">
        <f>IF(base!BK437="","",base!BK437)</f>
        <v>46303.805902777778</v>
      </c>
      <c r="Q437" s="15" t="str">
        <f>IF(base!BS437="","",base!BS437)</f>
        <v/>
      </c>
    </row>
    <row r="438" spans="1:17" ht="30" x14ac:dyDescent="0.35">
      <c r="A438" s="14">
        <f>IF(base!A438="","",base!A438)</f>
        <v>6200436</v>
      </c>
      <c r="B438" s="13">
        <f>IF(base!BN438="","",base!BN438)</f>
        <v>46303.625</v>
      </c>
      <c r="C438" s="12" t="str">
        <f>IF(base!C438="","",base!C438)</f>
        <v>ZETABURGOS SRL</v>
      </c>
      <c r="D438" s="12" t="str">
        <f>IF(base!E438="","",base!E438)</f>
        <v>ENTREGADO</v>
      </c>
      <c r="E438" s="12" t="str">
        <f>IF(base!BF438="","",base!BF438)</f>
        <v/>
      </c>
      <c r="F438" s="12" t="str">
        <f>IF(D438="","",IF(OR(ISNUMBER(SEARCH("VISITA",D438)),ISNUMBER(SEARCH("RUTA",D438)),ISNUMBER(SEARCH("ARRIB",D438)),ISNUMBER(SEARCH("MATRIZ",D438)),ISNUMBER(SEARCH("PENDIENTE",D438))),"VISITA COORDINADA CON EL CLIENTE","N/A"))</f>
        <v>N/A</v>
      </c>
      <c r="G438" s="12" t="str">
        <f>"#ABC"</f>
        <v>#ABC</v>
      </c>
      <c r="H438" s="12" t="str">
        <f>IF(base!I438="","",base!I438)</f>
        <v>SAMEDAY</v>
      </c>
      <c r="I438" s="12" t="str">
        <f>IF(base!S438="","",base!S438)</f>
        <v>Prueba 436</v>
      </c>
      <c r="J438" s="12" t="str">
        <f>IF(base!T438="","",base!T438)</f>
        <v>Calle 123
Piso 2</v>
      </c>
      <c r="K438" s="12" t="str">
        <f>IF(base!U438="","",base!U438)</f>
        <v/>
      </c>
      <c r="L438" s="12" t="str">
        <f>IF(base!Y438="","",base!Y438)</f>
        <v/>
      </c>
      <c r="M438" s="12" t="str">
        <f>IF(base!AH438="","",base!AH438)</f>
        <v/>
      </c>
      <c r="N438" s="12" t="str">
        <f>IF(base!AI438="","",base!AI438)</f>
        <v>34.072273</v>
      </c>
      <c r="O438" s="12">
        <f>IF(base!BA438="","",base!BA438)</f>
        <v>1875</v>
      </c>
      <c r="P438" s="13">
        <f>IF(base!BK438="","",base!BK438)</f>
        <v>46303.805902777778</v>
      </c>
      <c r="Q438" s="15" t="str">
        <f>IF(base!BS438="","",base!BS438)</f>
        <v/>
      </c>
    </row>
    <row r="439" spans="1:17" ht="30" x14ac:dyDescent="0.35">
      <c r="A439" s="14">
        <f>IF(base!A439="","",base!A439)</f>
        <v>6200437</v>
      </c>
      <c r="B439" s="13">
        <f>IF(base!BN439="","",base!BN439)</f>
        <v>46303.625</v>
      </c>
      <c r="C439" s="12" t="str">
        <f>IF(base!C439="","",base!C439)</f>
        <v>ZETABURGOS SRL</v>
      </c>
      <c r="D439" s="12" t="str">
        <f>IF(base!E439="","",base!E439)</f>
        <v>REPROGRAMACIÓN</v>
      </c>
      <c r="E439" s="12" t="str">
        <f>IF(base!BF439="","",base!BF439)</f>
        <v/>
      </c>
      <c r="F439" s="12" t="str">
        <f>IF(D439="","",IF(OR(ISNUMBER(SEARCH("VISITA",D439)),ISNUMBER(SEARCH("RUTA",D439)),ISNUMBER(SEARCH("ARRIB",D439)),ISNUMBER(SEARCH("MATRIZ",D439)),ISNUMBER(SEARCH("PENDIENTE",D439))),"VISITA COORDINADA CON EL CLIENTE","N/A"))</f>
        <v>N/A</v>
      </c>
      <c r="G439" s="12">
        <f>IF(base!G439="","",base!G439)</f>
        <v>470123456</v>
      </c>
      <c r="H439" s="12" t="str">
        <f>IF(base!I439="","",base!I439)</f>
        <v>FLEX</v>
      </c>
      <c r="I439" s="12" t="str">
        <f>IF(base!S439="","",base!S439)</f>
        <v>Prueba 437</v>
      </c>
      <c r="J439" s="12" t="str">
        <f>IF(base!T439="","",base!T439)</f>
        <v>Calle 123
Piso 2</v>
      </c>
      <c r="K439" s="12" t="str">
        <f>IF(base!U439="","",base!U439)</f>
        <v/>
      </c>
      <c r="L439" s="12" t="str">
        <f>IF(base!Y439="","",base!Y439)</f>
        <v/>
      </c>
      <c r="M439" s="12" t="str">
        <f>IF(base!AH439="","",base!AH439)</f>
        <v/>
      </c>
      <c r="N439" s="12" t="str">
        <f>IF(base!AI439="","",base!AI439)</f>
        <v>34.072273</v>
      </c>
      <c r="O439" s="12">
        <f>IF(base!BA439="","",base!BA439)</f>
        <v>1875</v>
      </c>
      <c r="P439" s="13">
        <f>IF(base!BK439="","",base!BK439)</f>
        <v>46303.805902777778</v>
      </c>
      <c r="Q439" s="15" t="str">
        <f>IF(base!BS439="","",base!BS439)</f>
        <v/>
      </c>
    </row>
    <row r="440" spans="1:17" ht="30" x14ac:dyDescent="0.35">
      <c r="A440" s="14">
        <f>IF(base!A440="","",base!A440)</f>
        <v>6200438</v>
      </c>
      <c r="B440" s="13">
        <f>IF(base!BN440="","",base!BN440)</f>
        <v>46303.625</v>
      </c>
      <c r="C440" s="12" t="str">
        <f>IF(base!C440="","",base!C440)</f>
        <v>ZETABURGOS SRL</v>
      </c>
      <c r="D440" s="12" t="str">
        <f>IF(base!E440="","",base!E440)</f>
        <v>1RVT - 1° VISITA</v>
      </c>
      <c r="E440" s="12" t="str">
        <f>IF(base!BF440="","",base!BF440)</f>
        <v/>
      </c>
      <c r="F440" s="12" t="str">
        <f>IF(D440="","",IF(OR(ISNUMBER(SEARCH("VISITA",D440)),ISNUMBER(SEARCH("RUTA",D440)),ISNUMBER(SEARCH("ARRIB",D440)),ISNUMBER(SEARCH("MATRIZ",D440)),ISNUMBER(SEARCH("PENDIENTE",D440))),"VISITA COORDINADA CON EL CLIENTE","N/A"))</f>
        <v>VISITA COORDINADA CON EL CLIENTE</v>
      </c>
      <c r="G440" s="12" t="str">
        <f>IF(base!G440="","",base!G440)</f>
        <v>ABC001</v>
      </c>
      <c r="H440" s="12" t="str">
        <f>IF(base!I440="","",base!I440)</f>
        <v>SAMEDAY</v>
      </c>
      <c r="I440" s="12" t="str">
        <f>IF(base!S440="","",base!S440)</f>
        <v>Prueba 438</v>
      </c>
      <c r="J440" s="12" t="str">
        <f>IF(base!T440="","",base!T440)</f>
        <v>Calle 123
Piso 2</v>
      </c>
      <c r="K440" s="12" t="str">
        <f>IF(base!U440="","",base!U440)</f>
        <v/>
      </c>
      <c r="L440" s="12" t="str">
        <f>IF(base!Y440="","",base!Y440)</f>
        <v/>
      </c>
      <c r="M440" s="12" t="str">
        <f>IF(base!AH440="","",base!AH440)</f>
        <v/>
      </c>
      <c r="N440" s="12" t="str">
        <f>IF(base!AI440="","",base!AI440)</f>
        <v>34.072273</v>
      </c>
      <c r="O440" s="12">
        <f>IF(base!BA440="","",base!BA440)</f>
        <v>1875</v>
      </c>
      <c r="P440" s="13">
        <f>IF(base!BK440="","",base!BK440)</f>
        <v>46303.805902777778</v>
      </c>
      <c r="Q440" s="15" t="str">
        <f>IF(base!BS440="","",base!BS440)</f>
        <v/>
      </c>
    </row>
    <row r="441" spans="1:17" ht="30" x14ac:dyDescent="0.35">
      <c r="A441" s="14">
        <f>IF(base!A441="","",base!A441)</f>
        <v>6200439</v>
      </c>
      <c r="B441" s="13">
        <f>IF(base!BN441="","",base!BN441)</f>
        <v>46303.625</v>
      </c>
      <c r="C441" s="12" t="str">
        <f>IF(base!C441="","",base!C441)</f>
        <v>ZETABURGOS SRL</v>
      </c>
      <c r="D441" s="12" t="str">
        <f>IF(base!E441="","",base!E441)</f>
        <v>ENTREGADO</v>
      </c>
      <c r="E441" s="12" t="str">
        <f>IF(base!BF441="","",base!BF441)</f>
        <v/>
      </c>
      <c r="F441" s="12" t="str">
        <f>IF(D441="","",IF(OR(ISNUMBER(SEARCH("VISITA",D441)),ISNUMBER(SEARCH("RUTA",D441)),ISNUMBER(SEARCH("ARRIB",D441)),ISNUMBER(SEARCH("MATRIZ",D441)),ISNUMBER(SEARCH("PENDIENTE",D441))),"VISITA COORDINADA CON EL CLIENTE","N/A"))</f>
        <v>N/A</v>
      </c>
      <c r="G441" s="12" t="str">
        <f>IF(base!G441="","",base!G441)</f>
        <v>2000018857041302</v>
      </c>
      <c r="H441" s="12" t="str">
        <f>IF(base!I441="","",base!I441)</f>
        <v>FLEX</v>
      </c>
      <c r="I441" s="12" t="str">
        <f>IF(base!S441="","",base!S441)</f>
        <v>Prueba 439</v>
      </c>
      <c r="J441" s="12" t="str">
        <f>IF(base!T441="","",base!T441)</f>
        <v>Calle 123
Piso 2</v>
      </c>
      <c r="K441" s="12" t="str">
        <f>IF(base!U441="","",base!U441)</f>
        <v/>
      </c>
      <c r="L441" s="12" t="str">
        <f>IF(base!Y441="","",base!Y441)</f>
        <v/>
      </c>
      <c r="M441" s="12" t="str">
        <f>IF(base!AH441="","",base!AH441)</f>
        <v/>
      </c>
      <c r="N441" s="12" t="str">
        <f>IF(base!AI441="","",base!AI441)</f>
        <v>34.072273</v>
      </c>
      <c r="O441" s="12">
        <f>IF(base!BA441="","",base!BA441)</f>
        <v>1875</v>
      </c>
      <c r="P441" s="13">
        <f>IF(base!BK441="","",base!BK441)</f>
        <v>46303.805902777778</v>
      </c>
      <c r="Q441" s="15" t="str">
        <f>IF(base!BS441="","",base!BS441)</f>
        <v/>
      </c>
    </row>
    <row r="442" spans="1:17" ht="30" x14ac:dyDescent="0.35">
      <c r="A442" s="14">
        <f>IF(base!A442="","",base!A442)</f>
        <v>6200440</v>
      </c>
      <c r="B442" s="13">
        <f>IF(base!BN442="","",base!BN442)</f>
        <v>46303.625</v>
      </c>
      <c r="C442" s="12" t="str">
        <f>IF(base!C442="","",base!C442)</f>
        <v>ZETABURGOS SRL</v>
      </c>
      <c r="D442" s="12" t="str">
        <f>IF(base!E442="","",base!E442)</f>
        <v>REPROGRAMACIÓN</v>
      </c>
      <c r="E442" s="12" t="str">
        <f>IF(base!BF442="","",base!BF442)</f>
        <v/>
      </c>
      <c r="F442" s="12" t="str">
        <f>IF(D442="","",IF(OR(ISNUMBER(SEARCH("VISITA",D442)),ISNUMBER(SEARCH("RUTA",D442)),ISNUMBER(SEARCH("ARRIB",D442)),ISNUMBER(SEARCH("MATRIZ",D442)),ISNUMBER(SEARCH("PENDIENTE",D442))),"VISITA COORDINADA CON EL CLIENTE","N/A"))</f>
        <v>N/A</v>
      </c>
      <c r="G442" s="12" t="str">
        <f>IF(base!G442="","",base!G442)</f>
        <v>001234</v>
      </c>
      <c r="H442" s="12" t="str">
        <f>IF(base!I442="","",base!I442)</f>
        <v>FLEX</v>
      </c>
      <c r="I442" s="12" t="str">
        <f>IF(base!S442="","",base!S442)</f>
        <v>Prueba 440</v>
      </c>
      <c r="J442" s="12" t="str">
        <f>IF(base!T442="","",base!T442)</f>
        <v>Calle 123
Piso 2</v>
      </c>
      <c r="K442" s="12" t="str">
        <f>IF(base!U442="","",base!U442)</f>
        <v/>
      </c>
      <c r="L442" s="12" t="str">
        <f>IF(base!Y442="","",base!Y442)</f>
        <v/>
      </c>
      <c r="M442" s="12" t="str">
        <f>IF(base!AH442="","",base!AH442)</f>
        <v/>
      </c>
      <c r="N442" s="12" t="str">
        <f>IF(base!AI442="","",base!AI442)</f>
        <v>34.072273</v>
      </c>
      <c r="O442" s="12">
        <f>IF(base!BA442="","",base!BA442)</f>
        <v>1875</v>
      </c>
      <c r="P442" s="13">
        <f>IF(base!BK442="","",base!BK442)</f>
        <v>46303.805902777778</v>
      </c>
      <c r="Q442" s="15" t="str">
        <f>IF(base!BS442="","",base!BS442)</f>
        <v/>
      </c>
    </row>
    <row r="443" spans="1:17" ht="30" x14ac:dyDescent="0.35">
      <c r="A443" s="14">
        <f>IF(base!A443="","",base!A443)</f>
        <v>6200441</v>
      </c>
      <c r="B443" s="13">
        <f>IF(base!BN443="","",base!BN443)</f>
        <v>46303.625</v>
      </c>
      <c r="C443" s="12" t="str">
        <f>IF(base!C443="","",base!C443)</f>
        <v>ZETABURGOS SRL</v>
      </c>
      <c r="D443" s="12" t="str">
        <f>IF(base!E443="","",base!E443)</f>
        <v>1RVT - 1° VISITA</v>
      </c>
      <c r="E443" s="12" t="str">
        <f>IF(base!BF443="","",base!BF443)</f>
        <v/>
      </c>
      <c r="F443" s="12" t="str">
        <f>IF(D443="","",IF(OR(ISNUMBER(SEARCH("VISITA",D443)),ISNUMBER(SEARCH("RUTA",D443)),ISNUMBER(SEARCH("ARRIB",D443)),ISNUMBER(SEARCH("MATRIZ",D443)),ISNUMBER(SEARCH("PENDIENTE",D443))),"VISITA COORDINADA CON EL CLIENTE","N/A"))</f>
        <v>VISITA COORDINADA CON EL CLIENTE</v>
      </c>
      <c r="G443" s="12" t="str">
        <f>"#ABC"</f>
        <v>#ABC</v>
      </c>
      <c r="H443" s="12" t="str">
        <f>IF(base!I443="","",base!I443)</f>
        <v>SAMEDAY</v>
      </c>
      <c r="I443" s="12" t="str">
        <f>IF(base!S443="","",base!S443)</f>
        <v>Prueba 441</v>
      </c>
      <c r="J443" s="12" t="str">
        <f>IF(base!T443="","",base!T443)</f>
        <v>Calle 123
Piso 2</v>
      </c>
      <c r="K443" s="12" t="str">
        <f>IF(base!U443="","",base!U443)</f>
        <v/>
      </c>
      <c r="L443" s="12" t="str">
        <f>IF(base!Y443="","",base!Y443)</f>
        <v/>
      </c>
      <c r="M443" s="12" t="str">
        <f>IF(base!AH443="","",base!AH443)</f>
        <v/>
      </c>
      <c r="N443" s="12" t="str">
        <f>IF(base!AI443="","",base!AI443)</f>
        <v>34.072273</v>
      </c>
      <c r="O443" s="12">
        <f>IF(base!BA443="","",base!BA443)</f>
        <v>1875</v>
      </c>
      <c r="P443" s="13">
        <f>IF(base!BK443="","",base!BK443)</f>
        <v>46303.805902777778</v>
      </c>
      <c r="Q443" s="15" t="str">
        <f>IF(base!BS443="","",base!BS443)</f>
        <v/>
      </c>
    </row>
    <row r="444" spans="1:17" ht="30" x14ac:dyDescent="0.35">
      <c r="A444" s="14">
        <f>IF(base!A444="","",base!A444)</f>
        <v>6200442</v>
      </c>
      <c r="B444" s="13">
        <f>IF(base!BN444="","",base!BN444)</f>
        <v>46303.625</v>
      </c>
      <c r="C444" s="12" t="str">
        <f>IF(base!C444="","",base!C444)</f>
        <v>ZETABURGOS SRL</v>
      </c>
      <c r="D444" s="12" t="str">
        <f>IF(base!E444="","",base!E444)</f>
        <v>ENTREGADO</v>
      </c>
      <c r="E444" s="12" t="str">
        <f>IF(base!BF444="","",base!BF444)</f>
        <v/>
      </c>
      <c r="F444" s="12" t="str">
        <f>IF(D444="","",IF(OR(ISNUMBER(SEARCH("VISITA",D444)),ISNUMBER(SEARCH("RUTA",D444)),ISNUMBER(SEARCH("ARRIB",D444)),ISNUMBER(SEARCH("MATRIZ",D444)),ISNUMBER(SEARCH("PENDIENTE",D444))),"VISITA COORDINADA CON EL CLIENTE","N/A"))</f>
        <v>N/A</v>
      </c>
      <c r="G444" s="12">
        <f>IF(base!G444="","",base!G444)</f>
        <v>470123456</v>
      </c>
      <c r="H444" s="12" t="str">
        <f>IF(base!I444="","",base!I444)</f>
        <v>FLEX</v>
      </c>
      <c r="I444" s="12" t="str">
        <f>IF(base!S444="","",base!S444)</f>
        <v>Prueba 442</v>
      </c>
      <c r="J444" s="12" t="str">
        <f>IF(base!T444="","",base!T444)</f>
        <v>Calle 123
Piso 2</v>
      </c>
      <c r="K444" s="12" t="str">
        <f>IF(base!U444="","",base!U444)</f>
        <v/>
      </c>
      <c r="L444" s="12" t="str">
        <f>IF(base!Y444="","",base!Y444)</f>
        <v/>
      </c>
      <c r="M444" s="12" t="str">
        <f>IF(base!AH444="","",base!AH444)</f>
        <v/>
      </c>
      <c r="N444" s="12" t="str">
        <f>IF(base!AI444="","",base!AI444)</f>
        <v>34.072273</v>
      </c>
      <c r="O444" s="12">
        <f>IF(base!BA444="","",base!BA444)</f>
        <v>1875</v>
      </c>
      <c r="P444" s="13">
        <f>IF(base!BK444="","",base!BK444)</f>
        <v>46303.805902777778</v>
      </c>
      <c r="Q444" s="15" t="str">
        <f>IF(base!BS444="","",base!BS444)</f>
        <v/>
      </c>
    </row>
    <row r="445" spans="1:17" ht="30" x14ac:dyDescent="0.35">
      <c r="A445" s="14">
        <f>IF(base!A445="","",base!A445)</f>
        <v>6200443</v>
      </c>
      <c r="B445" s="13">
        <f>IF(base!BN445="","",base!BN445)</f>
        <v>46303.625</v>
      </c>
      <c r="C445" s="12" t="str">
        <f>IF(base!C445="","",base!C445)</f>
        <v>ZETABURGOS SRL</v>
      </c>
      <c r="D445" s="12" t="str">
        <f>IF(base!E445="","",base!E445)</f>
        <v>REPROGRAMACIÓN</v>
      </c>
      <c r="E445" s="12" t="str">
        <f>IF(base!BF445="","",base!BF445)</f>
        <v/>
      </c>
      <c r="F445" s="12" t="str">
        <f>IF(D445="","",IF(OR(ISNUMBER(SEARCH("VISITA",D445)),ISNUMBER(SEARCH("RUTA",D445)),ISNUMBER(SEARCH("ARRIB",D445)),ISNUMBER(SEARCH("MATRIZ",D445)),ISNUMBER(SEARCH("PENDIENTE",D445))),"VISITA COORDINADA CON EL CLIENTE","N/A"))</f>
        <v>N/A</v>
      </c>
      <c r="G445" s="12" t="str">
        <f>IF(base!G445="","",base!G445)</f>
        <v>ABC001</v>
      </c>
      <c r="H445" s="12" t="str">
        <f>IF(base!I445="","",base!I445)</f>
        <v>SAMEDAY</v>
      </c>
      <c r="I445" s="12" t="str">
        <f>IF(base!S445="","",base!S445)</f>
        <v>Prueba 443</v>
      </c>
      <c r="J445" s="12" t="str">
        <f>IF(base!T445="","",base!T445)</f>
        <v>Calle 123
Piso 2</v>
      </c>
      <c r="K445" s="12" t="str">
        <f>IF(base!U445="","",base!U445)</f>
        <v/>
      </c>
      <c r="L445" s="12" t="str">
        <f>IF(base!Y445="","",base!Y445)</f>
        <v/>
      </c>
      <c r="M445" s="12" t="str">
        <f>IF(base!AH445="","",base!AH445)</f>
        <v/>
      </c>
      <c r="N445" s="12" t="str">
        <f>IF(base!AI445="","",base!AI445)</f>
        <v>34.072273</v>
      </c>
      <c r="O445" s="12">
        <f>IF(base!BA445="","",base!BA445)</f>
        <v>1875</v>
      </c>
      <c r="P445" s="13">
        <f>IF(base!BK445="","",base!BK445)</f>
        <v>46303.805902777778</v>
      </c>
      <c r="Q445" s="15" t="str">
        <f>IF(base!BS445="","",base!BS445)</f>
        <v/>
      </c>
    </row>
    <row r="446" spans="1:17" ht="30" x14ac:dyDescent="0.35">
      <c r="A446" s="14">
        <f>IF(base!A446="","",base!A446)</f>
        <v>6200444</v>
      </c>
      <c r="B446" s="13">
        <f>IF(base!BN446="","",base!BN446)</f>
        <v>46303.625</v>
      </c>
      <c r="C446" s="12" t="str">
        <f>IF(base!C446="","",base!C446)</f>
        <v>ZETABURGOS SRL</v>
      </c>
      <c r="D446" s="12" t="str">
        <f>IF(base!E446="","",base!E446)</f>
        <v>1RVT - 1° VISITA</v>
      </c>
      <c r="E446" s="12" t="str">
        <f>IF(base!BF446="","",base!BF446)</f>
        <v/>
      </c>
      <c r="F446" s="12" t="str">
        <f>IF(D446="","",IF(OR(ISNUMBER(SEARCH("VISITA",D446)),ISNUMBER(SEARCH("RUTA",D446)),ISNUMBER(SEARCH("ARRIB",D446)),ISNUMBER(SEARCH("MATRIZ",D446)),ISNUMBER(SEARCH("PENDIENTE",D446))),"VISITA COORDINADA CON EL CLIENTE","N/A"))</f>
        <v>VISITA COORDINADA CON EL CLIENTE</v>
      </c>
      <c r="G446" s="12" t="str">
        <f>IF(base!G446="","",base!G446)</f>
        <v>2000018857041302</v>
      </c>
      <c r="H446" s="12" t="str">
        <f>IF(base!I446="","",base!I446)</f>
        <v>FLEX</v>
      </c>
      <c r="I446" s="12" t="str">
        <f>IF(base!S446="","",base!S446)</f>
        <v>Prueba 444</v>
      </c>
      <c r="J446" s="12" t="str">
        <f>IF(base!T446="","",base!T446)</f>
        <v>Calle 123
Piso 2</v>
      </c>
      <c r="K446" s="12" t="str">
        <f>IF(base!U446="","",base!U446)</f>
        <v/>
      </c>
      <c r="L446" s="12" t="str">
        <f>IF(base!Y446="","",base!Y446)</f>
        <v/>
      </c>
      <c r="M446" s="12" t="str">
        <f>IF(base!AH446="","",base!AH446)</f>
        <v/>
      </c>
      <c r="N446" s="12" t="str">
        <f>IF(base!AI446="","",base!AI446)</f>
        <v>34.072273</v>
      </c>
      <c r="O446" s="12">
        <f>IF(base!BA446="","",base!BA446)</f>
        <v>1875</v>
      </c>
      <c r="P446" s="13">
        <f>IF(base!BK446="","",base!BK446)</f>
        <v>46303.805902777778</v>
      </c>
      <c r="Q446" s="15" t="str">
        <f>IF(base!BS446="","",base!BS446)</f>
        <v/>
      </c>
    </row>
    <row r="447" spans="1:17" ht="30" x14ac:dyDescent="0.35">
      <c r="A447" s="14">
        <f>IF(base!A447="","",base!A447)</f>
        <v>6200445</v>
      </c>
      <c r="B447" s="13">
        <f>IF(base!BN447="","",base!BN447)</f>
        <v>46303.625</v>
      </c>
      <c r="C447" s="12" t="str">
        <f>IF(base!C447="","",base!C447)</f>
        <v>ZETABURGOS SRL</v>
      </c>
      <c r="D447" s="12" t="str">
        <f>IF(base!E447="","",base!E447)</f>
        <v>ENTREGADO</v>
      </c>
      <c r="E447" s="12" t="str">
        <f>IF(base!BF447="","",base!BF447)</f>
        <v/>
      </c>
      <c r="F447" s="12" t="str">
        <f>IF(D447="","",IF(OR(ISNUMBER(SEARCH("VISITA",D447)),ISNUMBER(SEARCH("RUTA",D447)),ISNUMBER(SEARCH("ARRIB",D447)),ISNUMBER(SEARCH("MATRIZ",D447)),ISNUMBER(SEARCH("PENDIENTE",D447))),"VISITA COORDINADA CON EL CLIENTE","N/A"))</f>
        <v>N/A</v>
      </c>
      <c r="G447" s="12" t="str">
        <f>IF(base!G447="","",base!G447)</f>
        <v>001234</v>
      </c>
      <c r="H447" s="12" t="str">
        <f>IF(base!I447="","",base!I447)</f>
        <v>FLEX</v>
      </c>
      <c r="I447" s="12" t="str">
        <f>IF(base!S447="","",base!S447)</f>
        <v>Prueba 445</v>
      </c>
      <c r="J447" s="12" t="str">
        <f>IF(base!T447="","",base!T447)</f>
        <v>Calle 123
Piso 2</v>
      </c>
      <c r="K447" s="12" t="str">
        <f>IF(base!U447="","",base!U447)</f>
        <v/>
      </c>
      <c r="L447" s="12" t="str">
        <f>IF(base!Y447="","",base!Y447)</f>
        <v/>
      </c>
      <c r="M447" s="12" t="str">
        <f>IF(base!AH447="","",base!AH447)</f>
        <v/>
      </c>
      <c r="N447" s="12" t="str">
        <f>IF(base!AI447="","",base!AI447)</f>
        <v>34.072273</v>
      </c>
      <c r="O447" s="12">
        <f>IF(base!BA447="","",base!BA447)</f>
        <v>1875</v>
      </c>
      <c r="P447" s="13">
        <f>IF(base!BK447="","",base!BK447)</f>
        <v>46303.805902777778</v>
      </c>
      <c r="Q447" s="15" t="str">
        <f>IF(base!BS447="","",base!BS447)</f>
        <v/>
      </c>
    </row>
    <row r="448" spans="1:17" ht="30" x14ac:dyDescent="0.35">
      <c r="A448" s="14">
        <f>IF(base!A448="","",base!A448)</f>
        <v>6200446</v>
      </c>
      <c r="B448" s="13">
        <f>IF(base!BN448="","",base!BN448)</f>
        <v>46303.625</v>
      </c>
      <c r="C448" s="12" t="str">
        <f>IF(base!C448="","",base!C448)</f>
        <v>ZETABURGOS SRL</v>
      </c>
      <c r="D448" s="12" t="str">
        <f>IF(base!E448="","",base!E448)</f>
        <v>REPROGRAMACIÓN</v>
      </c>
      <c r="E448" s="12" t="str">
        <f>IF(base!BF448="","",base!BF448)</f>
        <v/>
      </c>
      <c r="F448" s="12" t="str">
        <f>IF(D448="","",IF(OR(ISNUMBER(SEARCH("VISITA",D448)),ISNUMBER(SEARCH("RUTA",D448)),ISNUMBER(SEARCH("ARRIB",D448)),ISNUMBER(SEARCH("MATRIZ",D448)),ISNUMBER(SEARCH("PENDIENTE",D448))),"VISITA COORDINADA CON EL CLIENTE","N/A"))</f>
        <v>N/A</v>
      </c>
      <c r="G448" s="12" t="str">
        <f>"#ABC"</f>
        <v>#ABC</v>
      </c>
      <c r="H448" s="12" t="str">
        <f>IF(base!I448="","",base!I448)</f>
        <v>SAMEDAY</v>
      </c>
      <c r="I448" s="12" t="str">
        <f>IF(base!S448="","",base!S448)</f>
        <v>Prueba 446</v>
      </c>
      <c r="J448" s="12" t="str">
        <f>IF(base!T448="","",base!T448)</f>
        <v>Calle 123
Piso 2</v>
      </c>
      <c r="K448" s="12" t="str">
        <f>IF(base!U448="","",base!U448)</f>
        <v/>
      </c>
      <c r="L448" s="12" t="str">
        <f>IF(base!Y448="","",base!Y448)</f>
        <v/>
      </c>
      <c r="M448" s="12" t="str">
        <f>IF(base!AH448="","",base!AH448)</f>
        <v/>
      </c>
      <c r="N448" s="12" t="str">
        <f>IF(base!AI448="","",base!AI448)</f>
        <v>34.072273</v>
      </c>
      <c r="O448" s="12">
        <f>IF(base!BA448="","",base!BA448)</f>
        <v>1875</v>
      </c>
      <c r="P448" s="13">
        <f>IF(base!BK448="","",base!BK448)</f>
        <v>46303.805902777778</v>
      </c>
      <c r="Q448" s="15" t="str">
        <f>IF(base!BS448="","",base!BS448)</f>
        <v/>
      </c>
    </row>
    <row r="449" spans="1:17" ht="30" x14ac:dyDescent="0.35">
      <c r="A449" s="14">
        <f>IF(base!A449="","",base!A449)</f>
        <v>6200447</v>
      </c>
      <c r="B449" s="13">
        <f>IF(base!BN449="","",base!BN449)</f>
        <v>46303.625</v>
      </c>
      <c r="C449" s="12" t="str">
        <f>IF(base!C449="","",base!C449)</f>
        <v>ZETABURGOS SRL</v>
      </c>
      <c r="D449" s="12" t="str">
        <f>IF(base!E449="","",base!E449)</f>
        <v>1RVT - 1° VISITA</v>
      </c>
      <c r="E449" s="12" t="str">
        <f>IF(base!BF449="","",base!BF449)</f>
        <v/>
      </c>
      <c r="F449" s="12" t="str">
        <f>IF(D449="","",IF(OR(ISNUMBER(SEARCH("VISITA",D449)),ISNUMBER(SEARCH("RUTA",D449)),ISNUMBER(SEARCH("ARRIB",D449)),ISNUMBER(SEARCH("MATRIZ",D449)),ISNUMBER(SEARCH("PENDIENTE",D449))),"VISITA COORDINADA CON EL CLIENTE","N/A"))</f>
        <v>VISITA COORDINADA CON EL CLIENTE</v>
      </c>
      <c r="G449" s="12">
        <f>IF(base!G449="","",base!G449)</f>
        <v>470123456</v>
      </c>
      <c r="H449" s="12" t="str">
        <f>IF(base!I449="","",base!I449)</f>
        <v>FLEX</v>
      </c>
      <c r="I449" s="12" t="str">
        <f>IF(base!S449="","",base!S449)</f>
        <v>Prueba 447</v>
      </c>
      <c r="J449" s="12" t="str">
        <f>IF(base!T449="","",base!T449)</f>
        <v>Calle 123
Piso 2</v>
      </c>
      <c r="K449" s="12" t="str">
        <f>IF(base!U449="","",base!U449)</f>
        <v/>
      </c>
      <c r="L449" s="12" t="str">
        <f>IF(base!Y449="","",base!Y449)</f>
        <v/>
      </c>
      <c r="M449" s="12" t="str">
        <f>IF(base!AH449="","",base!AH449)</f>
        <v/>
      </c>
      <c r="N449" s="12" t="str">
        <f>IF(base!AI449="","",base!AI449)</f>
        <v>34.072273</v>
      </c>
      <c r="O449" s="12">
        <f>IF(base!BA449="","",base!BA449)</f>
        <v>1875</v>
      </c>
      <c r="P449" s="13">
        <f>IF(base!BK449="","",base!BK449)</f>
        <v>46303.805902777778</v>
      </c>
      <c r="Q449" s="15" t="str">
        <f>IF(base!BS449="","",base!BS449)</f>
        <v/>
      </c>
    </row>
    <row r="450" spans="1:17" ht="30" x14ac:dyDescent="0.35">
      <c r="A450" s="14">
        <f>IF(base!A450="","",base!A450)</f>
        <v>6200448</v>
      </c>
      <c r="B450" s="13">
        <f>IF(base!BN450="","",base!BN450)</f>
        <v>46303.625</v>
      </c>
      <c r="C450" s="12" t="str">
        <f>IF(base!C450="","",base!C450)</f>
        <v>ZETABURGOS SRL</v>
      </c>
      <c r="D450" s="12" t="str">
        <f>IF(base!E450="","",base!E450)</f>
        <v>ENTREGADO</v>
      </c>
      <c r="E450" s="12" t="str">
        <f>IF(base!BF450="","",base!BF450)</f>
        <v/>
      </c>
      <c r="F450" s="12" t="str">
        <f>IF(D450="","",IF(OR(ISNUMBER(SEARCH("VISITA",D450)),ISNUMBER(SEARCH("RUTA",D450)),ISNUMBER(SEARCH("ARRIB",D450)),ISNUMBER(SEARCH("MATRIZ",D450)),ISNUMBER(SEARCH("PENDIENTE",D450))),"VISITA COORDINADA CON EL CLIENTE","N/A"))</f>
        <v>N/A</v>
      </c>
      <c r="G450" s="12" t="str">
        <f>IF(base!G450="","",base!G450)</f>
        <v>ABC001</v>
      </c>
      <c r="H450" s="12" t="str">
        <f>IF(base!I450="","",base!I450)</f>
        <v>SAMEDAY</v>
      </c>
      <c r="I450" s="12" t="str">
        <f>IF(base!S450="","",base!S450)</f>
        <v>Prueba 448</v>
      </c>
      <c r="J450" s="12" t="str">
        <f>IF(base!T450="","",base!T450)</f>
        <v>Calle 123
Piso 2</v>
      </c>
      <c r="K450" s="12" t="str">
        <f>IF(base!U450="","",base!U450)</f>
        <v/>
      </c>
      <c r="L450" s="12" t="str">
        <f>IF(base!Y450="","",base!Y450)</f>
        <v/>
      </c>
      <c r="M450" s="12" t="str">
        <f>IF(base!AH450="","",base!AH450)</f>
        <v/>
      </c>
      <c r="N450" s="12" t="str">
        <f>IF(base!AI450="","",base!AI450)</f>
        <v>34.072273</v>
      </c>
      <c r="O450" s="12">
        <f>IF(base!BA450="","",base!BA450)</f>
        <v>1875</v>
      </c>
      <c r="P450" s="13">
        <f>IF(base!BK450="","",base!BK450)</f>
        <v>46303.805902777778</v>
      </c>
      <c r="Q450" s="15" t="str">
        <f>IF(base!BS450="","",base!BS450)</f>
        <v/>
      </c>
    </row>
    <row r="451" spans="1:17" ht="30" x14ac:dyDescent="0.35">
      <c r="A451" s="14">
        <f>IF(base!A451="","",base!A451)</f>
        <v>6200449</v>
      </c>
      <c r="B451" s="13">
        <f>IF(base!BN451="","",base!BN451)</f>
        <v>46303.625</v>
      </c>
      <c r="C451" s="12" t="str">
        <f>IF(base!C451="","",base!C451)</f>
        <v>ZETABURGOS SRL</v>
      </c>
      <c r="D451" s="12" t="str">
        <f>IF(base!E451="","",base!E451)</f>
        <v>REPROGRAMACIÓN</v>
      </c>
      <c r="E451" s="12" t="str">
        <f>IF(base!BF451="","",base!BF451)</f>
        <v/>
      </c>
      <c r="F451" s="12" t="str">
        <f>IF(D451="","",IF(OR(ISNUMBER(SEARCH("VISITA",D451)),ISNUMBER(SEARCH("RUTA",D451)),ISNUMBER(SEARCH("ARRIB",D451)),ISNUMBER(SEARCH("MATRIZ",D451)),ISNUMBER(SEARCH("PENDIENTE",D451))),"VISITA COORDINADA CON EL CLIENTE","N/A"))</f>
        <v>N/A</v>
      </c>
      <c r="G451" s="12" t="str">
        <f>IF(base!G451="","",base!G451)</f>
        <v>2000018857041302</v>
      </c>
      <c r="H451" s="12" t="str">
        <f>IF(base!I451="","",base!I451)</f>
        <v>FLEX</v>
      </c>
      <c r="I451" s="12" t="str">
        <f>IF(base!S451="","",base!S451)</f>
        <v>Prueba 449</v>
      </c>
      <c r="J451" s="12" t="str">
        <f>IF(base!T451="","",base!T451)</f>
        <v>Calle 123
Piso 2</v>
      </c>
      <c r="K451" s="12" t="str">
        <f>IF(base!U451="","",base!U451)</f>
        <v/>
      </c>
      <c r="L451" s="12" t="str">
        <f>IF(base!Y451="","",base!Y451)</f>
        <v/>
      </c>
      <c r="M451" s="12" t="str">
        <f>IF(base!AH451="","",base!AH451)</f>
        <v/>
      </c>
      <c r="N451" s="12" t="str">
        <f>IF(base!AI451="","",base!AI451)</f>
        <v>34.072273</v>
      </c>
      <c r="O451" s="12">
        <f>IF(base!BA451="","",base!BA451)</f>
        <v>1875</v>
      </c>
      <c r="P451" s="13">
        <f>IF(base!BK451="","",base!BK451)</f>
        <v>46303.805902777778</v>
      </c>
      <c r="Q451" s="15" t="str">
        <f>IF(base!BS451="","",base!BS451)</f>
        <v/>
      </c>
    </row>
    <row r="452" spans="1:17" ht="30" x14ac:dyDescent="0.35">
      <c r="A452" s="14">
        <f>IF(base!A452="","",base!A452)</f>
        <v>6200450</v>
      </c>
      <c r="B452" s="13">
        <f>IF(base!BN452="","",base!BN452)</f>
        <v>46303.625</v>
      </c>
      <c r="C452" s="12" t="str">
        <f>IF(base!C452="","",base!C452)</f>
        <v>ZETABURGOS SRL</v>
      </c>
      <c r="D452" s="12" t="str">
        <f>IF(base!E452="","",base!E452)</f>
        <v>1RVT - 1° VISITA</v>
      </c>
      <c r="E452" s="12" t="str">
        <f>IF(base!BF452="","",base!BF452)</f>
        <v/>
      </c>
      <c r="F452" s="12" t="str">
        <f>IF(D452="","",IF(OR(ISNUMBER(SEARCH("VISITA",D452)),ISNUMBER(SEARCH("RUTA",D452)),ISNUMBER(SEARCH("ARRIB",D452)),ISNUMBER(SEARCH("MATRIZ",D452)),ISNUMBER(SEARCH("PENDIENTE",D452))),"VISITA COORDINADA CON EL CLIENTE","N/A"))</f>
        <v>VISITA COORDINADA CON EL CLIENTE</v>
      </c>
      <c r="G452" s="12" t="str">
        <f>IF(base!G452="","",base!G452)</f>
        <v>001234</v>
      </c>
      <c r="H452" s="12" t="str">
        <f>IF(base!I452="","",base!I452)</f>
        <v>FLEX</v>
      </c>
      <c r="I452" s="12" t="str">
        <f>IF(base!S452="","",base!S452)</f>
        <v>Prueba 450</v>
      </c>
      <c r="J452" s="12" t="str">
        <f>IF(base!T452="","",base!T452)</f>
        <v>Calle 123
Piso 2</v>
      </c>
      <c r="K452" s="12" t="str">
        <f>IF(base!U452="","",base!U452)</f>
        <v/>
      </c>
      <c r="L452" s="12" t="str">
        <f>IF(base!Y452="","",base!Y452)</f>
        <v/>
      </c>
      <c r="M452" s="12" t="str">
        <f>IF(base!AH452="","",base!AH452)</f>
        <v/>
      </c>
      <c r="N452" s="12" t="str">
        <f>IF(base!AI452="","",base!AI452)</f>
        <v>34.072273</v>
      </c>
      <c r="O452" s="12">
        <f>IF(base!BA452="","",base!BA452)</f>
        <v>1875</v>
      </c>
      <c r="P452" s="13">
        <f>IF(base!BK452="","",base!BK452)</f>
        <v>46303.805902777778</v>
      </c>
      <c r="Q452" s="15" t="str">
        <f>IF(base!BS452="","",base!BS452)</f>
        <v/>
      </c>
    </row>
    <row r="453" spans="1:17" ht="30" x14ac:dyDescent="0.35">
      <c r="A453" s="14">
        <f>IF(base!A453="","",base!A453)</f>
        <v>6200451</v>
      </c>
      <c r="B453" s="13">
        <f>IF(base!BN453="","",base!BN453)</f>
        <v>46303.625</v>
      </c>
      <c r="C453" s="12" t="str">
        <f>IF(base!C453="","",base!C453)</f>
        <v>ZETABURGOS SRL</v>
      </c>
      <c r="D453" s="12" t="str">
        <f>IF(base!E453="","",base!E453)</f>
        <v>ENTREGADO</v>
      </c>
      <c r="E453" s="12" t="str">
        <f>IF(base!BF453="","",base!BF453)</f>
        <v/>
      </c>
      <c r="F453" s="12" t="str">
        <f>IF(D453="","",IF(OR(ISNUMBER(SEARCH("VISITA",D453)),ISNUMBER(SEARCH("RUTA",D453)),ISNUMBER(SEARCH("ARRIB",D453)),ISNUMBER(SEARCH("MATRIZ",D453)),ISNUMBER(SEARCH("PENDIENTE",D453))),"VISITA COORDINADA CON EL CLIENTE","N/A"))</f>
        <v>N/A</v>
      </c>
      <c r="G453" s="12" t="str">
        <f>"#ABC"</f>
        <v>#ABC</v>
      </c>
      <c r="H453" s="12" t="str">
        <f>IF(base!I453="","",base!I453)</f>
        <v>SAMEDAY</v>
      </c>
      <c r="I453" s="12" t="str">
        <f>IF(base!S453="","",base!S453)</f>
        <v>Prueba 451</v>
      </c>
      <c r="J453" s="12" t="str">
        <f>IF(base!T453="","",base!T453)</f>
        <v>Calle 123
Piso 2</v>
      </c>
      <c r="K453" s="12" t="str">
        <f>IF(base!U453="","",base!U453)</f>
        <v/>
      </c>
      <c r="L453" s="12" t="str">
        <f>IF(base!Y453="","",base!Y453)</f>
        <v/>
      </c>
      <c r="M453" s="12" t="str">
        <f>IF(base!AH453="","",base!AH453)</f>
        <v/>
      </c>
      <c r="N453" s="12" t="str">
        <f>IF(base!AI453="","",base!AI453)</f>
        <v>34.072273</v>
      </c>
      <c r="O453" s="12">
        <f>IF(base!BA453="","",base!BA453)</f>
        <v>1875</v>
      </c>
      <c r="P453" s="13">
        <f>IF(base!BK453="","",base!BK453)</f>
        <v>46303.805902777778</v>
      </c>
      <c r="Q453" s="15" t="str">
        <f>IF(base!BS453="","",base!BS453)</f>
        <v/>
      </c>
    </row>
    <row r="454" spans="1:17" ht="30" x14ac:dyDescent="0.35">
      <c r="A454" s="14">
        <f>IF(base!A454="","",base!A454)</f>
        <v>6200452</v>
      </c>
      <c r="B454" s="13">
        <f>IF(base!BN454="","",base!BN454)</f>
        <v>46303.625</v>
      </c>
      <c r="C454" s="12" t="str">
        <f>IF(base!C454="","",base!C454)</f>
        <v>ZETABURGOS SRL</v>
      </c>
      <c r="D454" s="12" t="str">
        <f>IF(base!E454="","",base!E454)</f>
        <v>REPROGRAMACIÓN</v>
      </c>
      <c r="E454" s="12" t="str">
        <f>IF(base!BF454="","",base!BF454)</f>
        <v/>
      </c>
      <c r="F454" s="12" t="str">
        <f>IF(D454="","",IF(OR(ISNUMBER(SEARCH("VISITA",D454)),ISNUMBER(SEARCH("RUTA",D454)),ISNUMBER(SEARCH("ARRIB",D454)),ISNUMBER(SEARCH("MATRIZ",D454)),ISNUMBER(SEARCH("PENDIENTE",D454))),"VISITA COORDINADA CON EL CLIENTE","N/A"))</f>
        <v>N/A</v>
      </c>
      <c r="G454" s="12">
        <f>IF(base!G454="","",base!G454)</f>
        <v>470123456</v>
      </c>
      <c r="H454" s="12" t="str">
        <f>IF(base!I454="","",base!I454)</f>
        <v>FLEX</v>
      </c>
      <c r="I454" s="12" t="str">
        <f>IF(base!S454="","",base!S454)</f>
        <v>Prueba 452</v>
      </c>
      <c r="J454" s="12" t="str">
        <f>IF(base!T454="","",base!T454)</f>
        <v>Calle 123
Piso 2</v>
      </c>
      <c r="K454" s="12" t="str">
        <f>IF(base!U454="","",base!U454)</f>
        <v/>
      </c>
      <c r="L454" s="12" t="str">
        <f>IF(base!Y454="","",base!Y454)</f>
        <v/>
      </c>
      <c r="M454" s="12" t="str">
        <f>IF(base!AH454="","",base!AH454)</f>
        <v/>
      </c>
      <c r="N454" s="12" t="str">
        <f>IF(base!AI454="","",base!AI454)</f>
        <v>34.072273</v>
      </c>
      <c r="O454" s="12">
        <f>IF(base!BA454="","",base!BA454)</f>
        <v>1875</v>
      </c>
      <c r="P454" s="13">
        <f>IF(base!BK454="","",base!BK454)</f>
        <v>46303.805902777778</v>
      </c>
      <c r="Q454" s="15" t="str">
        <f>IF(base!BS454="","",base!BS454)</f>
        <v/>
      </c>
    </row>
    <row r="455" spans="1:17" ht="30" x14ac:dyDescent="0.35">
      <c r="A455" s="14">
        <f>IF(base!A455="","",base!A455)</f>
        <v>6200453</v>
      </c>
      <c r="B455" s="13">
        <f>IF(base!BN455="","",base!BN455)</f>
        <v>46303.625</v>
      </c>
      <c r="C455" s="12" t="str">
        <f>IF(base!C455="","",base!C455)</f>
        <v>ZETABURGOS SRL</v>
      </c>
      <c r="D455" s="12" t="str">
        <f>IF(base!E455="","",base!E455)</f>
        <v>1RVT - 1° VISITA</v>
      </c>
      <c r="E455" s="12" t="str">
        <f>IF(base!BF455="","",base!BF455)</f>
        <v/>
      </c>
      <c r="F455" s="12" t="str">
        <f>IF(D455="","",IF(OR(ISNUMBER(SEARCH("VISITA",D455)),ISNUMBER(SEARCH("RUTA",D455)),ISNUMBER(SEARCH("ARRIB",D455)),ISNUMBER(SEARCH("MATRIZ",D455)),ISNUMBER(SEARCH("PENDIENTE",D455))),"VISITA COORDINADA CON EL CLIENTE","N/A"))</f>
        <v>VISITA COORDINADA CON EL CLIENTE</v>
      </c>
      <c r="G455" s="12" t="str">
        <f>IF(base!G455="","",base!G455)</f>
        <v>ABC001</v>
      </c>
      <c r="H455" s="12" t="str">
        <f>IF(base!I455="","",base!I455)</f>
        <v>SAMEDAY</v>
      </c>
      <c r="I455" s="12" t="str">
        <f>IF(base!S455="","",base!S455)</f>
        <v>Prueba 453</v>
      </c>
      <c r="J455" s="12" t="str">
        <f>IF(base!T455="","",base!T455)</f>
        <v>Calle 123
Piso 2</v>
      </c>
      <c r="K455" s="12" t="str">
        <f>IF(base!U455="","",base!U455)</f>
        <v/>
      </c>
      <c r="L455" s="12" t="str">
        <f>IF(base!Y455="","",base!Y455)</f>
        <v/>
      </c>
      <c r="M455" s="12" t="str">
        <f>IF(base!AH455="","",base!AH455)</f>
        <v/>
      </c>
      <c r="N455" s="12" t="str">
        <f>IF(base!AI455="","",base!AI455)</f>
        <v>34.072273</v>
      </c>
      <c r="O455" s="12">
        <f>IF(base!BA455="","",base!BA455)</f>
        <v>1875</v>
      </c>
      <c r="P455" s="13">
        <f>IF(base!BK455="","",base!BK455)</f>
        <v>46303.805902777778</v>
      </c>
      <c r="Q455" s="15" t="str">
        <f>IF(base!BS455="","",base!BS455)</f>
        <v/>
      </c>
    </row>
    <row r="456" spans="1:17" ht="30" x14ac:dyDescent="0.35">
      <c r="A456" s="14">
        <f>IF(base!A456="","",base!A456)</f>
        <v>6200454</v>
      </c>
      <c r="B456" s="13">
        <f>IF(base!BN456="","",base!BN456)</f>
        <v>46303.625</v>
      </c>
      <c r="C456" s="12" t="str">
        <f>IF(base!C456="","",base!C456)</f>
        <v>ZETABURGOS SRL</v>
      </c>
      <c r="D456" s="12" t="str">
        <f>IF(base!E456="","",base!E456)</f>
        <v>ENTREGADO</v>
      </c>
      <c r="E456" s="12" t="str">
        <f>IF(base!BF456="","",base!BF456)</f>
        <v/>
      </c>
      <c r="F456" s="12" t="str">
        <f>IF(D456="","",IF(OR(ISNUMBER(SEARCH("VISITA",D456)),ISNUMBER(SEARCH("RUTA",D456)),ISNUMBER(SEARCH("ARRIB",D456)),ISNUMBER(SEARCH("MATRIZ",D456)),ISNUMBER(SEARCH("PENDIENTE",D456))),"VISITA COORDINADA CON EL CLIENTE","N/A"))</f>
        <v>N/A</v>
      </c>
      <c r="G456" s="12" t="str">
        <f>IF(base!G456="","",base!G456)</f>
        <v>2000018857041302</v>
      </c>
      <c r="H456" s="12" t="str">
        <f>IF(base!I456="","",base!I456)</f>
        <v>FLEX</v>
      </c>
      <c r="I456" s="12" t="str">
        <f>IF(base!S456="","",base!S456)</f>
        <v>Prueba 454</v>
      </c>
      <c r="J456" s="12" t="str">
        <f>IF(base!T456="","",base!T456)</f>
        <v>Calle 123
Piso 2</v>
      </c>
      <c r="K456" s="12" t="str">
        <f>IF(base!U456="","",base!U456)</f>
        <v/>
      </c>
      <c r="L456" s="12" t="str">
        <f>IF(base!Y456="","",base!Y456)</f>
        <v/>
      </c>
      <c r="M456" s="12" t="str">
        <f>IF(base!AH456="","",base!AH456)</f>
        <v/>
      </c>
      <c r="N456" s="12" t="str">
        <f>IF(base!AI456="","",base!AI456)</f>
        <v>34.072273</v>
      </c>
      <c r="O456" s="12">
        <f>IF(base!BA456="","",base!BA456)</f>
        <v>1875</v>
      </c>
      <c r="P456" s="13">
        <f>IF(base!BK456="","",base!BK456)</f>
        <v>46303.805902777778</v>
      </c>
      <c r="Q456" s="15" t="str">
        <f>IF(base!BS456="","",base!BS456)</f>
        <v/>
      </c>
    </row>
    <row r="457" spans="1:17" ht="30" x14ac:dyDescent="0.35">
      <c r="A457" s="14">
        <f>IF(base!A457="","",base!A457)</f>
        <v>6200455</v>
      </c>
      <c r="B457" s="13">
        <f>IF(base!BN457="","",base!BN457)</f>
        <v>46303.625</v>
      </c>
      <c r="C457" s="12" t="str">
        <f>IF(base!C457="","",base!C457)</f>
        <v>ZETABURGOS SRL</v>
      </c>
      <c r="D457" s="12" t="str">
        <f>IF(base!E457="","",base!E457)</f>
        <v>REPROGRAMACIÓN</v>
      </c>
      <c r="E457" s="12" t="str">
        <f>IF(base!BF457="","",base!BF457)</f>
        <v/>
      </c>
      <c r="F457" s="12" t="str">
        <f>IF(D457="","",IF(OR(ISNUMBER(SEARCH("VISITA",D457)),ISNUMBER(SEARCH("RUTA",D457)),ISNUMBER(SEARCH("ARRIB",D457)),ISNUMBER(SEARCH("MATRIZ",D457)),ISNUMBER(SEARCH("PENDIENTE",D457))),"VISITA COORDINADA CON EL CLIENTE","N/A"))</f>
        <v>N/A</v>
      </c>
      <c r="G457" s="12" t="str">
        <f>IF(base!G457="","",base!G457)</f>
        <v>001234</v>
      </c>
      <c r="H457" s="12" t="str">
        <f>IF(base!I457="","",base!I457)</f>
        <v>FLEX</v>
      </c>
      <c r="I457" s="12" t="str">
        <f>IF(base!S457="","",base!S457)</f>
        <v>Prueba 455</v>
      </c>
      <c r="J457" s="12" t="str">
        <f>IF(base!T457="","",base!T457)</f>
        <v>Calle 123
Piso 2</v>
      </c>
      <c r="K457" s="12" t="str">
        <f>IF(base!U457="","",base!U457)</f>
        <v/>
      </c>
      <c r="L457" s="12" t="str">
        <f>IF(base!Y457="","",base!Y457)</f>
        <v/>
      </c>
      <c r="M457" s="12" t="str">
        <f>IF(base!AH457="","",base!AH457)</f>
        <v/>
      </c>
      <c r="N457" s="12" t="str">
        <f>IF(base!AI457="","",base!AI457)</f>
        <v>34.072273</v>
      </c>
      <c r="O457" s="12">
        <f>IF(base!BA457="","",base!BA457)</f>
        <v>1875</v>
      </c>
      <c r="P457" s="13">
        <f>IF(base!BK457="","",base!BK457)</f>
        <v>46303.805902777778</v>
      </c>
      <c r="Q457" s="15" t="str">
        <f>IF(base!BS457="","",base!BS457)</f>
        <v/>
      </c>
    </row>
    <row r="458" spans="1:17" ht="30" x14ac:dyDescent="0.35">
      <c r="A458" s="14">
        <f>IF(base!A458="","",base!A458)</f>
        <v>6200456</v>
      </c>
      <c r="B458" s="13">
        <f>IF(base!BN458="","",base!BN458)</f>
        <v>46303.625</v>
      </c>
      <c r="C458" s="12" t="str">
        <f>IF(base!C458="","",base!C458)</f>
        <v>ZETABURGOS SRL</v>
      </c>
      <c r="D458" s="12" t="str">
        <f>IF(base!E458="","",base!E458)</f>
        <v>1RVT - 1° VISITA</v>
      </c>
      <c r="E458" s="12" t="str">
        <f>IF(base!BF458="","",base!BF458)</f>
        <v/>
      </c>
      <c r="F458" s="12" t="str">
        <f>IF(D458="","",IF(OR(ISNUMBER(SEARCH("VISITA",D458)),ISNUMBER(SEARCH("RUTA",D458)),ISNUMBER(SEARCH("ARRIB",D458)),ISNUMBER(SEARCH("MATRIZ",D458)),ISNUMBER(SEARCH("PENDIENTE",D458))),"VISITA COORDINADA CON EL CLIENTE","N/A"))</f>
        <v>VISITA COORDINADA CON EL CLIENTE</v>
      </c>
      <c r="G458" s="12" t="str">
        <f>"#ABC"</f>
        <v>#ABC</v>
      </c>
      <c r="H458" s="12" t="str">
        <f>IF(base!I458="","",base!I458)</f>
        <v>SAMEDAY</v>
      </c>
      <c r="I458" s="12" t="str">
        <f>IF(base!S458="","",base!S458)</f>
        <v>Prueba 456</v>
      </c>
      <c r="J458" s="12" t="str">
        <f>IF(base!T458="","",base!T458)</f>
        <v>Calle 123
Piso 2</v>
      </c>
      <c r="K458" s="12" t="str">
        <f>IF(base!U458="","",base!U458)</f>
        <v/>
      </c>
      <c r="L458" s="12" t="str">
        <f>IF(base!Y458="","",base!Y458)</f>
        <v/>
      </c>
      <c r="M458" s="12" t="str">
        <f>IF(base!AH458="","",base!AH458)</f>
        <v/>
      </c>
      <c r="N458" s="12" t="str">
        <f>IF(base!AI458="","",base!AI458)</f>
        <v>34.072273</v>
      </c>
      <c r="O458" s="12">
        <f>IF(base!BA458="","",base!BA458)</f>
        <v>1875</v>
      </c>
      <c r="P458" s="13">
        <f>IF(base!BK458="","",base!BK458)</f>
        <v>46303.805902777778</v>
      </c>
      <c r="Q458" s="15" t="str">
        <f>IF(base!BS458="","",base!BS458)</f>
        <v/>
      </c>
    </row>
    <row r="459" spans="1:17" ht="30" x14ac:dyDescent="0.35">
      <c r="A459" s="14">
        <f>IF(base!A459="","",base!A459)</f>
        <v>6200457</v>
      </c>
      <c r="B459" s="13">
        <f>IF(base!BN459="","",base!BN459)</f>
        <v>46303.625</v>
      </c>
      <c r="C459" s="12" t="str">
        <f>IF(base!C459="","",base!C459)</f>
        <v>ZETABURGOS SRL</v>
      </c>
      <c r="D459" s="12" t="str">
        <f>IF(base!E459="","",base!E459)</f>
        <v>ENTREGADO</v>
      </c>
      <c r="E459" s="12" t="str">
        <f>IF(base!BF459="","",base!BF459)</f>
        <v/>
      </c>
      <c r="F459" s="12" t="str">
        <f>IF(D459="","",IF(OR(ISNUMBER(SEARCH("VISITA",D459)),ISNUMBER(SEARCH("RUTA",D459)),ISNUMBER(SEARCH("ARRIB",D459)),ISNUMBER(SEARCH("MATRIZ",D459)),ISNUMBER(SEARCH("PENDIENTE",D459))),"VISITA COORDINADA CON EL CLIENTE","N/A"))</f>
        <v>N/A</v>
      </c>
      <c r="G459" s="12">
        <f>IF(base!G459="","",base!G459)</f>
        <v>470123456</v>
      </c>
      <c r="H459" s="12" t="str">
        <f>IF(base!I459="","",base!I459)</f>
        <v>FLEX</v>
      </c>
      <c r="I459" s="12" t="str">
        <f>IF(base!S459="","",base!S459)</f>
        <v>Prueba 457</v>
      </c>
      <c r="J459" s="12" t="str">
        <f>IF(base!T459="","",base!T459)</f>
        <v>Calle 123
Piso 2</v>
      </c>
      <c r="K459" s="12" t="str">
        <f>IF(base!U459="","",base!U459)</f>
        <v/>
      </c>
      <c r="L459" s="12" t="str">
        <f>IF(base!Y459="","",base!Y459)</f>
        <v/>
      </c>
      <c r="M459" s="12" t="str">
        <f>IF(base!AH459="","",base!AH459)</f>
        <v/>
      </c>
      <c r="N459" s="12" t="str">
        <f>IF(base!AI459="","",base!AI459)</f>
        <v>34.072273</v>
      </c>
      <c r="O459" s="12">
        <f>IF(base!BA459="","",base!BA459)</f>
        <v>1875</v>
      </c>
      <c r="P459" s="13">
        <f>IF(base!BK459="","",base!BK459)</f>
        <v>46303.805902777778</v>
      </c>
      <c r="Q459" s="15" t="str">
        <f>IF(base!BS459="","",base!BS459)</f>
        <v/>
      </c>
    </row>
    <row r="460" spans="1:17" ht="30" x14ac:dyDescent="0.35">
      <c r="A460" s="14">
        <f>IF(base!A460="","",base!A460)</f>
        <v>6200458</v>
      </c>
      <c r="B460" s="13">
        <f>IF(base!BN460="","",base!BN460)</f>
        <v>46303.625</v>
      </c>
      <c r="C460" s="12" t="str">
        <f>IF(base!C460="","",base!C460)</f>
        <v>ZETABURGOS SRL</v>
      </c>
      <c r="D460" s="12" t="str">
        <f>IF(base!E460="","",base!E460)</f>
        <v>REPROGRAMACIÓN</v>
      </c>
      <c r="E460" s="12" t="str">
        <f>IF(base!BF460="","",base!BF460)</f>
        <v/>
      </c>
      <c r="F460" s="12" t="str">
        <f>IF(D460="","",IF(OR(ISNUMBER(SEARCH("VISITA",D460)),ISNUMBER(SEARCH("RUTA",D460)),ISNUMBER(SEARCH("ARRIB",D460)),ISNUMBER(SEARCH("MATRIZ",D460)),ISNUMBER(SEARCH("PENDIENTE",D460))),"VISITA COORDINADA CON EL CLIENTE","N/A"))</f>
        <v>N/A</v>
      </c>
      <c r="G460" s="12" t="str">
        <f>IF(base!G460="","",base!G460)</f>
        <v>ABC001</v>
      </c>
      <c r="H460" s="12" t="str">
        <f>IF(base!I460="","",base!I460)</f>
        <v>SAMEDAY</v>
      </c>
      <c r="I460" s="12" t="str">
        <f>IF(base!S460="","",base!S460)</f>
        <v>Prueba 458</v>
      </c>
      <c r="J460" s="12" t="str">
        <f>IF(base!T460="","",base!T460)</f>
        <v>Calle 123
Piso 2</v>
      </c>
      <c r="K460" s="12" t="str">
        <f>IF(base!U460="","",base!U460)</f>
        <v/>
      </c>
      <c r="L460" s="12" t="str">
        <f>IF(base!Y460="","",base!Y460)</f>
        <v/>
      </c>
      <c r="M460" s="12" t="str">
        <f>IF(base!AH460="","",base!AH460)</f>
        <v/>
      </c>
      <c r="N460" s="12" t="str">
        <f>IF(base!AI460="","",base!AI460)</f>
        <v>34.072273</v>
      </c>
      <c r="O460" s="12">
        <f>IF(base!BA460="","",base!BA460)</f>
        <v>1875</v>
      </c>
      <c r="P460" s="13">
        <f>IF(base!BK460="","",base!BK460)</f>
        <v>46303.805902777778</v>
      </c>
      <c r="Q460" s="15" t="str">
        <f>IF(base!BS460="","",base!BS460)</f>
        <v/>
      </c>
    </row>
    <row r="461" spans="1:17" ht="30" x14ac:dyDescent="0.35">
      <c r="A461" s="14">
        <f>IF(base!A461="","",base!A461)</f>
        <v>6200459</v>
      </c>
      <c r="B461" s="13">
        <f>IF(base!BN461="","",base!BN461)</f>
        <v>46303.625</v>
      </c>
      <c r="C461" s="12" t="str">
        <f>IF(base!C461="","",base!C461)</f>
        <v>ZETABURGOS SRL</v>
      </c>
      <c r="D461" s="12" t="str">
        <f>IF(base!E461="","",base!E461)</f>
        <v>1RVT - 1° VISITA</v>
      </c>
      <c r="E461" s="12" t="str">
        <f>IF(base!BF461="","",base!BF461)</f>
        <v/>
      </c>
      <c r="F461" s="12" t="str">
        <f>IF(D461="","",IF(OR(ISNUMBER(SEARCH("VISITA",D461)),ISNUMBER(SEARCH("RUTA",D461)),ISNUMBER(SEARCH("ARRIB",D461)),ISNUMBER(SEARCH("MATRIZ",D461)),ISNUMBER(SEARCH("PENDIENTE",D461))),"VISITA COORDINADA CON EL CLIENTE","N/A"))</f>
        <v>VISITA COORDINADA CON EL CLIENTE</v>
      </c>
      <c r="G461" s="12" t="str">
        <f>IF(base!G461="","",base!G461)</f>
        <v>2000018857041302</v>
      </c>
      <c r="H461" s="12" t="str">
        <f>IF(base!I461="","",base!I461)</f>
        <v>FLEX</v>
      </c>
      <c r="I461" s="12" t="str">
        <f>IF(base!S461="","",base!S461)</f>
        <v>Prueba 459</v>
      </c>
      <c r="J461" s="12" t="str">
        <f>IF(base!T461="","",base!T461)</f>
        <v>Calle 123
Piso 2</v>
      </c>
      <c r="K461" s="12" t="str">
        <f>IF(base!U461="","",base!U461)</f>
        <v/>
      </c>
      <c r="L461" s="12" t="str">
        <f>IF(base!Y461="","",base!Y461)</f>
        <v/>
      </c>
      <c r="M461" s="12" t="str">
        <f>IF(base!AH461="","",base!AH461)</f>
        <v/>
      </c>
      <c r="N461" s="12" t="str">
        <f>IF(base!AI461="","",base!AI461)</f>
        <v>34.072273</v>
      </c>
      <c r="O461" s="12">
        <f>IF(base!BA461="","",base!BA461)</f>
        <v>1875</v>
      </c>
      <c r="P461" s="13">
        <f>IF(base!BK461="","",base!BK461)</f>
        <v>46303.805902777778</v>
      </c>
      <c r="Q461" s="15" t="str">
        <f>IF(base!BS461="","",base!BS461)</f>
        <v/>
      </c>
    </row>
    <row r="462" spans="1:17" ht="30" x14ac:dyDescent="0.35">
      <c r="A462" s="14">
        <f>IF(base!A462="","",base!A462)</f>
        <v>6200460</v>
      </c>
      <c r="B462" s="13">
        <f>IF(base!BN462="","",base!BN462)</f>
        <v>46303.625</v>
      </c>
      <c r="C462" s="12" t="str">
        <f>IF(base!C462="","",base!C462)</f>
        <v>ZETABURGOS SRL</v>
      </c>
      <c r="D462" s="12" t="str">
        <f>IF(base!E462="","",base!E462)</f>
        <v>ENTREGADO</v>
      </c>
      <c r="E462" s="12" t="str">
        <f>IF(base!BF462="","",base!BF462)</f>
        <v/>
      </c>
      <c r="F462" s="12" t="str">
        <f>IF(D462="","",IF(OR(ISNUMBER(SEARCH("VISITA",D462)),ISNUMBER(SEARCH("RUTA",D462)),ISNUMBER(SEARCH("ARRIB",D462)),ISNUMBER(SEARCH("MATRIZ",D462)),ISNUMBER(SEARCH("PENDIENTE",D462))),"VISITA COORDINADA CON EL CLIENTE","N/A"))</f>
        <v>N/A</v>
      </c>
      <c r="G462" s="12" t="str">
        <f>IF(base!G462="","",base!G462)</f>
        <v>001234</v>
      </c>
      <c r="H462" s="12" t="str">
        <f>IF(base!I462="","",base!I462)</f>
        <v>FLEX</v>
      </c>
      <c r="I462" s="12" t="str">
        <f>IF(base!S462="","",base!S462)</f>
        <v>Prueba 460</v>
      </c>
      <c r="J462" s="12" t="str">
        <f>IF(base!T462="","",base!T462)</f>
        <v>Calle 123
Piso 2</v>
      </c>
      <c r="K462" s="12" t="str">
        <f>IF(base!U462="","",base!U462)</f>
        <v/>
      </c>
      <c r="L462" s="12" t="str">
        <f>IF(base!Y462="","",base!Y462)</f>
        <v/>
      </c>
      <c r="M462" s="12" t="str">
        <f>IF(base!AH462="","",base!AH462)</f>
        <v/>
      </c>
      <c r="N462" s="12" t="str">
        <f>IF(base!AI462="","",base!AI462)</f>
        <v>34.072273</v>
      </c>
      <c r="O462" s="12">
        <f>IF(base!BA462="","",base!BA462)</f>
        <v>1875</v>
      </c>
      <c r="P462" s="13">
        <f>IF(base!BK462="","",base!BK462)</f>
        <v>46303.805902777778</v>
      </c>
      <c r="Q462" s="15" t="str">
        <f>IF(base!BS462="","",base!BS462)</f>
        <v/>
      </c>
    </row>
    <row r="463" spans="1:17" ht="30" x14ac:dyDescent="0.35">
      <c r="A463" s="14">
        <f>IF(base!A463="","",base!A463)</f>
        <v>6200461</v>
      </c>
      <c r="B463" s="13">
        <f>IF(base!BN463="","",base!BN463)</f>
        <v>46303.625</v>
      </c>
      <c r="C463" s="12" t="str">
        <f>IF(base!C463="","",base!C463)</f>
        <v>ZETABURGOS SRL</v>
      </c>
      <c r="D463" s="12" t="str">
        <f>IF(base!E463="","",base!E463)</f>
        <v>REPROGRAMACIÓN</v>
      </c>
      <c r="E463" s="12" t="str">
        <f>IF(base!BF463="","",base!BF463)</f>
        <v/>
      </c>
      <c r="F463" s="12" t="str">
        <f>IF(D463="","",IF(OR(ISNUMBER(SEARCH("VISITA",D463)),ISNUMBER(SEARCH("RUTA",D463)),ISNUMBER(SEARCH("ARRIB",D463)),ISNUMBER(SEARCH("MATRIZ",D463)),ISNUMBER(SEARCH("PENDIENTE",D463))),"VISITA COORDINADA CON EL CLIENTE","N/A"))</f>
        <v>N/A</v>
      </c>
      <c r="G463" s="12" t="str">
        <f>"#ABC"</f>
        <v>#ABC</v>
      </c>
      <c r="H463" s="12" t="str">
        <f>IF(base!I463="","",base!I463)</f>
        <v>SAMEDAY</v>
      </c>
      <c r="I463" s="12" t="str">
        <f>IF(base!S463="","",base!S463)</f>
        <v>Prueba 461</v>
      </c>
      <c r="J463" s="12" t="str">
        <f>IF(base!T463="","",base!T463)</f>
        <v>Calle 123
Piso 2</v>
      </c>
      <c r="K463" s="12" t="str">
        <f>IF(base!U463="","",base!U463)</f>
        <v/>
      </c>
      <c r="L463" s="12" t="str">
        <f>IF(base!Y463="","",base!Y463)</f>
        <v/>
      </c>
      <c r="M463" s="12" t="str">
        <f>IF(base!AH463="","",base!AH463)</f>
        <v/>
      </c>
      <c r="N463" s="12" t="str">
        <f>IF(base!AI463="","",base!AI463)</f>
        <v>34.072273</v>
      </c>
      <c r="O463" s="12">
        <f>IF(base!BA463="","",base!BA463)</f>
        <v>1875</v>
      </c>
      <c r="P463" s="13">
        <f>IF(base!BK463="","",base!BK463)</f>
        <v>46303.805902777778</v>
      </c>
      <c r="Q463" s="15" t="str">
        <f>IF(base!BS463="","",base!BS463)</f>
        <v/>
      </c>
    </row>
    <row r="464" spans="1:17" ht="30" x14ac:dyDescent="0.35">
      <c r="A464" s="14">
        <f>IF(base!A464="","",base!A464)</f>
        <v>6200462</v>
      </c>
      <c r="B464" s="13">
        <f>IF(base!BN464="","",base!BN464)</f>
        <v>46303.625</v>
      </c>
      <c r="C464" s="12" t="str">
        <f>IF(base!C464="","",base!C464)</f>
        <v>ZETABURGOS SRL</v>
      </c>
      <c r="D464" s="12" t="str">
        <f>IF(base!E464="","",base!E464)</f>
        <v>1RVT - 1° VISITA</v>
      </c>
      <c r="E464" s="12" t="str">
        <f>IF(base!BF464="","",base!BF464)</f>
        <v/>
      </c>
      <c r="F464" s="12" t="str">
        <f>IF(D464="","",IF(OR(ISNUMBER(SEARCH("VISITA",D464)),ISNUMBER(SEARCH("RUTA",D464)),ISNUMBER(SEARCH("ARRIB",D464)),ISNUMBER(SEARCH("MATRIZ",D464)),ISNUMBER(SEARCH("PENDIENTE",D464))),"VISITA COORDINADA CON EL CLIENTE","N/A"))</f>
        <v>VISITA COORDINADA CON EL CLIENTE</v>
      </c>
      <c r="G464" s="12">
        <f>IF(base!G464="","",base!G464)</f>
        <v>470123456</v>
      </c>
      <c r="H464" s="12" t="str">
        <f>IF(base!I464="","",base!I464)</f>
        <v>FLEX</v>
      </c>
      <c r="I464" s="12" t="str">
        <f>IF(base!S464="","",base!S464)</f>
        <v>Prueba 462</v>
      </c>
      <c r="J464" s="12" t="str">
        <f>IF(base!T464="","",base!T464)</f>
        <v>Calle 123
Piso 2</v>
      </c>
      <c r="K464" s="12" t="str">
        <f>IF(base!U464="","",base!U464)</f>
        <v/>
      </c>
      <c r="L464" s="12" t="str">
        <f>IF(base!Y464="","",base!Y464)</f>
        <v/>
      </c>
      <c r="M464" s="12" t="str">
        <f>IF(base!AH464="","",base!AH464)</f>
        <v/>
      </c>
      <c r="N464" s="12" t="str">
        <f>IF(base!AI464="","",base!AI464)</f>
        <v>34.072273</v>
      </c>
      <c r="O464" s="12">
        <f>IF(base!BA464="","",base!BA464)</f>
        <v>1875</v>
      </c>
      <c r="P464" s="13">
        <f>IF(base!BK464="","",base!BK464)</f>
        <v>46303.805902777778</v>
      </c>
      <c r="Q464" s="15" t="str">
        <f>IF(base!BS464="","",base!BS464)</f>
        <v/>
      </c>
    </row>
    <row r="465" spans="1:17" ht="30" x14ac:dyDescent="0.35">
      <c r="A465" s="14">
        <f>IF(base!A465="","",base!A465)</f>
        <v>6200463</v>
      </c>
      <c r="B465" s="13">
        <f>IF(base!BN465="","",base!BN465)</f>
        <v>46303.625</v>
      </c>
      <c r="C465" s="12" t="str">
        <f>IF(base!C465="","",base!C465)</f>
        <v>ZETABURGOS SRL</v>
      </c>
      <c r="D465" s="12" t="str">
        <f>IF(base!E465="","",base!E465)</f>
        <v>ENTREGADO</v>
      </c>
      <c r="E465" s="12" t="str">
        <f>IF(base!BF465="","",base!BF465)</f>
        <v/>
      </c>
      <c r="F465" s="12" t="str">
        <f>IF(D465="","",IF(OR(ISNUMBER(SEARCH("VISITA",D465)),ISNUMBER(SEARCH("RUTA",D465)),ISNUMBER(SEARCH("ARRIB",D465)),ISNUMBER(SEARCH("MATRIZ",D465)),ISNUMBER(SEARCH("PENDIENTE",D465))),"VISITA COORDINADA CON EL CLIENTE","N/A"))</f>
        <v>N/A</v>
      </c>
      <c r="G465" s="12" t="str">
        <f>IF(base!G465="","",base!G465)</f>
        <v>ABC001</v>
      </c>
      <c r="H465" s="12" t="str">
        <f>IF(base!I465="","",base!I465)</f>
        <v>SAMEDAY</v>
      </c>
      <c r="I465" s="12" t="str">
        <f>IF(base!S465="","",base!S465)</f>
        <v>Prueba 463</v>
      </c>
      <c r="J465" s="12" t="str">
        <f>IF(base!T465="","",base!T465)</f>
        <v>Calle 123
Piso 2</v>
      </c>
      <c r="K465" s="12" t="str">
        <f>IF(base!U465="","",base!U465)</f>
        <v/>
      </c>
      <c r="L465" s="12" t="str">
        <f>IF(base!Y465="","",base!Y465)</f>
        <v/>
      </c>
      <c r="M465" s="12" t="str">
        <f>IF(base!AH465="","",base!AH465)</f>
        <v/>
      </c>
      <c r="N465" s="12" t="str">
        <f>IF(base!AI465="","",base!AI465)</f>
        <v>34.072273</v>
      </c>
      <c r="O465" s="12">
        <f>IF(base!BA465="","",base!BA465)</f>
        <v>1875</v>
      </c>
      <c r="P465" s="13">
        <f>IF(base!BK465="","",base!BK465)</f>
        <v>46303.805902777778</v>
      </c>
      <c r="Q465" s="15" t="str">
        <f>IF(base!BS465="","",base!BS465)</f>
        <v/>
      </c>
    </row>
    <row r="466" spans="1:17" ht="30" x14ac:dyDescent="0.35">
      <c r="A466" s="14">
        <f>IF(base!A466="","",base!A466)</f>
        <v>6200464</v>
      </c>
      <c r="B466" s="13">
        <f>IF(base!BN466="","",base!BN466)</f>
        <v>46303.625</v>
      </c>
      <c r="C466" s="12" t="str">
        <f>IF(base!C466="","",base!C466)</f>
        <v>ZETABURGOS SRL</v>
      </c>
      <c r="D466" s="12" t="str">
        <f>IF(base!E466="","",base!E466)</f>
        <v>REPROGRAMACIÓN</v>
      </c>
      <c r="E466" s="12" t="str">
        <f>IF(base!BF466="","",base!BF466)</f>
        <v/>
      </c>
      <c r="F466" s="12" t="str">
        <f>IF(D466="","",IF(OR(ISNUMBER(SEARCH("VISITA",D466)),ISNUMBER(SEARCH("RUTA",D466)),ISNUMBER(SEARCH("ARRIB",D466)),ISNUMBER(SEARCH("MATRIZ",D466)),ISNUMBER(SEARCH("PENDIENTE",D466))),"VISITA COORDINADA CON EL CLIENTE","N/A"))</f>
        <v>N/A</v>
      </c>
      <c r="G466" s="12" t="str">
        <f>IF(base!G466="","",base!G466)</f>
        <v>2000018857041302</v>
      </c>
      <c r="H466" s="12" t="str">
        <f>IF(base!I466="","",base!I466)</f>
        <v>FLEX</v>
      </c>
      <c r="I466" s="12" t="str">
        <f>IF(base!S466="","",base!S466)</f>
        <v>Prueba 464</v>
      </c>
      <c r="J466" s="12" t="str">
        <f>IF(base!T466="","",base!T466)</f>
        <v>Calle 123
Piso 2</v>
      </c>
      <c r="K466" s="12" t="str">
        <f>IF(base!U466="","",base!U466)</f>
        <v/>
      </c>
      <c r="L466" s="12" t="str">
        <f>IF(base!Y466="","",base!Y466)</f>
        <v/>
      </c>
      <c r="M466" s="12" t="str">
        <f>IF(base!AH466="","",base!AH466)</f>
        <v/>
      </c>
      <c r="N466" s="12" t="str">
        <f>IF(base!AI466="","",base!AI466)</f>
        <v>34.072273</v>
      </c>
      <c r="O466" s="12">
        <f>IF(base!BA466="","",base!BA466)</f>
        <v>1875</v>
      </c>
      <c r="P466" s="13">
        <f>IF(base!BK466="","",base!BK466)</f>
        <v>46303.805902777778</v>
      </c>
      <c r="Q466" s="15" t="str">
        <f>IF(base!BS466="","",base!BS466)</f>
        <v/>
      </c>
    </row>
    <row r="467" spans="1:17" ht="30" x14ac:dyDescent="0.35">
      <c r="A467" s="14">
        <f>IF(base!A467="","",base!A467)</f>
        <v>6200465</v>
      </c>
      <c r="B467" s="13">
        <f>IF(base!BN467="","",base!BN467)</f>
        <v>46303.625</v>
      </c>
      <c r="C467" s="12" t="str">
        <f>IF(base!C467="","",base!C467)</f>
        <v>ZETABURGOS SRL</v>
      </c>
      <c r="D467" s="12" t="str">
        <f>IF(base!E467="","",base!E467)</f>
        <v>1RVT - 1° VISITA</v>
      </c>
      <c r="E467" s="12" t="str">
        <f>IF(base!BF467="","",base!BF467)</f>
        <v/>
      </c>
      <c r="F467" s="12" t="str">
        <f>IF(D467="","",IF(OR(ISNUMBER(SEARCH("VISITA",D467)),ISNUMBER(SEARCH("RUTA",D467)),ISNUMBER(SEARCH("ARRIB",D467)),ISNUMBER(SEARCH("MATRIZ",D467)),ISNUMBER(SEARCH("PENDIENTE",D467))),"VISITA COORDINADA CON EL CLIENTE","N/A"))</f>
        <v>VISITA COORDINADA CON EL CLIENTE</v>
      </c>
      <c r="G467" s="12" t="str">
        <f>IF(base!G467="","",base!G467)</f>
        <v>001234</v>
      </c>
      <c r="H467" s="12" t="str">
        <f>IF(base!I467="","",base!I467)</f>
        <v>FLEX</v>
      </c>
      <c r="I467" s="12" t="str">
        <f>IF(base!S467="","",base!S467)</f>
        <v>Prueba 465</v>
      </c>
      <c r="J467" s="12" t="str">
        <f>IF(base!T467="","",base!T467)</f>
        <v>Calle 123
Piso 2</v>
      </c>
      <c r="K467" s="12" t="str">
        <f>IF(base!U467="","",base!U467)</f>
        <v/>
      </c>
      <c r="L467" s="12" t="str">
        <f>IF(base!Y467="","",base!Y467)</f>
        <v/>
      </c>
      <c r="M467" s="12" t="str">
        <f>IF(base!AH467="","",base!AH467)</f>
        <v/>
      </c>
      <c r="N467" s="12" t="str">
        <f>IF(base!AI467="","",base!AI467)</f>
        <v>34.072273</v>
      </c>
      <c r="O467" s="12">
        <f>IF(base!BA467="","",base!BA467)</f>
        <v>1875</v>
      </c>
      <c r="P467" s="13">
        <f>IF(base!BK467="","",base!BK467)</f>
        <v>46303.805902777778</v>
      </c>
      <c r="Q467" s="15" t="str">
        <f>IF(base!BS467="","",base!BS467)</f>
        <v/>
      </c>
    </row>
    <row r="468" spans="1:17" ht="30" x14ac:dyDescent="0.35">
      <c r="A468" s="14">
        <f>IF(base!A468="","",base!A468)</f>
        <v>6200466</v>
      </c>
      <c r="B468" s="13">
        <f>IF(base!BN468="","",base!BN468)</f>
        <v>46303.625</v>
      </c>
      <c r="C468" s="12" t="str">
        <f>IF(base!C468="","",base!C468)</f>
        <v>ZETABURGOS SRL</v>
      </c>
      <c r="D468" s="12" t="str">
        <f>IF(base!E468="","",base!E468)</f>
        <v>ENTREGADO</v>
      </c>
      <c r="E468" s="12" t="str">
        <f>IF(base!BF468="","",base!BF468)</f>
        <v/>
      </c>
      <c r="F468" s="12" t="str">
        <f>IF(D468="","",IF(OR(ISNUMBER(SEARCH("VISITA",D468)),ISNUMBER(SEARCH("RUTA",D468)),ISNUMBER(SEARCH("ARRIB",D468)),ISNUMBER(SEARCH("MATRIZ",D468)),ISNUMBER(SEARCH("PENDIENTE",D468))),"VISITA COORDINADA CON EL CLIENTE","N/A"))</f>
        <v>N/A</v>
      </c>
      <c r="G468" s="12" t="str">
        <f>"#ABC"</f>
        <v>#ABC</v>
      </c>
      <c r="H468" s="12" t="str">
        <f>IF(base!I468="","",base!I468)</f>
        <v>SAMEDAY</v>
      </c>
      <c r="I468" s="12" t="str">
        <f>IF(base!S468="","",base!S468)</f>
        <v>Prueba 466</v>
      </c>
      <c r="J468" s="12" t="str">
        <f>IF(base!T468="","",base!T468)</f>
        <v>Calle 123
Piso 2</v>
      </c>
      <c r="K468" s="12" t="str">
        <f>IF(base!U468="","",base!U468)</f>
        <v/>
      </c>
      <c r="L468" s="12" t="str">
        <f>IF(base!Y468="","",base!Y468)</f>
        <v/>
      </c>
      <c r="M468" s="12" t="str">
        <f>IF(base!AH468="","",base!AH468)</f>
        <v/>
      </c>
      <c r="N468" s="12" t="str">
        <f>IF(base!AI468="","",base!AI468)</f>
        <v>34.072273</v>
      </c>
      <c r="O468" s="12">
        <f>IF(base!BA468="","",base!BA468)</f>
        <v>1875</v>
      </c>
      <c r="P468" s="13">
        <f>IF(base!BK468="","",base!BK468)</f>
        <v>46303.805902777778</v>
      </c>
      <c r="Q468" s="15" t="str">
        <f>IF(base!BS468="","",base!BS468)</f>
        <v/>
      </c>
    </row>
    <row r="469" spans="1:17" ht="30" x14ac:dyDescent="0.35">
      <c r="A469" s="14">
        <f>IF(base!A469="","",base!A469)</f>
        <v>6200467</v>
      </c>
      <c r="B469" s="13">
        <f>IF(base!BN469="","",base!BN469)</f>
        <v>46303.625</v>
      </c>
      <c r="C469" s="12" t="str">
        <f>IF(base!C469="","",base!C469)</f>
        <v>ZETABURGOS SRL</v>
      </c>
      <c r="D469" s="12" t="str">
        <f>IF(base!E469="","",base!E469)</f>
        <v>REPROGRAMACIÓN</v>
      </c>
      <c r="E469" s="12" t="str">
        <f>IF(base!BF469="","",base!BF469)</f>
        <v/>
      </c>
      <c r="F469" s="12" t="str">
        <f>IF(D469="","",IF(OR(ISNUMBER(SEARCH("VISITA",D469)),ISNUMBER(SEARCH("RUTA",D469)),ISNUMBER(SEARCH("ARRIB",D469)),ISNUMBER(SEARCH("MATRIZ",D469)),ISNUMBER(SEARCH("PENDIENTE",D469))),"VISITA COORDINADA CON EL CLIENTE","N/A"))</f>
        <v>N/A</v>
      </c>
      <c r="G469" s="12">
        <f>IF(base!G469="","",base!G469)</f>
        <v>470123456</v>
      </c>
      <c r="H469" s="12" t="str">
        <f>IF(base!I469="","",base!I469)</f>
        <v>FLEX</v>
      </c>
      <c r="I469" s="12" t="str">
        <f>IF(base!S469="","",base!S469)</f>
        <v>Prueba 467</v>
      </c>
      <c r="J469" s="12" t="str">
        <f>IF(base!T469="","",base!T469)</f>
        <v>Calle 123
Piso 2</v>
      </c>
      <c r="K469" s="12" t="str">
        <f>IF(base!U469="","",base!U469)</f>
        <v/>
      </c>
      <c r="L469" s="12" t="str">
        <f>IF(base!Y469="","",base!Y469)</f>
        <v/>
      </c>
      <c r="M469" s="12" t="str">
        <f>IF(base!AH469="","",base!AH469)</f>
        <v/>
      </c>
      <c r="N469" s="12" t="str">
        <f>IF(base!AI469="","",base!AI469)</f>
        <v>34.072273</v>
      </c>
      <c r="O469" s="12">
        <f>IF(base!BA469="","",base!BA469)</f>
        <v>1875</v>
      </c>
      <c r="P469" s="13">
        <f>IF(base!BK469="","",base!BK469)</f>
        <v>46303.805902777778</v>
      </c>
      <c r="Q469" s="15" t="str">
        <f>IF(base!BS469="","",base!BS469)</f>
        <v/>
      </c>
    </row>
    <row r="470" spans="1:17" ht="30" x14ac:dyDescent="0.35">
      <c r="A470" s="14">
        <f>IF(base!A470="","",base!A470)</f>
        <v>6200468</v>
      </c>
      <c r="B470" s="13">
        <f>IF(base!BN470="","",base!BN470)</f>
        <v>46303.625</v>
      </c>
      <c r="C470" s="12" t="str">
        <f>IF(base!C470="","",base!C470)</f>
        <v>ZETABURGOS SRL</v>
      </c>
      <c r="D470" s="12" t="str">
        <f>IF(base!E470="","",base!E470)</f>
        <v>1RVT - 1° VISITA</v>
      </c>
      <c r="E470" s="12" t="str">
        <f>IF(base!BF470="","",base!BF470)</f>
        <v/>
      </c>
      <c r="F470" s="12" t="str">
        <f>IF(D470="","",IF(OR(ISNUMBER(SEARCH("VISITA",D470)),ISNUMBER(SEARCH("RUTA",D470)),ISNUMBER(SEARCH("ARRIB",D470)),ISNUMBER(SEARCH("MATRIZ",D470)),ISNUMBER(SEARCH("PENDIENTE",D470))),"VISITA COORDINADA CON EL CLIENTE","N/A"))</f>
        <v>VISITA COORDINADA CON EL CLIENTE</v>
      </c>
      <c r="G470" s="12" t="str">
        <f>IF(base!G470="","",base!G470)</f>
        <v>ABC001</v>
      </c>
      <c r="H470" s="12" t="str">
        <f>IF(base!I470="","",base!I470)</f>
        <v>SAMEDAY</v>
      </c>
      <c r="I470" s="12" t="str">
        <f>IF(base!S470="","",base!S470)</f>
        <v>Prueba 468</v>
      </c>
      <c r="J470" s="12" t="str">
        <f>IF(base!T470="","",base!T470)</f>
        <v>Calle 123
Piso 2</v>
      </c>
      <c r="K470" s="12" t="str">
        <f>IF(base!U470="","",base!U470)</f>
        <v/>
      </c>
      <c r="L470" s="12" t="str">
        <f>IF(base!Y470="","",base!Y470)</f>
        <v/>
      </c>
      <c r="M470" s="12" t="str">
        <f>IF(base!AH470="","",base!AH470)</f>
        <v/>
      </c>
      <c r="N470" s="12" t="str">
        <f>IF(base!AI470="","",base!AI470)</f>
        <v>34.072273</v>
      </c>
      <c r="O470" s="12">
        <f>IF(base!BA470="","",base!BA470)</f>
        <v>1875</v>
      </c>
      <c r="P470" s="13">
        <f>IF(base!BK470="","",base!BK470)</f>
        <v>46303.805902777778</v>
      </c>
      <c r="Q470" s="15" t="str">
        <f>IF(base!BS470="","",base!BS470)</f>
        <v/>
      </c>
    </row>
    <row r="471" spans="1:17" ht="30" x14ac:dyDescent="0.35">
      <c r="A471" s="14">
        <f>IF(base!A471="","",base!A471)</f>
        <v>6200469</v>
      </c>
      <c r="B471" s="13">
        <f>IF(base!BN471="","",base!BN471)</f>
        <v>46303.625</v>
      </c>
      <c r="C471" s="12" t="str">
        <f>IF(base!C471="","",base!C471)</f>
        <v>ZETABURGOS SRL</v>
      </c>
      <c r="D471" s="12" t="str">
        <f>IF(base!E471="","",base!E471)</f>
        <v>ENTREGADO</v>
      </c>
      <c r="E471" s="12" t="str">
        <f>IF(base!BF471="","",base!BF471)</f>
        <v/>
      </c>
      <c r="F471" s="12" t="str">
        <f>IF(D471="","",IF(OR(ISNUMBER(SEARCH("VISITA",D471)),ISNUMBER(SEARCH("RUTA",D471)),ISNUMBER(SEARCH("ARRIB",D471)),ISNUMBER(SEARCH("MATRIZ",D471)),ISNUMBER(SEARCH("PENDIENTE",D471))),"VISITA COORDINADA CON EL CLIENTE","N/A"))</f>
        <v>N/A</v>
      </c>
      <c r="G471" s="12" t="str">
        <f>IF(base!G471="","",base!G471)</f>
        <v>2000018857041302</v>
      </c>
      <c r="H471" s="12" t="str">
        <f>IF(base!I471="","",base!I471)</f>
        <v>FLEX</v>
      </c>
      <c r="I471" s="12" t="str">
        <f>IF(base!S471="","",base!S471)</f>
        <v>Prueba 469</v>
      </c>
      <c r="J471" s="12" t="str">
        <f>IF(base!T471="","",base!T471)</f>
        <v>Calle 123
Piso 2</v>
      </c>
      <c r="K471" s="12" t="str">
        <f>IF(base!U471="","",base!U471)</f>
        <v/>
      </c>
      <c r="L471" s="12" t="str">
        <f>IF(base!Y471="","",base!Y471)</f>
        <v/>
      </c>
      <c r="M471" s="12" t="str">
        <f>IF(base!AH471="","",base!AH471)</f>
        <v/>
      </c>
      <c r="N471" s="12" t="str">
        <f>IF(base!AI471="","",base!AI471)</f>
        <v>34.072273</v>
      </c>
      <c r="O471" s="12">
        <f>IF(base!BA471="","",base!BA471)</f>
        <v>1875</v>
      </c>
      <c r="P471" s="13">
        <f>IF(base!BK471="","",base!BK471)</f>
        <v>46303.805902777778</v>
      </c>
      <c r="Q471" s="15" t="str">
        <f>IF(base!BS471="","",base!BS471)</f>
        <v/>
      </c>
    </row>
    <row r="472" spans="1:17" ht="30" x14ac:dyDescent="0.35">
      <c r="A472" s="14">
        <f>IF(base!A472="","",base!A472)</f>
        <v>6200470</v>
      </c>
      <c r="B472" s="13">
        <f>IF(base!BN472="","",base!BN472)</f>
        <v>46303.625</v>
      </c>
      <c r="C472" s="12" t="str">
        <f>IF(base!C472="","",base!C472)</f>
        <v>ZETABURGOS SRL</v>
      </c>
      <c r="D472" s="12" t="str">
        <f>IF(base!E472="","",base!E472)</f>
        <v>REPROGRAMACIÓN</v>
      </c>
      <c r="E472" s="12" t="str">
        <f>IF(base!BF472="","",base!BF472)</f>
        <v/>
      </c>
      <c r="F472" s="12" t="str">
        <f>IF(D472="","",IF(OR(ISNUMBER(SEARCH("VISITA",D472)),ISNUMBER(SEARCH("RUTA",D472)),ISNUMBER(SEARCH("ARRIB",D472)),ISNUMBER(SEARCH("MATRIZ",D472)),ISNUMBER(SEARCH("PENDIENTE",D472))),"VISITA COORDINADA CON EL CLIENTE","N/A"))</f>
        <v>N/A</v>
      </c>
      <c r="G472" s="12" t="str">
        <f>IF(base!G472="","",base!G472)</f>
        <v>001234</v>
      </c>
      <c r="H472" s="12" t="str">
        <f>IF(base!I472="","",base!I472)</f>
        <v>FLEX</v>
      </c>
      <c r="I472" s="12" t="str">
        <f>IF(base!S472="","",base!S472)</f>
        <v>Prueba 470</v>
      </c>
      <c r="J472" s="12" t="str">
        <f>IF(base!T472="","",base!T472)</f>
        <v>Calle 123
Piso 2</v>
      </c>
      <c r="K472" s="12" t="str">
        <f>IF(base!U472="","",base!U472)</f>
        <v/>
      </c>
      <c r="L472" s="12" t="str">
        <f>IF(base!Y472="","",base!Y472)</f>
        <v/>
      </c>
      <c r="M472" s="12" t="str">
        <f>IF(base!AH472="","",base!AH472)</f>
        <v/>
      </c>
      <c r="N472" s="12" t="str">
        <f>IF(base!AI472="","",base!AI472)</f>
        <v>34.072273</v>
      </c>
      <c r="O472" s="12">
        <f>IF(base!BA472="","",base!BA472)</f>
        <v>1875</v>
      </c>
      <c r="P472" s="13">
        <f>IF(base!BK472="","",base!BK472)</f>
        <v>46303.805902777778</v>
      </c>
      <c r="Q472" s="15" t="str">
        <f>IF(base!BS472="","",base!BS472)</f>
        <v/>
      </c>
    </row>
    <row r="473" spans="1:17" ht="30" x14ac:dyDescent="0.35">
      <c r="A473" s="14">
        <f>IF(base!A473="","",base!A473)</f>
        <v>6200471</v>
      </c>
      <c r="B473" s="13">
        <f>IF(base!BN473="","",base!BN473)</f>
        <v>46303.625</v>
      </c>
      <c r="C473" s="12" t="str">
        <f>IF(base!C473="","",base!C473)</f>
        <v>ZETABURGOS SRL</v>
      </c>
      <c r="D473" s="12" t="str">
        <f>IF(base!E473="","",base!E473)</f>
        <v>1RVT - 1° VISITA</v>
      </c>
      <c r="E473" s="12" t="str">
        <f>IF(base!BF473="","",base!BF473)</f>
        <v/>
      </c>
      <c r="F473" s="12" t="str">
        <f>IF(D473="","",IF(OR(ISNUMBER(SEARCH("VISITA",D473)),ISNUMBER(SEARCH("RUTA",D473)),ISNUMBER(SEARCH("ARRIB",D473)),ISNUMBER(SEARCH("MATRIZ",D473)),ISNUMBER(SEARCH("PENDIENTE",D473))),"VISITA COORDINADA CON EL CLIENTE","N/A"))</f>
        <v>VISITA COORDINADA CON EL CLIENTE</v>
      </c>
      <c r="G473" s="12" t="str">
        <f>"#ABC"</f>
        <v>#ABC</v>
      </c>
      <c r="H473" s="12" t="str">
        <f>IF(base!I473="","",base!I473)</f>
        <v>SAMEDAY</v>
      </c>
      <c r="I473" s="12" t="str">
        <f>IF(base!S473="","",base!S473)</f>
        <v>Prueba 471</v>
      </c>
      <c r="J473" s="12" t="str">
        <f>IF(base!T473="","",base!T473)</f>
        <v>Calle 123
Piso 2</v>
      </c>
      <c r="K473" s="12" t="str">
        <f>IF(base!U473="","",base!U473)</f>
        <v/>
      </c>
      <c r="L473" s="12" t="str">
        <f>IF(base!Y473="","",base!Y473)</f>
        <v/>
      </c>
      <c r="M473" s="12" t="str">
        <f>IF(base!AH473="","",base!AH473)</f>
        <v/>
      </c>
      <c r="N473" s="12" t="str">
        <f>IF(base!AI473="","",base!AI473)</f>
        <v>34.072273</v>
      </c>
      <c r="O473" s="12">
        <f>IF(base!BA473="","",base!BA473)</f>
        <v>1875</v>
      </c>
      <c r="P473" s="13">
        <f>IF(base!BK473="","",base!BK473)</f>
        <v>46303.805902777778</v>
      </c>
      <c r="Q473" s="15" t="str">
        <f>IF(base!BS473="","",base!BS473)</f>
        <v/>
      </c>
    </row>
    <row r="474" spans="1:17" ht="30" x14ac:dyDescent="0.35">
      <c r="A474" s="14">
        <f>IF(base!A474="","",base!A474)</f>
        <v>6200472</v>
      </c>
      <c r="B474" s="13">
        <f>IF(base!BN474="","",base!BN474)</f>
        <v>46303.625</v>
      </c>
      <c r="C474" s="12" t="str">
        <f>IF(base!C474="","",base!C474)</f>
        <v>ZETABURGOS SRL</v>
      </c>
      <c r="D474" s="12" t="str">
        <f>IF(base!E474="","",base!E474)</f>
        <v>ENTREGADO</v>
      </c>
      <c r="E474" s="12" t="str">
        <f>IF(base!BF474="","",base!BF474)</f>
        <v/>
      </c>
      <c r="F474" s="12" t="str">
        <f>IF(D474="","",IF(OR(ISNUMBER(SEARCH("VISITA",D474)),ISNUMBER(SEARCH("RUTA",D474)),ISNUMBER(SEARCH("ARRIB",D474)),ISNUMBER(SEARCH("MATRIZ",D474)),ISNUMBER(SEARCH("PENDIENTE",D474))),"VISITA COORDINADA CON EL CLIENTE","N/A"))</f>
        <v>N/A</v>
      </c>
      <c r="G474" s="12">
        <f>IF(base!G474="","",base!G474)</f>
        <v>470123456</v>
      </c>
      <c r="H474" s="12" t="str">
        <f>IF(base!I474="","",base!I474)</f>
        <v>FLEX</v>
      </c>
      <c r="I474" s="12" t="str">
        <f>IF(base!S474="","",base!S474)</f>
        <v>Prueba 472</v>
      </c>
      <c r="J474" s="12" t="str">
        <f>IF(base!T474="","",base!T474)</f>
        <v>Calle 123
Piso 2</v>
      </c>
      <c r="K474" s="12" t="str">
        <f>IF(base!U474="","",base!U474)</f>
        <v/>
      </c>
      <c r="L474" s="12" t="str">
        <f>IF(base!Y474="","",base!Y474)</f>
        <v/>
      </c>
      <c r="M474" s="12" t="str">
        <f>IF(base!AH474="","",base!AH474)</f>
        <v/>
      </c>
      <c r="N474" s="12" t="str">
        <f>IF(base!AI474="","",base!AI474)</f>
        <v>34.072273</v>
      </c>
      <c r="O474" s="12">
        <f>IF(base!BA474="","",base!BA474)</f>
        <v>1875</v>
      </c>
      <c r="P474" s="13">
        <f>IF(base!BK474="","",base!BK474)</f>
        <v>46303.805902777778</v>
      </c>
      <c r="Q474" s="15" t="str">
        <f>IF(base!BS474="","",base!BS474)</f>
        <v/>
      </c>
    </row>
    <row r="475" spans="1:17" ht="30" x14ac:dyDescent="0.35">
      <c r="A475" s="14">
        <f>IF(base!A475="","",base!A475)</f>
        <v>6200473</v>
      </c>
      <c r="B475" s="13">
        <f>IF(base!BN475="","",base!BN475)</f>
        <v>46303.625</v>
      </c>
      <c r="C475" s="12" t="str">
        <f>IF(base!C475="","",base!C475)</f>
        <v>ZETABURGOS SRL</v>
      </c>
      <c r="D475" s="12" t="str">
        <f>IF(base!E475="","",base!E475)</f>
        <v>REPROGRAMACIÓN</v>
      </c>
      <c r="E475" s="12" t="str">
        <f>IF(base!BF475="","",base!BF475)</f>
        <v/>
      </c>
      <c r="F475" s="12" t="str">
        <f>IF(D475="","",IF(OR(ISNUMBER(SEARCH("VISITA",D475)),ISNUMBER(SEARCH("RUTA",D475)),ISNUMBER(SEARCH("ARRIB",D475)),ISNUMBER(SEARCH("MATRIZ",D475)),ISNUMBER(SEARCH("PENDIENTE",D475))),"VISITA COORDINADA CON EL CLIENTE","N/A"))</f>
        <v>N/A</v>
      </c>
      <c r="G475" s="12" t="str">
        <f>IF(base!G475="","",base!G475)</f>
        <v>ABC001</v>
      </c>
      <c r="H475" s="12" t="str">
        <f>IF(base!I475="","",base!I475)</f>
        <v>SAMEDAY</v>
      </c>
      <c r="I475" s="12" t="str">
        <f>IF(base!S475="","",base!S475)</f>
        <v>Prueba 473</v>
      </c>
      <c r="J475" s="12" t="str">
        <f>IF(base!T475="","",base!T475)</f>
        <v>Calle 123
Piso 2</v>
      </c>
      <c r="K475" s="12" t="str">
        <f>IF(base!U475="","",base!U475)</f>
        <v/>
      </c>
      <c r="L475" s="12" t="str">
        <f>IF(base!Y475="","",base!Y475)</f>
        <v/>
      </c>
      <c r="M475" s="12" t="str">
        <f>IF(base!AH475="","",base!AH475)</f>
        <v/>
      </c>
      <c r="N475" s="12" t="str">
        <f>IF(base!AI475="","",base!AI475)</f>
        <v>34.072273</v>
      </c>
      <c r="O475" s="12">
        <f>IF(base!BA475="","",base!BA475)</f>
        <v>1875</v>
      </c>
      <c r="P475" s="13">
        <f>IF(base!BK475="","",base!BK475)</f>
        <v>46303.805902777778</v>
      </c>
      <c r="Q475" s="15" t="str">
        <f>IF(base!BS475="","",base!BS475)</f>
        <v/>
      </c>
    </row>
    <row r="476" spans="1:17" ht="30" x14ac:dyDescent="0.35">
      <c r="A476" s="14">
        <f>IF(base!A476="","",base!A476)</f>
        <v>6200474</v>
      </c>
      <c r="B476" s="13">
        <f>IF(base!BN476="","",base!BN476)</f>
        <v>46303.625</v>
      </c>
      <c r="C476" s="12" t="str">
        <f>IF(base!C476="","",base!C476)</f>
        <v>ZETABURGOS SRL</v>
      </c>
      <c r="D476" s="12" t="str">
        <f>IF(base!E476="","",base!E476)</f>
        <v>1RVT - 1° VISITA</v>
      </c>
      <c r="E476" s="12" t="str">
        <f>IF(base!BF476="","",base!BF476)</f>
        <v/>
      </c>
      <c r="F476" s="12" t="str">
        <f>IF(D476="","",IF(OR(ISNUMBER(SEARCH("VISITA",D476)),ISNUMBER(SEARCH("RUTA",D476)),ISNUMBER(SEARCH("ARRIB",D476)),ISNUMBER(SEARCH("MATRIZ",D476)),ISNUMBER(SEARCH("PENDIENTE",D476))),"VISITA COORDINADA CON EL CLIENTE","N/A"))</f>
        <v>VISITA COORDINADA CON EL CLIENTE</v>
      </c>
      <c r="G476" s="12" t="str">
        <f>IF(base!G476="","",base!G476)</f>
        <v>2000018857041302</v>
      </c>
      <c r="H476" s="12" t="str">
        <f>IF(base!I476="","",base!I476)</f>
        <v>FLEX</v>
      </c>
      <c r="I476" s="12" t="str">
        <f>IF(base!S476="","",base!S476)</f>
        <v>Prueba 474</v>
      </c>
      <c r="J476" s="12" t="str">
        <f>IF(base!T476="","",base!T476)</f>
        <v>Calle 123
Piso 2</v>
      </c>
      <c r="K476" s="12" t="str">
        <f>IF(base!U476="","",base!U476)</f>
        <v/>
      </c>
      <c r="L476" s="12" t="str">
        <f>IF(base!Y476="","",base!Y476)</f>
        <v/>
      </c>
      <c r="M476" s="12" t="str">
        <f>IF(base!AH476="","",base!AH476)</f>
        <v/>
      </c>
      <c r="N476" s="12" t="str">
        <f>IF(base!AI476="","",base!AI476)</f>
        <v>34.072273</v>
      </c>
      <c r="O476" s="12">
        <f>IF(base!BA476="","",base!BA476)</f>
        <v>1875</v>
      </c>
      <c r="P476" s="13">
        <f>IF(base!BK476="","",base!BK476)</f>
        <v>46303.805902777778</v>
      </c>
      <c r="Q476" s="15" t="str">
        <f>IF(base!BS476="","",base!BS476)</f>
        <v/>
      </c>
    </row>
    <row r="477" spans="1:17" ht="30" x14ac:dyDescent="0.35">
      <c r="A477" s="14">
        <f>IF(base!A477="","",base!A477)</f>
        <v>6200475</v>
      </c>
      <c r="B477" s="13">
        <f>IF(base!BN477="","",base!BN477)</f>
        <v>46303.625</v>
      </c>
      <c r="C477" s="12" t="str">
        <f>IF(base!C477="","",base!C477)</f>
        <v>ZETABURGOS SRL</v>
      </c>
      <c r="D477" s="12" t="str">
        <f>IF(base!E477="","",base!E477)</f>
        <v>ENTREGADO</v>
      </c>
      <c r="E477" s="12" t="str">
        <f>IF(base!BF477="","",base!BF477)</f>
        <v/>
      </c>
      <c r="F477" s="12" t="str">
        <f>IF(D477="","",IF(OR(ISNUMBER(SEARCH("VISITA",D477)),ISNUMBER(SEARCH("RUTA",D477)),ISNUMBER(SEARCH("ARRIB",D477)),ISNUMBER(SEARCH("MATRIZ",D477)),ISNUMBER(SEARCH("PENDIENTE",D477))),"VISITA COORDINADA CON EL CLIENTE","N/A"))</f>
        <v>N/A</v>
      </c>
      <c r="G477" s="12" t="str">
        <f>IF(base!G477="","",base!G477)</f>
        <v>001234</v>
      </c>
      <c r="H477" s="12" t="str">
        <f>IF(base!I477="","",base!I477)</f>
        <v>FLEX</v>
      </c>
      <c r="I477" s="12" t="str">
        <f>IF(base!S477="","",base!S477)</f>
        <v>Prueba 475</v>
      </c>
      <c r="J477" s="12" t="str">
        <f>IF(base!T477="","",base!T477)</f>
        <v>Calle 123
Piso 2</v>
      </c>
      <c r="K477" s="12" t="str">
        <f>IF(base!U477="","",base!U477)</f>
        <v/>
      </c>
      <c r="L477" s="12" t="str">
        <f>IF(base!Y477="","",base!Y477)</f>
        <v/>
      </c>
      <c r="M477" s="12" t="str">
        <f>IF(base!AH477="","",base!AH477)</f>
        <v/>
      </c>
      <c r="N477" s="12" t="str">
        <f>IF(base!AI477="","",base!AI477)</f>
        <v>34.072273</v>
      </c>
      <c r="O477" s="12">
        <f>IF(base!BA477="","",base!BA477)</f>
        <v>1875</v>
      </c>
      <c r="P477" s="13">
        <f>IF(base!BK477="","",base!BK477)</f>
        <v>46303.805902777778</v>
      </c>
      <c r="Q477" s="15" t="str">
        <f>IF(base!BS477="","",base!BS477)</f>
        <v/>
      </c>
    </row>
    <row r="478" spans="1:17" ht="30" x14ac:dyDescent="0.35">
      <c r="A478" s="14">
        <f>IF(base!A478="","",base!A478)</f>
        <v>6200476</v>
      </c>
      <c r="B478" s="13">
        <f>IF(base!BN478="","",base!BN478)</f>
        <v>46303.625</v>
      </c>
      <c r="C478" s="12" t="str">
        <f>IF(base!C478="","",base!C478)</f>
        <v>ZETABURGOS SRL</v>
      </c>
      <c r="D478" s="12" t="str">
        <f>IF(base!E478="","",base!E478)</f>
        <v>REPROGRAMACIÓN</v>
      </c>
      <c r="E478" s="12" t="str">
        <f>IF(base!BF478="","",base!BF478)</f>
        <v/>
      </c>
      <c r="F478" s="12" t="str">
        <f>IF(D478="","",IF(OR(ISNUMBER(SEARCH("VISITA",D478)),ISNUMBER(SEARCH("RUTA",D478)),ISNUMBER(SEARCH("ARRIB",D478)),ISNUMBER(SEARCH("MATRIZ",D478)),ISNUMBER(SEARCH("PENDIENTE",D478))),"VISITA COORDINADA CON EL CLIENTE","N/A"))</f>
        <v>N/A</v>
      </c>
      <c r="G478" s="12" t="str">
        <f>"#ABC"</f>
        <v>#ABC</v>
      </c>
      <c r="H478" s="12" t="str">
        <f>IF(base!I478="","",base!I478)</f>
        <v>SAMEDAY</v>
      </c>
      <c r="I478" s="12" t="str">
        <f>IF(base!S478="","",base!S478)</f>
        <v>Prueba 476</v>
      </c>
      <c r="J478" s="12" t="str">
        <f>IF(base!T478="","",base!T478)</f>
        <v>Calle 123
Piso 2</v>
      </c>
      <c r="K478" s="12" t="str">
        <f>IF(base!U478="","",base!U478)</f>
        <v/>
      </c>
      <c r="L478" s="12" t="str">
        <f>IF(base!Y478="","",base!Y478)</f>
        <v/>
      </c>
      <c r="M478" s="12" t="str">
        <f>IF(base!AH478="","",base!AH478)</f>
        <v/>
      </c>
      <c r="N478" s="12" t="str">
        <f>IF(base!AI478="","",base!AI478)</f>
        <v>34.072273</v>
      </c>
      <c r="O478" s="12">
        <f>IF(base!BA478="","",base!BA478)</f>
        <v>1875</v>
      </c>
      <c r="P478" s="13">
        <f>IF(base!BK478="","",base!BK478)</f>
        <v>46303.805902777778</v>
      </c>
      <c r="Q478" s="15" t="str">
        <f>IF(base!BS478="","",base!BS478)</f>
        <v/>
      </c>
    </row>
    <row r="479" spans="1:17" ht="30" x14ac:dyDescent="0.35">
      <c r="A479" s="14">
        <f>IF(base!A479="","",base!A479)</f>
        <v>6200477</v>
      </c>
      <c r="B479" s="13">
        <f>IF(base!BN479="","",base!BN479)</f>
        <v>46303.625</v>
      </c>
      <c r="C479" s="12" t="str">
        <f>IF(base!C479="","",base!C479)</f>
        <v>ZETABURGOS SRL</v>
      </c>
      <c r="D479" s="12" t="str">
        <f>IF(base!E479="","",base!E479)</f>
        <v>1RVT - 1° VISITA</v>
      </c>
      <c r="E479" s="12" t="str">
        <f>IF(base!BF479="","",base!BF479)</f>
        <v/>
      </c>
      <c r="F479" s="12" t="str">
        <f>IF(D479="","",IF(OR(ISNUMBER(SEARCH("VISITA",D479)),ISNUMBER(SEARCH("RUTA",D479)),ISNUMBER(SEARCH("ARRIB",D479)),ISNUMBER(SEARCH("MATRIZ",D479)),ISNUMBER(SEARCH("PENDIENTE",D479))),"VISITA COORDINADA CON EL CLIENTE","N/A"))</f>
        <v>VISITA COORDINADA CON EL CLIENTE</v>
      </c>
      <c r="G479" s="12">
        <f>IF(base!G479="","",base!G479)</f>
        <v>470123456</v>
      </c>
      <c r="H479" s="12" t="str">
        <f>IF(base!I479="","",base!I479)</f>
        <v>FLEX</v>
      </c>
      <c r="I479" s="12" t="str">
        <f>IF(base!S479="","",base!S479)</f>
        <v>Prueba 477</v>
      </c>
      <c r="J479" s="12" t="str">
        <f>IF(base!T479="","",base!T479)</f>
        <v>Calle 123
Piso 2</v>
      </c>
      <c r="K479" s="12" t="str">
        <f>IF(base!U479="","",base!U479)</f>
        <v/>
      </c>
      <c r="L479" s="12" t="str">
        <f>IF(base!Y479="","",base!Y479)</f>
        <v/>
      </c>
      <c r="M479" s="12" t="str">
        <f>IF(base!AH479="","",base!AH479)</f>
        <v/>
      </c>
      <c r="N479" s="12" t="str">
        <f>IF(base!AI479="","",base!AI479)</f>
        <v>34.072273</v>
      </c>
      <c r="O479" s="12">
        <f>IF(base!BA479="","",base!BA479)</f>
        <v>1875</v>
      </c>
      <c r="P479" s="13">
        <f>IF(base!BK479="","",base!BK479)</f>
        <v>46303.805902777778</v>
      </c>
      <c r="Q479" s="15" t="str">
        <f>IF(base!BS479="","",base!BS479)</f>
        <v/>
      </c>
    </row>
    <row r="480" spans="1:17" ht="30" x14ac:dyDescent="0.35">
      <c r="A480" s="14">
        <f>IF(base!A480="","",base!A480)</f>
        <v>6200478</v>
      </c>
      <c r="B480" s="13">
        <f>IF(base!BN480="","",base!BN480)</f>
        <v>46303.625</v>
      </c>
      <c r="C480" s="12" t="str">
        <f>IF(base!C480="","",base!C480)</f>
        <v>ZETABURGOS SRL</v>
      </c>
      <c r="D480" s="12" t="str">
        <f>IF(base!E480="","",base!E480)</f>
        <v>ENTREGADO</v>
      </c>
      <c r="E480" s="12" t="str">
        <f>IF(base!BF480="","",base!BF480)</f>
        <v/>
      </c>
      <c r="F480" s="12" t="str">
        <f>IF(D480="","",IF(OR(ISNUMBER(SEARCH("VISITA",D480)),ISNUMBER(SEARCH("RUTA",D480)),ISNUMBER(SEARCH("ARRIB",D480)),ISNUMBER(SEARCH("MATRIZ",D480)),ISNUMBER(SEARCH("PENDIENTE",D480))),"VISITA COORDINADA CON EL CLIENTE","N/A"))</f>
        <v>N/A</v>
      </c>
      <c r="G480" s="12" t="str">
        <f>IF(base!G480="","",base!G480)</f>
        <v>ABC001</v>
      </c>
      <c r="H480" s="12" t="str">
        <f>IF(base!I480="","",base!I480)</f>
        <v>SAMEDAY</v>
      </c>
      <c r="I480" s="12" t="str">
        <f>IF(base!S480="","",base!S480)</f>
        <v>Prueba 478</v>
      </c>
      <c r="J480" s="12" t="str">
        <f>IF(base!T480="","",base!T480)</f>
        <v>Calle 123
Piso 2</v>
      </c>
      <c r="K480" s="12" t="str">
        <f>IF(base!U480="","",base!U480)</f>
        <v/>
      </c>
      <c r="L480" s="12" t="str">
        <f>IF(base!Y480="","",base!Y480)</f>
        <v/>
      </c>
      <c r="M480" s="12" t="str">
        <f>IF(base!AH480="","",base!AH480)</f>
        <v/>
      </c>
      <c r="N480" s="12" t="str">
        <f>IF(base!AI480="","",base!AI480)</f>
        <v>34.072273</v>
      </c>
      <c r="O480" s="12">
        <f>IF(base!BA480="","",base!BA480)</f>
        <v>1875</v>
      </c>
      <c r="P480" s="13">
        <f>IF(base!BK480="","",base!BK480)</f>
        <v>46303.805902777778</v>
      </c>
      <c r="Q480" s="15" t="str">
        <f>IF(base!BS480="","",base!BS480)</f>
        <v/>
      </c>
    </row>
    <row r="481" spans="1:17" ht="30" x14ac:dyDescent="0.35">
      <c r="A481" s="14">
        <f>IF(base!A481="","",base!A481)</f>
        <v>6200479</v>
      </c>
      <c r="B481" s="13">
        <f>IF(base!BN481="","",base!BN481)</f>
        <v>46303.625</v>
      </c>
      <c r="C481" s="12" t="str">
        <f>IF(base!C481="","",base!C481)</f>
        <v>ZETABURGOS SRL</v>
      </c>
      <c r="D481" s="12" t="str">
        <f>IF(base!E481="","",base!E481)</f>
        <v>REPROGRAMACIÓN</v>
      </c>
      <c r="E481" s="12" t="str">
        <f>IF(base!BF481="","",base!BF481)</f>
        <v/>
      </c>
      <c r="F481" s="12" t="str">
        <f>IF(D481="","",IF(OR(ISNUMBER(SEARCH("VISITA",D481)),ISNUMBER(SEARCH("RUTA",D481)),ISNUMBER(SEARCH("ARRIB",D481)),ISNUMBER(SEARCH("MATRIZ",D481)),ISNUMBER(SEARCH("PENDIENTE",D481))),"VISITA COORDINADA CON EL CLIENTE","N/A"))</f>
        <v>N/A</v>
      </c>
      <c r="G481" s="12" t="str">
        <f>IF(base!G481="","",base!G481)</f>
        <v>2000018857041302</v>
      </c>
      <c r="H481" s="12" t="str">
        <f>IF(base!I481="","",base!I481)</f>
        <v>FLEX</v>
      </c>
      <c r="I481" s="12" t="str">
        <f>IF(base!S481="","",base!S481)</f>
        <v>Prueba 479</v>
      </c>
      <c r="J481" s="12" t="str">
        <f>IF(base!T481="","",base!T481)</f>
        <v>Calle 123
Piso 2</v>
      </c>
      <c r="K481" s="12" t="str">
        <f>IF(base!U481="","",base!U481)</f>
        <v/>
      </c>
      <c r="L481" s="12" t="str">
        <f>IF(base!Y481="","",base!Y481)</f>
        <v/>
      </c>
      <c r="M481" s="12" t="str">
        <f>IF(base!AH481="","",base!AH481)</f>
        <v/>
      </c>
      <c r="N481" s="12" t="str">
        <f>IF(base!AI481="","",base!AI481)</f>
        <v>34.072273</v>
      </c>
      <c r="O481" s="12">
        <f>IF(base!BA481="","",base!BA481)</f>
        <v>1875</v>
      </c>
      <c r="P481" s="13">
        <f>IF(base!BK481="","",base!BK481)</f>
        <v>46303.805902777778</v>
      </c>
      <c r="Q481" s="15" t="str">
        <f>IF(base!BS481="","",base!BS481)</f>
        <v/>
      </c>
    </row>
    <row r="482" spans="1:17" ht="30" x14ac:dyDescent="0.35">
      <c r="A482" s="14">
        <f>IF(base!A482="","",base!A482)</f>
        <v>6200480</v>
      </c>
      <c r="B482" s="13">
        <f>IF(base!BN482="","",base!BN482)</f>
        <v>46303.625</v>
      </c>
      <c r="C482" s="12" t="str">
        <f>IF(base!C482="","",base!C482)</f>
        <v>ZETABURGOS SRL</v>
      </c>
      <c r="D482" s="12" t="str">
        <f>IF(base!E482="","",base!E482)</f>
        <v>1RVT - 1° VISITA</v>
      </c>
      <c r="E482" s="12" t="str">
        <f>IF(base!BF482="","",base!BF482)</f>
        <v/>
      </c>
      <c r="F482" s="12" t="str">
        <f>IF(D482="","",IF(OR(ISNUMBER(SEARCH("VISITA",D482)),ISNUMBER(SEARCH("RUTA",D482)),ISNUMBER(SEARCH("ARRIB",D482)),ISNUMBER(SEARCH("MATRIZ",D482)),ISNUMBER(SEARCH("PENDIENTE",D482))),"VISITA COORDINADA CON EL CLIENTE","N/A"))</f>
        <v>VISITA COORDINADA CON EL CLIENTE</v>
      </c>
      <c r="G482" s="12" t="str">
        <f>IF(base!G482="","",base!G482)</f>
        <v>001234</v>
      </c>
      <c r="H482" s="12" t="str">
        <f>IF(base!I482="","",base!I482)</f>
        <v>FLEX</v>
      </c>
      <c r="I482" s="12" t="str">
        <f>IF(base!S482="","",base!S482)</f>
        <v>Prueba 480</v>
      </c>
      <c r="J482" s="12" t="str">
        <f>IF(base!T482="","",base!T482)</f>
        <v>Calle 123
Piso 2</v>
      </c>
      <c r="K482" s="12" t="str">
        <f>IF(base!U482="","",base!U482)</f>
        <v/>
      </c>
      <c r="L482" s="12" t="str">
        <f>IF(base!Y482="","",base!Y482)</f>
        <v/>
      </c>
      <c r="M482" s="12" t="str">
        <f>IF(base!AH482="","",base!AH482)</f>
        <v/>
      </c>
      <c r="N482" s="12" t="str">
        <f>IF(base!AI482="","",base!AI482)</f>
        <v>34.072273</v>
      </c>
      <c r="O482" s="12">
        <f>IF(base!BA482="","",base!BA482)</f>
        <v>1875</v>
      </c>
      <c r="P482" s="13">
        <f>IF(base!BK482="","",base!BK482)</f>
        <v>46303.805902777778</v>
      </c>
      <c r="Q482" s="15" t="str">
        <f>IF(base!BS482="","",base!BS482)</f>
        <v/>
      </c>
    </row>
    <row r="483" spans="1:17" ht="30" x14ac:dyDescent="0.35">
      <c r="A483" s="14">
        <f>IF(base!A483="","",base!A483)</f>
        <v>6200481</v>
      </c>
      <c r="B483" s="13">
        <f>IF(base!BN483="","",base!BN483)</f>
        <v>46303.625</v>
      </c>
      <c r="C483" s="12" t="str">
        <f>IF(base!C483="","",base!C483)</f>
        <v>ZETABURGOS SRL</v>
      </c>
      <c r="D483" s="12" t="str">
        <f>IF(base!E483="","",base!E483)</f>
        <v>ENTREGADO</v>
      </c>
      <c r="E483" s="12" t="str">
        <f>IF(base!BF483="","",base!BF483)</f>
        <v/>
      </c>
      <c r="F483" s="12" t="str">
        <f>IF(D483="","",IF(OR(ISNUMBER(SEARCH("VISITA",D483)),ISNUMBER(SEARCH("RUTA",D483)),ISNUMBER(SEARCH("ARRIB",D483)),ISNUMBER(SEARCH("MATRIZ",D483)),ISNUMBER(SEARCH("PENDIENTE",D483))),"VISITA COORDINADA CON EL CLIENTE","N/A"))</f>
        <v>N/A</v>
      </c>
      <c r="G483" s="12" t="str">
        <f>"#ABC"</f>
        <v>#ABC</v>
      </c>
      <c r="H483" s="12" t="str">
        <f>IF(base!I483="","",base!I483)</f>
        <v>SAMEDAY</v>
      </c>
      <c r="I483" s="12" t="str">
        <f>IF(base!S483="","",base!S483)</f>
        <v>Prueba 481</v>
      </c>
      <c r="J483" s="12" t="str">
        <f>IF(base!T483="","",base!T483)</f>
        <v>Calle 123
Piso 2</v>
      </c>
      <c r="K483" s="12" t="str">
        <f>IF(base!U483="","",base!U483)</f>
        <v/>
      </c>
      <c r="L483" s="12" t="str">
        <f>IF(base!Y483="","",base!Y483)</f>
        <v/>
      </c>
      <c r="M483" s="12" t="str">
        <f>IF(base!AH483="","",base!AH483)</f>
        <v/>
      </c>
      <c r="N483" s="12" t="str">
        <f>IF(base!AI483="","",base!AI483)</f>
        <v>34.072273</v>
      </c>
      <c r="O483" s="12">
        <f>IF(base!BA483="","",base!BA483)</f>
        <v>1875</v>
      </c>
      <c r="P483" s="13">
        <f>IF(base!BK483="","",base!BK483)</f>
        <v>46303.805902777778</v>
      </c>
      <c r="Q483" s="15" t="str">
        <f>IF(base!BS483="","",base!BS483)</f>
        <v/>
      </c>
    </row>
    <row r="484" spans="1:17" ht="30" x14ac:dyDescent="0.35">
      <c r="A484" s="14">
        <f>IF(base!A484="","",base!A484)</f>
        <v>6200482</v>
      </c>
      <c r="B484" s="13">
        <f>IF(base!BN484="","",base!BN484)</f>
        <v>46303.625</v>
      </c>
      <c r="C484" s="12" t="str">
        <f>IF(base!C484="","",base!C484)</f>
        <v>ZETABURGOS SRL</v>
      </c>
      <c r="D484" s="12" t="str">
        <f>IF(base!E484="","",base!E484)</f>
        <v>REPROGRAMACIÓN</v>
      </c>
      <c r="E484" s="12" t="str">
        <f>IF(base!BF484="","",base!BF484)</f>
        <v/>
      </c>
      <c r="F484" s="12" t="str">
        <f>IF(D484="","",IF(OR(ISNUMBER(SEARCH("VISITA",D484)),ISNUMBER(SEARCH("RUTA",D484)),ISNUMBER(SEARCH("ARRIB",D484)),ISNUMBER(SEARCH("MATRIZ",D484)),ISNUMBER(SEARCH("PENDIENTE",D484))),"VISITA COORDINADA CON EL CLIENTE","N/A"))</f>
        <v>N/A</v>
      </c>
      <c r="G484" s="12">
        <f>IF(base!G484="","",base!G484)</f>
        <v>470123456</v>
      </c>
      <c r="H484" s="12" t="str">
        <f>IF(base!I484="","",base!I484)</f>
        <v>FLEX</v>
      </c>
      <c r="I484" s="12" t="str">
        <f>IF(base!S484="","",base!S484)</f>
        <v>Prueba 482</v>
      </c>
      <c r="J484" s="12" t="str">
        <f>IF(base!T484="","",base!T484)</f>
        <v>Calle 123
Piso 2</v>
      </c>
      <c r="K484" s="12" t="str">
        <f>IF(base!U484="","",base!U484)</f>
        <v/>
      </c>
      <c r="L484" s="12" t="str">
        <f>IF(base!Y484="","",base!Y484)</f>
        <v/>
      </c>
      <c r="M484" s="12" t="str">
        <f>IF(base!AH484="","",base!AH484)</f>
        <v/>
      </c>
      <c r="N484" s="12" t="str">
        <f>IF(base!AI484="","",base!AI484)</f>
        <v>34.072273</v>
      </c>
      <c r="O484" s="12">
        <f>IF(base!BA484="","",base!BA484)</f>
        <v>1875</v>
      </c>
      <c r="P484" s="13">
        <f>IF(base!BK484="","",base!BK484)</f>
        <v>46303.805902777778</v>
      </c>
      <c r="Q484" s="15" t="str">
        <f>IF(base!BS484="","",base!BS484)</f>
        <v/>
      </c>
    </row>
    <row r="485" spans="1:17" ht="30" x14ac:dyDescent="0.35">
      <c r="A485" s="14">
        <f>IF(base!A485="","",base!A485)</f>
        <v>6200483</v>
      </c>
      <c r="B485" s="13">
        <f>IF(base!BN485="","",base!BN485)</f>
        <v>46303.625</v>
      </c>
      <c r="C485" s="12" t="str">
        <f>IF(base!C485="","",base!C485)</f>
        <v>ZETABURGOS SRL</v>
      </c>
      <c r="D485" s="12" t="str">
        <f>IF(base!E485="","",base!E485)</f>
        <v>1RVT - 1° VISITA</v>
      </c>
      <c r="E485" s="12" t="str">
        <f>IF(base!BF485="","",base!BF485)</f>
        <v/>
      </c>
      <c r="F485" s="12" t="str">
        <f>IF(D485="","",IF(OR(ISNUMBER(SEARCH("VISITA",D485)),ISNUMBER(SEARCH("RUTA",D485)),ISNUMBER(SEARCH("ARRIB",D485)),ISNUMBER(SEARCH("MATRIZ",D485)),ISNUMBER(SEARCH("PENDIENTE",D485))),"VISITA COORDINADA CON EL CLIENTE","N/A"))</f>
        <v>VISITA COORDINADA CON EL CLIENTE</v>
      </c>
      <c r="G485" s="12" t="str">
        <f>IF(base!G485="","",base!G485)</f>
        <v>ABC001</v>
      </c>
      <c r="H485" s="12" t="str">
        <f>IF(base!I485="","",base!I485)</f>
        <v>SAMEDAY</v>
      </c>
      <c r="I485" s="12" t="str">
        <f>IF(base!S485="","",base!S485)</f>
        <v>Prueba 483</v>
      </c>
      <c r="J485" s="12" t="str">
        <f>IF(base!T485="","",base!T485)</f>
        <v>Calle 123
Piso 2</v>
      </c>
      <c r="K485" s="12" t="str">
        <f>IF(base!U485="","",base!U485)</f>
        <v/>
      </c>
      <c r="L485" s="12" t="str">
        <f>IF(base!Y485="","",base!Y485)</f>
        <v/>
      </c>
      <c r="M485" s="12" t="str">
        <f>IF(base!AH485="","",base!AH485)</f>
        <v/>
      </c>
      <c r="N485" s="12" t="str">
        <f>IF(base!AI485="","",base!AI485)</f>
        <v>34.072273</v>
      </c>
      <c r="O485" s="12">
        <f>IF(base!BA485="","",base!BA485)</f>
        <v>1875</v>
      </c>
      <c r="P485" s="13">
        <f>IF(base!BK485="","",base!BK485)</f>
        <v>46303.805902777778</v>
      </c>
      <c r="Q485" s="15" t="str">
        <f>IF(base!BS485="","",base!BS485)</f>
        <v/>
      </c>
    </row>
    <row r="486" spans="1:17" ht="30" x14ac:dyDescent="0.35">
      <c r="A486" s="14">
        <f>IF(base!A486="","",base!A486)</f>
        <v>6200484</v>
      </c>
      <c r="B486" s="13">
        <f>IF(base!BN486="","",base!BN486)</f>
        <v>46303.625</v>
      </c>
      <c r="C486" s="12" t="str">
        <f>IF(base!C486="","",base!C486)</f>
        <v>ZETABURGOS SRL</v>
      </c>
      <c r="D486" s="12" t="str">
        <f>IF(base!E486="","",base!E486)</f>
        <v>ENTREGADO</v>
      </c>
      <c r="E486" s="12" t="str">
        <f>IF(base!BF486="","",base!BF486)</f>
        <v/>
      </c>
      <c r="F486" s="12" t="str">
        <f>IF(D486="","",IF(OR(ISNUMBER(SEARCH("VISITA",D486)),ISNUMBER(SEARCH("RUTA",D486)),ISNUMBER(SEARCH("ARRIB",D486)),ISNUMBER(SEARCH("MATRIZ",D486)),ISNUMBER(SEARCH("PENDIENTE",D486))),"VISITA COORDINADA CON EL CLIENTE","N/A"))</f>
        <v>N/A</v>
      </c>
      <c r="G486" s="12" t="str">
        <f>IF(base!G486="","",base!G486)</f>
        <v>2000018857041302</v>
      </c>
      <c r="H486" s="12" t="str">
        <f>IF(base!I486="","",base!I486)</f>
        <v>FLEX</v>
      </c>
      <c r="I486" s="12" t="str">
        <f>IF(base!S486="","",base!S486)</f>
        <v>Prueba 484</v>
      </c>
      <c r="J486" s="12" t="str">
        <f>IF(base!T486="","",base!T486)</f>
        <v>Calle 123
Piso 2</v>
      </c>
      <c r="K486" s="12" t="str">
        <f>IF(base!U486="","",base!U486)</f>
        <v/>
      </c>
      <c r="L486" s="12" t="str">
        <f>IF(base!Y486="","",base!Y486)</f>
        <v/>
      </c>
      <c r="M486" s="12" t="str">
        <f>IF(base!AH486="","",base!AH486)</f>
        <v/>
      </c>
      <c r="N486" s="12" t="str">
        <f>IF(base!AI486="","",base!AI486)</f>
        <v>34.072273</v>
      </c>
      <c r="O486" s="12">
        <f>IF(base!BA486="","",base!BA486)</f>
        <v>1875</v>
      </c>
      <c r="P486" s="13">
        <f>IF(base!BK486="","",base!BK486)</f>
        <v>46303.805902777778</v>
      </c>
      <c r="Q486" s="15" t="str">
        <f>IF(base!BS486="","",base!BS486)</f>
        <v/>
      </c>
    </row>
    <row r="487" spans="1:17" ht="30" x14ac:dyDescent="0.35">
      <c r="A487" s="14">
        <f>IF(base!A487="","",base!A487)</f>
        <v>6200485</v>
      </c>
      <c r="B487" s="13">
        <f>IF(base!BN487="","",base!BN487)</f>
        <v>46303.625</v>
      </c>
      <c r="C487" s="12" t="str">
        <f>IF(base!C487="","",base!C487)</f>
        <v>ZETABURGOS SRL</v>
      </c>
      <c r="D487" s="12" t="str">
        <f>IF(base!E487="","",base!E487)</f>
        <v>REPROGRAMACIÓN</v>
      </c>
      <c r="E487" s="12" t="str">
        <f>IF(base!BF487="","",base!BF487)</f>
        <v/>
      </c>
      <c r="F487" s="12" t="str">
        <f>IF(D487="","",IF(OR(ISNUMBER(SEARCH("VISITA",D487)),ISNUMBER(SEARCH("RUTA",D487)),ISNUMBER(SEARCH("ARRIB",D487)),ISNUMBER(SEARCH("MATRIZ",D487)),ISNUMBER(SEARCH("PENDIENTE",D487))),"VISITA COORDINADA CON EL CLIENTE","N/A"))</f>
        <v>N/A</v>
      </c>
      <c r="G487" s="12" t="str">
        <f>IF(base!G487="","",base!G487)</f>
        <v>001234</v>
      </c>
      <c r="H487" s="12" t="str">
        <f>IF(base!I487="","",base!I487)</f>
        <v>FLEX</v>
      </c>
      <c r="I487" s="12" t="str">
        <f>IF(base!S487="","",base!S487)</f>
        <v>Prueba 485</v>
      </c>
      <c r="J487" s="12" t="str">
        <f>IF(base!T487="","",base!T487)</f>
        <v>Calle 123
Piso 2</v>
      </c>
      <c r="K487" s="12" t="str">
        <f>IF(base!U487="","",base!U487)</f>
        <v/>
      </c>
      <c r="L487" s="12" t="str">
        <f>IF(base!Y487="","",base!Y487)</f>
        <v/>
      </c>
      <c r="M487" s="12" t="str">
        <f>IF(base!AH487="","",base!AH487)</f>
        <v/>
      </c>
      <c r="N487" s="12" t="str">
        <f>IF(base!AI487="","",base!AI487)</f>
        <v>34.072273</v>
      </c>
      <c r="O487" s="12">
        <f>IF(base!BA487="","",base!BA487)</f>
        <v>1875</v>
      </c>
      <c r="P487" s="13">
        <f>IF(base!BK487="","",base!BK487)</f>
        <v>46303.805902777778</v>
      </c>
      <c r="Q487" s="15" t="str">
        <f>IF(base!BS487="","",base!BS487)</f>
        <v/>
      </c>
    </row>
    <row r="488" spans="1:17" ht="30" x14ac:dyDescent="0.35">
      <c r="A488" s="14">
        <f>IF(base!A488="","",base!A488)</f>
        <v>6200486</v>
      </c>
      <c r="B488" s="13">
        <f>IF(base!BN488="","",base!BN488)</f>
        <v>46303.625</v>
      </c>
      <c r="C488" s="12" t="str">
        <f>IF(base!C488="","",base!C488)</f>
        <v>ZETABURGOS SRL</v>
      </c>
      <c r="D488" s="12" t="str">
        <f>IF(base!E488="","",base!E488)</f>
        <v>1RVT - 1° VISITA</v>
      </c>
      <c r="E488" s="12" t="str">
        <f>IF(base!BF488="","",base!BF488)</f>
        <v/>
      </c>
      <c r="F488" s="12" t="str">
        <f>IF(D488="","",IF(OR(ISNUMBER(SEARCH("VISITA",D488)),ISNUMBER(SEARCH("RUTA",D488)),ISNUMBER(SEARCH("ARRIB",D488)),ISNUMBER(SEARCH("MATRIZ",D488)),ISNUMBER(SEARCH("PENDIENTE",D488))),"VISITA COORDINADA CON EL CLIENTE","N/A"))</f>
        <v>VISITA COORDINADA CON EL CLIENTE</v>
      </c>
      <c r="G488" s="12" t="str">
        <f>"#ABC"</f>
        <v>#ABC</v>
      </c>
      <c r="H488" s="12" t="str">
        <f>IF(base!I488="","",base!I488)</f>
        <v>SAMEDAY</v>
      </c>
      <c r="I488" s="12" t="str">
        <f>IF(base!S488="","",base!S488)</f>
        <v>Prueba 486</v>
      </c>
      <c r="J488" s="12" t="str">
        <f>IF(base!T488="","",base!T488)</f>
        <v>Calle 123
Piso 2</v>
      </c>
      <c r="K488" s="12" t="str">
        <f>IF(base!U488="","",base!U488)</f>
        <v/>
      </c>
      <c r="L488" s="12" t="str">
        <f>IF(base!Y488="","",base!Y488)</f>
        <v/>
      </c>
      <c r="M488" s="12" t="str">
        <f>IF(base!AH488="","",base!AH488)</f>
        <v/>
      </c>
      <c r="N488" s="12" t="str">
        <f>IF(base!AI488="","",base!AI488)</f>
        <v>34.072273</v>
      </c>
      <c r="O488" s="12">
        <f>IF(base!BA488="","",base!BA488)</f>
        <v>1875</v>
      </c>
      <c r="P488" s="13">
        <f>IF(base!BK488="","",base!BK488)</f>
        <v>46303.805902777778</v>
      </c>
      <c r="Q488" s="15" t="str">
        <f>IF(base!BS488="","",base!BS488)</f>
        <v/>
      </c>
    </row>
    <row r="489" spans="1:17" ht="30" x14ac:dyDescent="0.35">
      <c r="A489" s="14">
        <f>IF(base!A489="","",base!A489)</f>
        <v>6200487</v>
      </c>
      <c r="B489" s="13">
        <f>IF(base!BN489="","",base!BN489)</f>
        <v>46303.625</v>
      </c>
      <c r="C489" s="12" t="str">
        <f>IF(base!C489="","",base!C489)</f>
        <v>ZETABURGOS SRL</v>
      </c>
      <c r="D489" s="12" t="str">
        <f>IF(base!E489="","",base!E489)</f>
        <v>ENTREGADO</v>
      </c>
      <c r="E489" s="12" t="str">
        <f>IF(base!BF489="","",base!BF489)</f>
        <v/>
      </c>
      <c r="F489" s="12" t="str">
        <f>IF(D489="","",IF(OR(ISNUMBER(SEARCH("VISITA",D489)),ISNUMBER(SEARCH("RUTA",D489)),ISNUMBER(SEARCH("ARRIB",D489)),ISNUMBER(SEARCH("MATRIZ",D489)),ISNUMBER(SEARCH("PENDIENTE",D489))),"VISITA COORDINADA CON EL CLIENTE","N/A"))</f>
        <v>N/A</v>
      </c>
      <c r="G489" s="12">
        <f>IF(base!G489="","",base!G489)</f>
        <v>470123456</v>
      </c>
      <c r="H489" s="12" t="str">
        <f>IF(base!I489="","",base!I489)</f>
        <v>FLEX</v>
      </c>
      <c r="I489" s="12" t="str">
        <f>IF(base!S489="","",base!S489)</f>
        <v>Prueba 487</v>
      </c>
      <c r="J489" s="12" t="str">
        <f>IF(base!T489="","",base!T489)</f>
        <v>Calle 123
Piso 2</v>
      </c>
      <c r="K489" s="12" t="str">
        <f>IF(base!U489="","",base!U489)</f>
        <v/>
      </c>
      <c r="L489" s="12" t="str">
        <f>IF(base!Y489="","",base!Y489)</f>
        <v/>
      </c>
      <c r="M489" s="12" t="str">
        <f>IF(base!AH489="","",base!AH489)</f>
        <v/>
      </c>
      <c r="N489" s="12" t="str">
        <f>IF(base!AI489="","",base!AI489)</f>
        <v>34.072273</v>
      </c>
      <c r="O489" s="12">
        <f>IF(base!BA489="","",base!BA489)</f>
        <v>1875</v>
      </c>
      <c r="P489" s="13">
        <f>IF(base!BK489="","",base!BK489)</f>
        <v>46303.805902777778</v>
      </c>
      <c r="Q489" s="15" t="str">
        <f>IF(base!BS489="","",base!BS489)</f>
        <v/>
      </c>
    </row>
    <row r="490" spans="1:17" ht="30" x14ac:dyDescent="0.35">
      <c r="A490" s="14">
        <f>IF(base!A490="","",base!A490)</f>
        <v>6200488</v>
      </c>
      <c r="B490" s="13">
        <f>IF(base!BN490="","",base!BN490)</f>
        <v>46303.625</v>
      </c>
      <c r="C490" s="12" t="str">
        <f>IF(base!C490="","",base!C490)</f>
        <v>ZETABURGOS SRL</v>
      </c>
      <c r="D490" s="12" t="str">
        <f>IF(base!E490="","",base!E490)</f>
        <v>REPROGRAMACIÓN</v>
      </c>
      <c r="E490" s="12" t="str">
        <f>IF(base!BF490="","",base!BF490)</f>
        <v/>
      </c>
      <c r="F490" s="12" t="str">
        <f>IF(D490="","",IF(OR(ISNUMBER(SEARCH("VISITA",D490)),ISNUMBER(SEARCH("RUTA",D490)),ISNUMBER(SEARCH("ARRIB",D490)),ISNUMBER(SEARCH("MATRIZ",D490)),ISNUMBER(SEARCH("PENDIENTE",D490))),"VISITA COORDINADA CON EL CLIENTE","N/A"))</f>
        <v>N/A</v>
      </c>
      <c r="G490" s="12" t="str">
        <f>IF(base!G490="","",base!G490)</f>
        <v>ABC001</v>
      </c>
      <c r="H490" s="12" t="str">
        <f>IF(base!I490="","",base!I490)</f>
        <v>SAMEDAY</v>
      </c>
      <c r="I490" s="12" t="str">
        <f>IF(base!S490="","",base!S490)</f>
        <v>Prueba 488</v>
      </c>
      <c r="J490" s="12" t="str">
        <f>IF(base!T490="","",base!T490)</f>
        <v>Calle 123
Piso 2</v>
      </c>
      <c r="K490" s="12" t="str">
        <f>IF(base!U490="","",base!U490)</f>
        <v/>
      </c>
      <c r="L490" s="12" t="str">
        <f>IF(base!Y490="","",base!Y490)</f>
        <v/>
      </c>
      <c r="M490" s="12" t="str">
        <f>IF(base!AH490="","",base!AH490)</f>
        <v/>
      </c>
      <c r="N490" s="12" t="str">
        <f>IF(base!AI490="","",base!AI490)</f>
        <v>34.072273</v>
      </c>
      <c r="O490" s="12">
        <f>IF(base!BA490="","",base!BA490)</f>
        <v>1875</v>
      </c>
      <c r="P490" s="13">
        <f>IF(base!BK490="","",base!BK490)</f>
        <v>46303.805902777778</v>
      </c>
      <c r="Q490" s="15" t="str">
        <f>IF(base!BS490="","",base!BS490)</f>
        <v/>
      </c>
    </row>
    <row r="491" spans="1:17" ht="30" x14ac:dyDescent="0.35">
      <c r="A491" s="14">
        <f>IF(base!A491="","",base!A491)</f>
        <v>6200489</v>
      </c>
      <c r="B491" s="13">
        <f>IF(base!BN491="","",base!BN491)</f>
        <v>46303.625</v>
      </c>
      <c r="C491" s="12" t="str">
        <f>IF(base!C491="","",base!C491)</f>
        <v>ZETABURGOS SRL</v>
      </c>
      <c r="D491" s="12" t="str">
        <f>IF(base!E491="","",base!E491)</f>
        <v>1RVT - 1° VISITA</v>
      </c>
      <c r="E491" s="12" t="str">
        <f>IF(base!BF491="","",base!BF491)</f>
        <v/>
      </c>
      <c r="F491" s="12" t="str">
        <f>IF(D491="","",IF(OR(ISNUMBER(SEARCH("VISITA",D491)),ISNUMBER(SEARCH("RUTA",D491)),ISNUMBER(SEARCH("ARRIB",D491)),ISNUMBER(SEARCH("MATRIZ",D491)),ISNUMBER(SEARCH("PENDIENTE",D491))),"VISITA COORDINADA CON EL CLIENTE","N/A"))</f>
        <v>VISITA COORDINADA CON EL CLIENTE</v>
      </c>
      <c r="G491" s="12" t="str">
        <f>IF(base!G491="","",base!G491)</f>
        <v>2000018857041302</v>
      </c>
      <c r="H491" s="12" t="str">
        <f>IF(base!I491="","",base!I491)</f>
        <v>FLEX</v>
      </c>
      <c r="I491" s="12" t="str">
        <f>IF(base!S491="","",base!S491)</f>
        <v>Prueba 489</v>
      </c>
      <c r="J491" s="12" t="str">
        <f>IF(base!T491="","",base!T491)</f>
        <v>Calle 123
Piso 2</v>
      </c>
      <c r="K491" s="12" t="str">
        <f>IF(base!U491="","",base!U491)</f>
        <v/>
      </c>
      <c r="L491" s="12" t="str">
        <f>IF(base!Y491="","",base!Y491)</f>
        <v/>
      </c>
      <c r="M491" s="12" t="str">
        <f>IF(base!AH491="","",base!AH491)</f>
        <v/>
      </c>
      <c r="N491" s="12" t="str">
        <f>IF(base!AI491="","",base!AI491)</f>
        <v>34.072273</v>
      </c>
      <c r="O491" s="12">
        <f>IF(base!BA491="","",base!BA491)</f>
        <v>1875</v>
      </c>
      <c r="P491" s="13">
        <f>IF(base!BK491="","",base!BK491)</f>
        <v>46303.805902777778</v>
      </c>
      <c r="Q491" s="15" t="str">
        <f>IF(base!BS491="","",base!BS491)</f>
        <v/>
      </c>
    </row>
    <row r="492" spans="1:17" ht="30" x14ac:dyDescent="0.35">
      <c r="A492" s="14">
        <f>IF(base!A492="","",base!A492)</f>
        <v>6200490</v>
      </c>
      <c r="B492" s="13">
        <f>IF(base!BN492="","",base!BN492)</f>
        <v>46303.625</v>
      </c>
      <c r="C492" s="12" t="str">
        <f>IF(base!C492="","",base!C492)</f>
        <v>ZETABURGOS SRL</v>
      </c>
      <c r="D492" s="12" t="str">
        <f>IF(base!E492="","",base!E492)</f>
        <v>ENTREGADO</v>
      </c>
      <c r="E492" s="12" t="str">
        <f>IF(base!BF492="","",base!BF492)</f>
        <v/>
      </c>
      <c r="F492" s="12" t="str">
        <f>IF(D492="","",IF(OR(ISNUMBER(SEARCH("VISITA",D492)),ISNUMBER(SEARCH("RUTA",D492)),ISNUMBER(SEARCH("ARRIB",D492)),ISNUMBER(SEARCH("MATRIZ",D492)),ISNUMBER(SEARCH("PENDIENTE",D492))),"VISITA COORDINADA CON EL CLIENTE","N/A"))</f>
        <v>N/A</v>
      </c>
      <c r="G492" s="12" t="str">
        <f>IF(base!G492="","",base!G492)</f>
        <v>001234</v>
      </c>
      <c r="H492" s="12" t="str">
        <f>IF(base!I492="","",base!I492)</f>
        <v>FLEX</v>
      </c>
      <c r="I492" s="12" t="str">
        <f>IF(base!S492="","",base!S492)</f>
        <v>Prueba 490</v>
      </c>
      <c r="J492" s="12" t="str">
        <f>IF(base!T492="","",base!T492)</f>
        <v>Calle 123
Piso 2</v>
      </c>
      <c r="K492" s="12" t="str">
        <f>IF(base!U492="","",base!U492)</f>
        <v/>
      </c>
      <c r="L492" s="12" t="str">
        <f>IF(base!Y492="","",base!Y492)</f>
        <v/>
      </c>
      <c r="M492" s="12" t="str">
        <f>IF(base!AH492="","",base!AH492)</f>
        <v/>
      </c>
      <c r="N492" s="12" t="str">
        <f>IF(base!AI492="","",base!AI492)</f>
        <v>34.072273</v>
      </c>
      <c r="O492" s="12">
        <f>IF(base!BA492="","",base!BA492)</f>
        <v>1875</v>
      </c>
      <c r="P492" s="13">
        <f>IF(base!BK492="","",base!BK492)</f>
        <v>46303.805902777778</v>
      </c>
      <c r="Q492" s="15" t="str">
        <f>IF(base!BS492="","",base!BS492)</f>
        <v/>
      </c>
    </row>
    <row r="493" spans="1:17" ht="30" x14ac:dyDescent="0.35">
      <c r="A493" s="14">
        <f>IF(base!A493="","",base!A493)</f>
        <v>6200491</v>
      </c>
      <c r="B493" s="13">
        <f>IF(base!BN493="","",base!BN493)</f>
        <v>46303.625</v>
      </c>
      <c r="C493" s="12" t="str">
        <f>IF(base!C493="","",base!C493)</f>
        <v>ZETABURGOS SRL</v>
      </c>
      <c r="D493" s="12" t="str">
        <f>IF(base!E493="","",base!E493)</f>
        <v>REPROGRAMACIÓN</v>
      </c>
      <c r="E493" s="12" t="str">
        <f>IF(base!BF493="","",base!BF493)</f>
        <v/>
      </c>
      <c r="F493" s="12" t="str">
        <f>IF(D493="","",IF(OR(ISNUMBER(SEARCH("VISITA",D493)),ISNUMBER(SEARCH("RUTA",D493)),ISNUMBER(SEARCH("ARRIB",D493)),ISNUMBER(SEARCH("MATRIZ",D493)),ISNUMBER(SEARCH("PENDIENTE",D493))),"VISITA COORDINADA CON EL CLIENTE","N/A"))</f>
        <v>N/A</v>
      </c>
      <c r="G493" s="12" t="str">
        <f>"#ABC"</f>
        <v>#ABC</v>
      </c>
      <c r="H493" s="12" t="str">
        <f>IF(base!I493="","",base!I493)</f>
        <v>SAMEDAY</v>
      </c>
      <c r="I493" s="12" t="str">
        <f>IF(base!S493="","",base!S493)</f>
        <v>Prueba 491</v>
      </c>
      <c r="J493" s="12" t="str">
        <f>IF(base!T493="","",base!T493)</f>
        <v>Calle 123
Piso 2</v>
      </c>
      <c r="K493" s="12" t="str">
        <f>IF(base!U493="","",base!U493)</f>
        <v/>
      </c>
      <c r="L493" s="12" t="str">
        <f>IF(base!Y493="","",base!Y493)</f>
        <v/>
      </c>
      <c r="M493" s="12" t="str">
        <f>IF(base!AH493="","",base!AH493)</f>
        <v/>
      </c>
      <c r="N493" s="12" t="str">
        <f>IF(base!AI493="","",base!AI493)</f>
        <v>34.072273</v>
      </c>
      <c r="O493" s="12">
        <f>IF(base!BA493="","",base!BA493)</f>
        <v>1875</v>
      </c>
      <c r="P493" s="13">
        <f>IF(base!BK493="","",base!BK493)</f>
        <v>46303.805902777778</v>
      </c>
      <c r="Q493" s="15" t="str">
        <f>IF(base!BS493="","",base!BS493)</f>
        <v/>
      </c>
    </row>
    <row r="494" spans="1:17" ht="30" x14ac:dyDescent="0.35">
      <c r="A494" s="14">
        <f>IF(base!A494="","",base!A494)</f>
        <v>6200492</v>
      </c>
      <c r="B494" s="13">
        <f>IF(base!BN494="","",base!BN494)</f>
        <v>46303.625</v>
      </c>
      <c r="C494" s="12" t="str">
        <f>IF(base!C494="","",base!C494)</f>
        <v>ZETABURGOS SRL</v>
      </c>
      <c r="D494" s="12" t="str">
        <f>IF(base!E494="","",base!E494)</f>
        <v>1RVT - 1° VISITA</v>
      </c>
      <c r="E494" s="12" t="str">
        <f>IF(base!BF494="","",base!BF494)</f>
        <v/>
      </c>
      <c r="F494" s="12" t="str">
        <f>IF(D494="","",IF(OR(ISNUMBER(SEARCH("VISITA",D494)),ISNUMBER(SEARCH("RUTA",D494)),ISNUMBER(SEARCH("ARRIB",D494)),ISNUMBER(SEARCH("MATRIZ",D494)),ISNUMBER(SEARCH("PENDIENTE",D494))),"VISITA COORDINADA CON EL CLIENTE","N/A"))</f>
        <v>VISITA COORDINADA CON EL CLIENTE</v>
      </c>
      <c r="G494" s="12">
        <f>IF(base!G494="","",base!G494)</f>
        <v>470123456</v>
      </c>
      <c r="H494" s="12" t="str">
        <f>IF(base!I494="","",base!I494)</f>
        <v>FLEX</v>
      </c>
      <c r="I494" s="12" t="str">
        <f>IF(base!S494="","",base!S494)</f>
        <v>Prueba 492</v>
      </c>
      <c r="J494" s="12" t="str">
        <f>IF(base!T494="","",base!T494)</f>
        <v>Calle 123
Piso 2</v>
      </c>
      <c r="K494" s="12" t="str">
        <f>IF(base!U494="","",base!U494)</f>
        <v/>
      </c>
      <c r="L494" s="12" t="str">
        <f>IF(base!Y494="","",base!Y494)</f>
        <v/>
      </c>
      <c r="M494" s="12" t="str">
        <f>IF(base!AH494="","",base!AH494)</f>
        <v/>
      </c>
      <c r="N494" s="12" t="str">
        <f>IF(base!AI494="","",base!AI494)</f>
        <v>34.072273</v>
      </c>
      <c r="O494" s="12">
        <f>IF(base!BA494="","",base!BA494)</f>
        <v>1875</v>
      </c>
      <c r="P494" s="13">
        <f>IF(base!BK494="","",base!BK494)</f>
        <v>46303.805902777778</v>
      </c>
      <c r="Q494" s="15" t="str">
        <f>IF(base!BS494="","",base!BS494)</f>
        <v/>
      </c>
    </row>
    <row r="495" spans="1:17" ht="30" x14ac:dyDescent="0.35">
      <c r="A495" s="14">
        <f>IF(base!A495="","",base!A495)</f>
        <v>6200493</v>
      </c>
      <c r="B495" s="13">
        <f>IF(base!BN495="","",base!BN495)</f>
        <v>46303.625</v>
      </c>
      <c r="C495" s="12" t="str">
        <f>IF(base!C495="","",base!C495)</f>
        <v>ZETABURGOS SRL</v>
      </c>
      <c r="D495" s="12" t="str">
        <f>IF(base!E495="","",base!E495)</f>
        <v>ENTREGADO</v>
      </c>
      <c r="E495" s="12" t="str">
        <f>IF(base!BF495="","",base!BF495)</f>
        <v/>
      </c>
      <c r="F495" s="12" t="str">
        <f>IF(D495="","",IF(OR(ISNUMBER(SEARCH("VISITA",D495)),ISNUMBER(SEARCH("RUTA",D495)),ISNUMBER(SEARCH("ARRIB",D495)),ISNUMBER(SEARCH("MATRIZ",D495)),ISNUMBER(SEARCH("PENDIENTE",D495))),"VISITA COORDINADA CON EL CLIENTE","N/A"))</f>
        <v>N/A</v>
      </c>
      <c r="G495" s="12" t="str">
        <f>IF(base!G495="","",base!G495)</f>
        <v>ABC001</v>
      </c>
      <c r="H495" s="12" t="str">
        <f>IF(base!I495="","",base!I495)</f>
        <v>SAMEDAY</v>
      </c>
      <c r="I495" s="12" t="str">
        <f>IF(base!S495="","",base!S495)</f>
        <v>Prueba 493</v>
      </c>
      <c r="J495" s="12" t="str">
        <f>IF(base!T495="","",base!T495)</f>
        <v>Calle 123
Piso 2</v>
      </c>
      <c r="K495" s="12" t="str">
        <f>IF(base!U495="","",base!U495)</f>
        <v/>
      </c>
      <c r="L495" s="12" t="str">
        <f>IF(base!Y495="","",base!Y495)</f>
        <v/>
      </c>
      <c r="M495" s="12" t="str">
        <f>IF(base!AH495="","",base!AH495)</f>
        <v/>
      </c>
      <c r="N495" s="12" t="str">
        <f>IF(base!AI495="","",base!AI495)</f>
        <v>34.072273</v>
      </c>
      <c r="O495" s="12">
        <f>IF(base!BA495="","",base!BA495)</f>
        <v>1875</v>
      </c>
      <c r="P495" s="13">
        <f>IF(base!BK495="","",base!BK495)</f>
        <v>46303.805902777778</v>
      </c>
      <c r="Q495" s="15" t="str">
        <f>IF(base!BS495="","",base!BS495)</f>
        <v/>
      </c>
    </row>
    <row r="496" spans="1:17" ht="30" x14ac:dyDescent="0.35">
      <c r="A496" s="14">
        <f>IF(base!A496="","",base!A496)</f>
        <v>6200494</v>
      </c>
      <c r="B496" s="13">
        <f>IF(base!BN496="","",base!BN496)</f>
        <v>46303.625</v>
      </c>
      <c r="C496" s="12" t="str">
        <f>IF(base!C496="","",base!C496)</f>
        <v>ZETABURGOS SRL</v>
      </c>
      <c r="D496" s="12" t="str">
        <f>IF(base!E496="","",base!E496)</f>
        <v>REPROGRAMACIÓN</v>
      </c>
      <c r="E496" s="12" t="str">
        <f>IF(base!BF496="","",base!BF496)</f>
        <v/>
      </c>
      <c r="F496" s="12" t="str">
        <f>IF(D496="","",IF(OR(ISNUMBER(SEARCH("VISITA",D496)),ISNUMBER(SEARCH("RUTA",D496)),ISNUMBER(SEARCH("ARRIB",D496)),ISNUMBER(SEARCH("MATRIZ",D496)),ISNUMBER(SEARCH("PENDIENTE",D496))),"VISITA COORDINADA CON EL CLIENTE","N/A"))</f>
        <v>N/A</v>
      </c>
      <c r="G496" s="12" t="str">
        <f>IF(base!G496="","",base!G496)</f>
        <v>2000018857041302</v>
      </c>
      <c r="H496" s="12" t="str">
        <f>IF(base!I496="","",base!I496)</f>
        <v>FLEX</v>
      </c>
      <c r="I496" s="12" t="str">
        <f>IF(base!S496="","",base!S496)</f>
        <v>Prueba 494</v>
      </c>
      <c r="J496" s="12" t="str">
        <f>IF(base!T496="","",base!T496)</f>
        <v>Calle 123
Piso 2</v>
      </c>
      <c r="K496" s="12" t="str">
        <f>IF(base!U496="","",base!U496)</f>
        <v/>
      </c>
      <c r="L496" s="12" t="str">
        <f>IF(base!Y496="","",base!Y496)</f>
        <v/>
      </c>
      <c r="M496" s="12" t="str">
        <f>IF(base!AH496="","",base!AH496)</f>
        <v/>
      </c>
      <c r="N496" s="12" t="str">
        <f>IF(base!AI496="","",base!AI496)</f>
        <v>34.072273</v>
      </c>
      <c r="O496" s="12">
        <f>IF(base!BA496="","",base!BA496)</f>
        <v>1875</v>
      </c>
      <c r="P496" s="13">
        <f>IF(base!BK496="","",base!BK496)</f>
        <v>46303.805902777778</v>
      </c>
      <c r="Q496" s="15" t="str">
        <f>IF(base!BS496="","",base!BS496)</f>
        <v/>
      </c>
    </row>
    <row r="497" spans="1:17" ht="30" x14ac:dyDescent="0.35">
      <c r="A497" s="14">
        <f>IF(base!A497="","",base!A497)</f>
        <v>6200495</v>
      </c>
      <c r="B497" s="13">
        <f>IF(base!BN497="","",base!BN497)</f>
        <v>46303.625</v>
      </c>
      <c r="C497" s="12" t="str">
        <f>IF(base!C497="","",base!C497)</f>
        <v>ZETABURGOS SRL</v>
      </c>
      <c r="D497" s="12" t="str">
        <f>IF(base!E497="","",base!E497)</f>
        <v>1RVT - 1° VISITA</v>
      </c>
      <c r="E497" s="12" t="str">
        <f>IF(base!BF497="","",base!BF497)</f>
        <v/>
      </c>
      <c r="F497" s="12" t="str">
        <f>IF(D497="","",IF(OR(ISNUMBER(SEARCH("VISITA",D497)),ISNUMBER(SEARCH("RUTA",D497)),ISNUMBER(SEARCH("ARRIB",D497)),ISNUMBER(SEARCH("MATRIZ",D497)),ISNUMBER(SEARCH("PENDIENTE",D497))),"VISITA COORDINADA CON EL CLIENTE","N/A"))</f>
        <v>VISITA COORDINADA CON EL CLIENTE</v>
      </c>
      <c r="G497" s="12" t="str">
        <f>IF(base!G497="","",base!G497)</f>
        <v>001234</v>
      </c>
      <c r="H497" s="12" t="str">
        <f>IF(base!I497="","",base!I497)</f>
        <v>FLEX</v>
      </c>
      <c r="I497" s="12" t="str">
        <f>IF(base!S497="","",base!S497)</f>
        <v>Prueba 495</v>
      </c>
      <c r="J497" s="12" t="str">
        <f>IF(base!T497="","",base!T497)</f>
        <v>Calle 123
Piso 2</v>
      </c>
      <c r="K497" s="12" t="str">
        <f>IF(base!U497="","",base!U497)</f>
        <v/>
      </c>
      <c r="L497" s="12" t="str">
        <f>IF(base!Y497="","",base!Y497)</f>
        <v/>
      </c>
      <c r="M497" s="12" t="str">
        <f>IF(base!AH497="","",base!AH497)</f>
        <v/>
      </c>
      <c r="N497" s="12" t="str">
        <f>IF(base!AI497="","",base!AI497)</f>
        <v>34.072273</v>
      </c>
      <c r="O497" s="12">
        <f>IF(base!BA497="","",base!BA497)</f>
        <v>1875</v>
      </c>
      <c r="P497" s="13">
        <f>IF(base!BK497="","",base!BK497)</f>
        <v>46303.805902777778</v>
      </c>
      <c r="Q497" s="15" t="str">
        <f>IF(base!BS497="","",base!BS497)</f>
        <v/>
      </c>
    </row>
    <row r="498" spans="1:17" ht="30" x14ac:dyDescent="0.35">
      <c r="A498" s="14">
        <f>IF(base!A498="","",base!A498)</f>
        <v>6200496</v>
      </c>
      <c r="B498" s="13">
        <f>IF(base!BN498="","",base!BN498)</f>
        <v>46303.625</v>
      </c>
      <c r="C498" s="12" t="str">
        <f>IF(base!C498="","",base!C498)</f>
        <v>ZETABURGOS SRL</v>
      </c>
      <c r="D498" s="12" t="str">
        <f>IF(base!E498="","",base!E498)</f>
        <v>ENTREGADO</v>
      </c>
      <c r="E498" s="12" t="str">
        <f>IF(base!BF498="","",base!BF498)</f>
        <v/>
      </c>
      <c r="F498" s="12" t="str">
        <f>IF(D498="","",IF(OR(ISNUMBER(SEARCH("VISITA",D498)),ISNUMBER(SEARCH("RUTA",D498)),ISNUMBER(SEARCH("ARRIB",D498)),ISNUMBER(SEARCH("MATRIZ",D498)),ISNUMBER(SEARCH("PENDIENTE",D498))),"VISITA COORDINADA CON EL CLIENTE","N/A"))</f>
        <v>N/A</v>
      </c>
      <c r="G498" s="12" t="str">
        <f>"#ABC"</f>
        <v>#ABC</v>
      </c>
      <c r="H498" s="12" t="str">
        <f>IF(base!I498="","",base!I498)</f>
        <v>SAMEDAY</v>
      </c>
      <c r="I498" s="12" t="str">
        <f>IF(base!S498="","",base!S498)</f>
        <v>Prueba 496</v>
      </c>
      <c r="J498" s="12" t="str">
        <f>IF(base!T498="","",base!T498)</f>
        <v>Calle 123
Piso 2</v>
      </c>
      <c r="K498" s="12" t="str">
        <f>IF(base!U498="","",base!U498)</f>
        <v/>
      </c>
      <c r="L498" s="12" t="str">
        <f>IF(base!Y498="","",base!Y498)</f>
        <v/>
      </c>
      <c r="M498" s="12" t="str">
        <f>IF(base!AH498="","",base!AH498)</f>
        <v/>
      </c>
      <c r="N498" s="12" t="str">
        <f>IF(base!AI498="","",base!AI498)</f>
        <v>34.072273</v>
      </c>
      <c r="O498" s="12">
        <f>IF(base!BA498="","",base!BA498)</f>
        <v>1875</v>
      </c>
      <c r="P498" s="13">
        <f>IF(base!BK498="","",base!BK498)</f>
        <v>46303.805902777778</v>
      </c>
      <c r="Q498" s="15" t="str">
        <f>IF(base!BS498="","",base!BS498)</f>
        <v/>
      </c>
    </row>
    <row r="499" spans="1:17" ht="30" x14ac:dyDescent="0.35">
      <c r="A499" s="14">
        <f>IF(base!A499="","",base!A499)</f>
        <v>6200497</v>
      </c>
      <c r="B499" s="13">
        <f>IF(base!BN499="","",base!BN499)</f>
        <v>46303.625</v>
      </c>
      <c r="C499" s="12" t="str">
        <f>IF(base!C499="","",base!C499)</f>
        <v>ZETABURGOS SRL</v>
      </c>
      <c r="D499" s="12" t="str">
        <f>IF(base!E499="","",base!E499)</f>
        <v>REPROGRAMACIÓN</v>
      </c>
      <c r="E499" s="12" t="str">
        <f>IF(base!BF499="","",base!BF499)</f>
        <v/>
      </c>
      <c r="F499" s="12" t="str">
        <f>IF(D499="","",IF(OR(ISNUMBER(SEARCH("VISITA",D499)),ISNUMBER(SEARCH("RUTA",D499)),ISNUMBER(SEARCH("ARRIB",D499)),ISNUMBER(SEARCH("MATRIZ",D499)),ISNUMBER(SEARCH("PENDIENTE",D499))),"VISITA COORDINADA CON EL CLIENTE","N/A"))</f>
        <v>N/A</v>
      </c>
      <c r="G499" s="12">
        <f>IF(base!G499="","",base!G499)</f>
        <v>470123456</v>
      </c>
      <c r="H499" s="12" t="str">
        <f>IF(base!I499="","",base!I499)</f>
        <v>FLEX</v>
      </c>
      <c r="I499" s="12" t="str">
        <f>IF(base!S499="","",base!S499)</f>
        <v>Prueba 497</v>
      </c>
      <c r="J499" s="12" t="str">
        <f>IF(base!T499="","",base!T499)</f>
        <v>Calle 123
Piso 2</v>
      </c>
      <c r="K499" s="12" t="str">
        <f>IF(base!U499="","",base!U499)</f>
        <v/>
      </c>
      <c r="L499" s="12" t="str">
        <f>IF(base!Y499="","",base!Y499)</f>
        <v/>
      </c>
      <c r="M499" s="12" t="str">
        <f>IF(base!AH499="","",base!AH499)</f>
        <v/>
      </c>
      <c r="N499" s="12" t="str">
        <f>IF(base!AI499="","",base!AI499)</f>
        <v>34.072273</v>
      </c>
      <c r="O499" s="12">
        <f>IF(base!BA499="","",base!BA499)</f>
        <v>1875</v>
      </c>
      <c r="P499" s="13">
        <f>IF(base!BK499="","",base!BK499)</f>
        <v>46303.805902777778</v>
      </c>
      <c r="Q499" s="15" t="str">
        <f>IF(base!BS499="","",base!BS499)</f>
        <v/>
      </c>
    </row>
    <row r="500" spans="1:17" ht="30" x14ac:dyDescent="0.35">
      <c r="A500" s="14">
        <f>IF(base!A500="","",base!A500)</f>
        <v>6200498</v>
      </c>
      <c r="B500" s="13">
        <f>IF(base!BN500="","",base!BN500)</f>
        <v>46303.625</v>
      </c>
      <c r="C500" s="12" t="str">
        <f>IF(base!C500="","",base!C500)</f>
        <v>ZETABURGOS SRL</v>
      </c>
      <c r="D500" s="12" t="str">
        <f>IF(base!E500="","",base!E500)</f>
        <v>1RVT - 1° VISITA</v>
      </c>
      <c r="E500" s="12" t="str">
        <f>IF(base!BF500="","",base!BF500)</f>
        <v/>
      </c>
      <c r="F500" s="12" t="str">
        <f>IF(D500="","",IF(OR(ISNUMBER(SEARCH("VISITA",D500)),ISNUMBER(SEARCH("RUTA",D500)),ISNUMBER(SEARCH("ARRIB",D500)),ISNUMBER(SEARCH("MATRIZ",D500)),ISNUMBER(SEARCH("PENDIENTE",D500))),"VISITA COORDINADA CON EL CLIENTE","N/A"))</f>
        <v>VISITA COORDINADA CON EL CLIENTE</v>
      </c>
      <c r="G500" s="12" t="str">
        <f>IF(base!G500="","",base!G500)</f>
        <v>ABC001</v>
      </c>
      <c r="H500" s="12" t="str">
        <f>IF(base!I500="","",base!I500)</f>
        <v>SAMEDAY</v>
      </c>
      <c r="I500" s="12" t="str">
        <f>IF(base!S500="","",base!S500)</f>
        <v>Prueba 498</v>
      </c>
      <c r="J500" s="12" t="str">
        <f>IF(base!T500="","",base!T500)</f>
        <v>Calle 123
Piso 2</v>
      </c>
      <c r="K500" s="12" t="str">
        <f>IF(base!U500="","",base!U500)</f>
        <v/>
      </c>
      <c r="L500" s="12" t="str">
        <f>IF(base!Y500="","",base!Y500)</f>
        <v/>
      </c>
      <c r="M500" s="12" t="str">
        <f>IF(base!AH500="","",base!AH500)</f>
        <v/>
      </c>
      <c r="N500" s="12" t="str">
        <f>IF(base!AI500="","",base!AI500)</f>
        <v>34.072273</v>
      </c>
      <c r="O500" s="12">
        <f>IF(base!BA500="","",base!BA500)</f>
        <v>1875</v>
      </c>
      <c r="P500" s="13">
        <f>IF(base!BK500="","",base!BK500)</f>
        <v>46303.805902777778</v>
      </c>
      <c r="Q500" s="15" t="str">
        <f>IF(base!BS500="","",base!BS500)</f>
        <v/>
      </c>
    </row>
    <row r="501" spans="1:17" ht="30" x14ac:dyDescent="0.35">
      <c r="A501" s="19">
        <f>IF(base!A501="","",base!A501)</f>
        <v>6200499</v>
      </c>
      <c r="B501" s="20">
        <f>IF(base!BN501="","",base!BN501)</f>
        <v>46303.625</v>
      </c>
      <c r="C501" s="21" t="str">
        <f>IF(base!C501="","",base!C501)</f>
        <v>ZETABURGOS SRL</v>
      </c>
      <c r="D501" s="21" t="str">
        <f>IF(base!E501="","",base!E501)</f>
        <v>ENTREGADO</v>
      </c>
      <c r="E501" s="21" t="str">
        <f>IF(base!BF501="","",base!BF501)</f>
        <v/>
      </c>
      <c r="F501" s="21" t="str">
        <f>IF(D501="","",IF(OR(ISNUMBER(SEARCH("VISITA",D501)),ISNUMBER(SEARCH("RUTA",D501)),ISNUMBER(SEARCH("ARRIB",D501)),ISNUMBER(SEARCH("MATRIZ",D501)),ISNUMBER(SEARCH("PENDIENTE",D501))),"VISITA COORDINADA CON EL CLIENTE","N/A"))</f>
        <v>N/A</v>
      </c>
      <c r="G501" s="21" t="str">
        <f>IF(base!G501="","",base!G501)</f>
        <v>2000018857041302</v>
      </c>
      <c r="H501" s="21" t="str">
        <f>IF(base!I501="","",base!I501)</f>
        <v>FLEX</v>
      </c>
      <c r="I501" s="21" t="str">
        <f>IF(base!S501="","",base!S501)</f>
        <v>Prueba 499</v>
      </c>
      <c r="J501" s="21" t="str">
        <f>IF(base!T501="","",base!T501)</f>
        <v>Calle 123
Piso 2</v>
      </c>
      <c r="K501" s="21" t="str">
        <f>IF(base!U501="","",base!U501)</f>
        <v/>
      </c>
      <c r="L501" s="21" t="str">
        <f>IF(base!Y501="","",base!Y501)</f>
        <v/>
      </c>
      <c r="M501" s="21" t="str">
        <f>IF(base!AH501="","",base!AH501)</f>
        <v/>
      </c>
      <c r="N501" s="21" t="str">
        <f>IF(base!AI501="","",base!AI501)</f>
        <v>34.072273</v>
      </c>
      <c r="O501" s="21">
        <f>IF(base!BA501="","",base!BA501)</f>
        <v>1875</v>
      </c>
      <c r="P501" s="20">
        <f>IF(base!BK501="","",base!BK501)</f>
        <v>46303.805902777778</v>
      </c>
      <c r="Q501" s="22" t="str">
        <f>IF(base!BS501="","",base!BS501)</f>
        <v/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aux!$A$1:$A$4</xm:f>
          </x14:formula1>
          <xm:sqref>F2:F501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501"/>
  <sheetViews>
    <sheetView showGridLines="0" topLeftCell="S1" workbookViewId="0">
      <selection activeCell="A37" sqref="A37:BW501"/>
    </sheetView>
  </sheetViews>
  <sheetFormatPr baseColWidth="10" defaultRowHeight="15" x14ac:dyDescent="0.25"/>
  <cols>
    <col min="1" max="1" width="8.85546875" bestFit="1" customWidth="1"/>
    <col min="2" max="2" width="10.7109375" bestFit="1" customWidth="1"/>
    <col min="3" max="3" width="16.140625" bestFit="1" customWidth="1"/>
    <col min="4" max="4" width="25.7109375" bestFit="1" customWidth="1"/>
    <col min="5" max="5" width="24.42578125" bestFit="1" customWidth="1"/>
    <col min="6" max="6" width="27.140625" bestFit="1" customWidth="1"/>
    <col min="7" max="7" width="18.7109375" bestFit="1" customWidth="1"/>
    <col min="8" max="8" width="17.140625" bestFit="1" customWidth="1"/>
    <col min="9" max="9" width="9.42578125" bestFit="1" customWidth="1"/>
    <col min="10" max="10" width="7.7109375" bestFit="1" customWidth="1"/>
    <col min="11" max="11" width="15.7109375" bestFit="1" customWidth="1"/>
    <col min="12" max="12" width="16.7109375" bestFit="1" customWidth="1"/>
    <col min="13" max="13" width="7.85546875" bestFit="1" customWidth="1"/>
    <col min="14" max="14" width="6" bestFit="1" customWidth="1"/>
    <col min="15" max="15" width="6.5703125" bestFit="1" customWidth="1"/>
    <col min="16" max="16" width="8.140625" bestFit="1" customWidth="1"/>
    <col min="17" max="17" width="15" bestFit="1" customWidth="1"/>
    <col min="18" max="18" width="8.5703125" bestFit="1" customWidth="1"/>
    <col min="19" max="19" width="27" bestFit="1" customWidth="1"/>
    <col min="20" max="20" width="40.7109375" bestFit="1" customWidth="1"/>
    <col min="21" max="21" width="17.28515625" bestFit="1" customWidth="1"/>
    <col min="22" max="22" width="14.28515625" bestFit="1" customWidth="1"/>
    <col min="23" max="23" width="5.85546875" bestFit="1" customWidth="1"/>
    <col min="24" max="24" width="7.5703125" bestFit="1" customWidth="1"/>
    <col min="25" max="25" width="45.7109375" bestFit="1" customWidth="1"/>
    <col min="26" max="26" width="18.140625" bestFit="1" customWidth="1"/>
    <col min="27" max="27" width="19" bestFit="1" customWidth="1"/>
    <col min="28" max="28" width="13.140625" bestFit="1" customWidth="1"/>
    <col min="29" max="29" width="11.85546875" bestFit="1" customWidth="1"/>
    <col min="30" max="30" width="15.42578125" bestFit="1" customWidth="1"/>
    <col min="31" max="31" width="14.140625" bestFit="1" customWidth="1"/>
    <col min="32" max="32" width="13.42578125" bestFit="1" customWidth="1"/>
    <col min="33" max="33" width="15.7109375" bestFit="1" customWidth="1"/>
    <col min="34" max="34" width="22.28515625" bestFit="1" customWidth="1"/>
    <col min="35" max="35" width="11.28515625" bestFit="1" customWidth="1"/>
    <col min="36" max="36" width="4.85546875" bestFit="1" customWidth="1"/>
    <col min="37" max="37" width="16.5703125" bestFit="1" customWidth="1"/>
    <col min="38" max="38" width="10.140625" bestFit="1" customWidth="1"/>
    <col min="39" max="40" width="45.7109375" bestFit="1" customWidth="1"/>
    <col min="41" max="41" width="9.5703125" bestFit="1" customWidth="1"/>
    <col min="42" max="42" width="13.42578125" bestFit="1" customWidth="1"/>
    <col min="43" max="43" width="14.42578125" bestFit="1" customWidth="1"/>
    <col min="44" max="44" width="16.85546875" bestFit="1" customWidth="1"/>
    <col min="45" max="45" width="9.140625" bestFit="1" customWidth="1"/>
    <col min="46" max="46" width="5.28515625" bestFit="1" customWidth="1"/>
    <col min="47" max="47" width="15.85546875" bestFit="1" customWidth="1"/>
    <col min="48" max="48" width="9.5703125" bestFit="1" customWidth="1"/>
    <col min="49" max="49" width="14.5703125" bestFit="1" customWidth="1"/>
    <col min="50" max="50" width="12.140625" bestFit="1" customWidth="1"/>
    <col min="51" max="51" width="7.5703125" bestFit="1" customWidth="1"/>
    <col min="52" max="52" width="17.42578125" bestFit="1" customWidth="1"/>
    <col min="53" max="53" width="5" bestFit="1" customWidth="1"/>
    <col min="54" max="54" width="20.85546875" bestFit="1" customWidth="1"/>
    <col min="55" max="55" width="19.5703125" bestFit="1" customWidth="1"/>
    <col min="56" max="56" width="17.85546875" bestFit="1" customWidth="1"/>
    <col min="57" max="57" width="18.5703125" bestFit="1" customWidth="1"/>
    <col min="58" max="58" width="18.42578125" bestFit="1" customWidth="1"/>
    <col min="59" max="59" width="45.7109375" bestFit="1" customWidth="1"/>
    <col min="60" max="60" width="11" bestFit="1" customWidth="1"/>
    <col min="61" max="61" width="45.7109375" bestFit="1" customWidth="1"/>
    <col min="62" max="62" width="17.140625" bestFit="1" customWidth="1"/>
    <col min="63" max="63" width="22" bestFit="1" customWidth="1"/>
    <col min="64" max="64" width="8.42578125" bestFit="1" customWidth="1"/>
    <col min="65" max="65" width="14.85546875" bestFit="1" customWidth="1"/>
    <col min="66" max="66" width="20.7109375" bestFit="1" customWidth="1"/>
    <col min="67" max="67" width="38.28515625" bestFit="1" customWidth="1"/>
    <col min="68" max="68" width="7.85546875" bestFit="1" customWidth="1"/>
    <col min="69" max="69" width="33.140625" bestFit="1" customWidth="1"/>
    <col min="70" max="70" width="37.42578125" bestFit="1" customWidth="1"/>
    <col min="71" max="71" width="12.5703125" bestFit="1" customWidth="1"/>
    <col min="72" max="72" width="16.42578125" bestFit="1" customWidth="1"/>
    <col min="73" max="73" width="16.140625" bestFit="1" customWidth="1"/>
    <col min="74" max="74" width="15" bestFit="1" customWidth="1"/>
    <col min="75" max="75" width="15.42578125" bestFit="1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30" x14ac:dyDescent="0.25">
      <c r="A2" s="2">
        <v>6200000</v>
      </c>
      <c r="B2" s="10">
        <v>46303.805902777778</v>
      </c>
      <c r="C2" s="11" t="s">
        <v>82</v>
      </c>
      <c r="D2" s="11"/>
      <c r="E2" s="11" t="s">
        <v>83</v>
      </c>
      <c r="F2" s="11"/>
      <c r="G2" s="11" t="s">
        <v>592</v>
      </c>
      <c r="H2" s="3"/>
      <c r="I2" s="11" t="s">
        <v>75</v>
      </c>
      <c r="J2" s="11"/>
      <c r="K2" s="11"/>
      <c r="L2" s="11"/>
      <c r="M2" s="11"/>
      <c r="N2" s="2">
        <v>1.25</v>
      </c>
      <c r="O2" s="2"/>
      <c r="P2" s="2"/>
      <c r="Q2" s="2"/>
      <c r="R2" s="11"/>
      <c r="S2" s="11" t="s">
        <v>84</v>
      </c>
      <c r="T2" s="11" t="s">
        <v>85</v>
      </c>
      <c r="U2" s="11"/>
      <c r="V2" s="11"/>
      <c r="W2" s="11"/>
      <c r="X2" s="11"/>
      <c r="Y2" s="11"/>
      <c r="Z2" s="11"/>
      <c r="AA2" s="11"/>
      <c r="AB2" s="9"/>
      <c r="AC2" s="2"/>
      <c r="AD2" s="9"/>
      <c r="AE2" s="2"/>
      <c r="AF2" s="9"/>
      <c r="AG2" s="10"/>
      <c r="AH2" s="11"/>
      <c r="AI2" s="11" t="s">
        <v>86</v>
      </c>
      <c r="AJ2" s="11"/>
      <c r="AK2" s="2"/>
      <c r="AL2" s="11"/>
      <c r="AM2" s="11"/>
      <c r="AN2" s="11"/>
      <c r="AO2" s="2"/>
      <c r="AP2" s="3"/>
      <c r="AQ2" s="11"/>
      <c r="AR2" s="3"/>
      <c r="AS2" s="2"/>
      <c r="AT2" s="11"/>
      <c r="AU2" s="2"/>
      <c r="AV2" s="2"/>
      <c r="AW2" s="2"/>
      <c r="AX2" s="11"/>
      <c r="AY2" s="11"/>
      <c r="AZ2" s="9"/>
      <c r="BA2" s="2">
        <v>1875</v>
      </c>
      <c r="BB2" s="11"/>
      <c r="BC2" s="11"/>
      <c r="BD2" s="11"/>
      <c r="BE2" s="11"/>
      <c r="BF2" s="11"/>
      <c r="BG2" s="11"/>
      <c r="BH2" s="11"/>
      <c r="BI2" s="11"/>
      <c r="BJ2" s="11" t="s">
        <v>87</v>
      </c>
      <c r="BK2" s="10">
        <v>46303.805902777778</v>
      </c>
      <c r="BL2" s="11"/>
      <c r="BM2" s="11"/>
      <c r="BN2" s="10">
        <v>46303.625</v>
      </c>
      <c r="BO2" s="11"/>
      <c r="BP2" s="11"/>
      <c r="BQ2" s="11"/>
      <c r="BR2" s="11"/>
      <c r="BS2" s="11"/>
      <c r="BT2" s="11"/>
      <c r="BU2" s="11"/>
      <c r="BV2" s="2"/>
      <c r="BW2" s="11"/>
    </row>
    <row r="3" spans="1:75" ht="30" x14ac:dyDescent="0.25">
      <c r="A3" s="2">
        <v>6200001</v>
      </c>
      <c r="B3" s="10">
        <v>46303.805902777778</v>
      </c>
      <c r="C3" s="11" t="s">
        <v>82</v>
      </c>
      <c r="D3" s="11"/>
      <c r="E3" s="11" t="s">
        <v>88</v>
      </c>
      <c r="F3" s="11"/>
      <c r="G3" s="11" t="s">
        <v>89</v>
      </c>
      <c r="H3" s="3"/>
      <c r="I3" s="11" t="s">
        <v>90</v>
      </c>
      <c r="J3" s="11"/>
      <c r="K3" s="11"/>
      <c r="L3" s="11"/>
      <c r="M3" s="11"/>
      <c r="N3" s="2">
        <v>1.25</v>
      </c>
      <c r="O3" s="2"/>
      <c r="P3" s="2"/>
      <c r="Q3" s="2"/>
      <c r="R3" s="11"/>
      <c r="S3" s="11" t="s">
        <v>91</v>
      </c>
      <c r="T3" s="11" t="s">
        <v>85</v>
      </c>
      <c r="U3" s="11"/>
      <c r="V3" s="11"/>
      <c r="W3" s="11"/>
      <c r="X3" s="11"/>
      <c r="Y3" s="11"/>
      <c r="Z3" s="11"/>
      <c r="AA3" s="11"/>
      <c r="AB3" s="9"/>
      <c r="AC3" s="2"/>
      <c r="AD3" s="9"/>
      <c r="AE3" s="2"/>
      <c r="AF3" s="9"/>
      <c r="AG3" s="10"/>
      <c r="AH3" s="11"/>
      <c r="AI3" s="11" t="s">
        <v>86</v>
      </c>
      <c r="AJ3" s="11"/>
      <c r="AK3" s="2"/>
      <c r="AL3" s="11"/>
      <c r="AM3" s="11"/>
      <c r="AN3" s="11"/>
      <c r="AO3" s="2"/>
      <c r="AP3" s="3"/>
      <c r="AQ3" s="11"/>
      <c r="AR3" s="3"/>
      <c r="AS3" s="2"/>
      <c r="AT3" s="11"/>
      <c r="AU3" s="2"/>
      <c r="AV3" s="2"/>
      <c r="AW3" s="2"/>
      <c r="AX3" s="11"/>
      <c r="AY3" s="11"/>
      <c r="AZ3" s="9"/>
      <c r="BA3" s="2">
        <v>1875</v>
      </c>
      <c r="BB3" s="11"/>
      <c r="BC3" s="11"/>
      <c r="BD3" s="11"/>
      <c r="BE3" s="11"/>
      <c r="BF3" s="11"/>
      <c r="BG3" s="11"/>
      <c r="BH3" s="11"/>
      <c r="BI3" s="11"/>
      <c r="BJ3" s="11" t="s">
        <v>87</v>
      </c>
      <c r="BK3" s="10">
        <v>46303.805902777778</v>
      </c>
      <c r="BL3" s="11"/>
      <c r="BM3" s="11"/>
      <c r="BN3" s="10">
        <v>46303.625</v>
      </c>
      <c r="BO3" s="11"/>
      <c r="BP3" s="11"/>
      <c r="BQ3" s="11"/>
      <c r="BR3" s="11"/>
      <c r="BS3" s="11"/>
      <c r="BT3" s="11"/>
      <c r="BU3" s="11"/>
      <c r="BV3" s="2"/>
      <c r="BW3" s="11"/>
    </row>
    <row r="4" spans="1:75" ht="30" x14ac:dyDescent="0.25">
      <c r="A4" s="2">
        <v>6200002</v>
      </c>
      <c r="B4" s="10">
        <v>46303.805902777778</v>
      </c>
      <c r="C4" s="11" t="s">
        <v>82</v>
      </c>
      <c r="D4" s="11"/>
      <c r="E4" s="11" t="s">
        <v>92</v>
      </c>
      <c r="F4" s="11"/>
      <c r="G4" s="2">
        <v>470123456</v>
      </c>
      <c r="H4" s="3"/>
      <c r="I4" s="11" t="s">
        <v>75</v>
      </c>
      <c r="J4" s="11"/>
      <c r="K4" s="11"/>
      <c r="L4" s="11"/>
      <c r="M4" s="11"/>
      <c r="N4" s="2">
        <v>1.25</v>
      </c>
      <c r="O4" s="2"/>
      <c r="P4" s="2"/>
      <c r="Q4" s="2"/>
      <c r="R4" s="11"/>
      <c r="S4" s="11" t="s">
        <v>93</v>
      </c>
      <c r="T4" s="11" t="s">
        <v>85</v>
      </c>
      <c r="U4" s="11"/>
      <c r="V4" s="11"/>
      <c r="W4" s="11"/>
      <c r="X4" s="11"/>
      <c r="Y4" s="11"/>
      <c r="Z4" s="11"/>
      <c r="AA4" s="11"/>
      <c r="AB4" s="9"/>
      <c r="AC4" s="2"/>
      <c r="AD4" s="9"/>
      <c r="AE4" s="2"/>
      <c r="AF4" s="9"/>
      <c r="AG4" s="10"/>
      <c r="AH4" s="11"/>
      <c r="AI4" s="11" t="s">
        <v>86</v>
      </c>
      <c r="AJ4" s="11"/>
      <c r="AK4" s="2"/>
      <c r="AL4" s="11"/>
      <c r="AM4" s="11"/>
      <c r="AN4" s="11"/>
      <c r="AO4" s="2"/>
      <c r="AP4" s="3"/>
      <c r="AQ4" s="11"/>
      <c r="AR4" s="3"/>
      <c r="AS4" s="2"/>
      <c r="AT4" s="11"/>
      <c r="AU4" s="2"/>
      <c r="AV4" s="2"/>
      <c r="AW4" s="2"/>
      <c r="AX4" s="11"/>
      <c r="AY4" s="11"/>
      <c r="AZ4" s="9"/>
      <c r="BA4" s="2">
        <v>1875</v>
      </c>
      <c r="BB4" s="11"/>
      <c r="BC4" s="11"/>
      <c r="BD4" s="11"/>
      <c r="BE4" s="11"/>
      <c r="BF4" s="11"/>
      <c r="BG4" s="11"/>
      <c r="BH4" s="11"/>
      <c r="BI4" s="11"/>
      <c r="BJ4" s="11" t="s">
        <v>87</v>
      </c>
      <c r="BK4" s="10">
        <v>46303.805902777778</v>
      </c>
      <c r="BL4" s="11"/>
      <c r="BM4" s="11"/>
      <c r="BN4" s="10">
        <v>46303.625</v>
      </c>
      <c r="BO4" s="11"/>
      <c r="BP4" s="11"/>
      <c r="BQ4" s="11"/>
      <c r="BR4" s="11"/>
      <c r="BS4" s="11"/>
      <c r="BT4" s="11"/>
      <c r="BU4" s="11"/>
      <c r="BV4" s="2"/>
      <c r="BW4" s="11"/>
    </row>
    <row r="5" spans="1:75" ht="30" x14ac:dyDescent="0.25">
      <c r="A5" s="2">
        <v>6200003</v>
      </c>
      <c r="B5" s="10">
        <v>46303.805902777778</v>
      </c>
      <c r="C5" s="11" t="s">
        <v>82</v>
      </c>
      <c r="D5" s="11"/>
      <c r="E5" s="11" t="s">
        <v>83</v>
      </c>
      <c r="F5" s="11"/>
      <c r="G5" s="11" t="s">
        <v>94</v>
      </c>
      <c r="H5" s="3"/>
      <c r="I5" s="11" t="s">
        <v>90</v>
      </c>
      <c r="J5" s="11"/>
      <c r="K5" s="11"/>
      <c r="L5" s="11"/>
      <c r="M5" s="11"/>
      <c r="N5" s="2">
        <v>1.25</v>
      </c>
      <c r="O5" s="2"/>
      <c r="P5" s="2"/>
      <c r="Q5" s="2"/>
      <c r="R5" s="11"/>
      <c r="S5" s="11" t="s">
        <v>95</v>
      </c>
      <c r="T5" s="11" t="s">
        <v>85</v>
      </c>
      <c r="U5" s="11"/>
      <c r="V5" s="11"/>
      <c r="W5" s="11"/>
      <c r="X5" s="11"/>
      <c r="Y5" s="11"/>
      <c r="Z5" s="11"/>
      <c r="AA5" s="11"/>
      <c r="AB5" s="9"/>
      <c r="AC5" s="2"/>
      <c r="AD5" s="9"/>
      <c r="AE5" s="2"/>
      <c r="AF5" s="9"/>
      <c r="AG5" s="10"/>
      <c r="AH5" s="11"/>
      <c r="AI5" s="11" t="s">
        <v>86</v>
      </c>
      <c r="AJ5" s="11"/>
      <c r="AK5" s="2"/>
      <c r="AL5" s="11"/>
      <c r="AM5" s="11"/>
      <c r="AN5" s="11"/>
      <c r="AO5" s="2"/>
      <c r="AP5" s="3"/>
      <c r="AQ5" s="11"/>
      <c r="AR5" s="3"/>
      <c r="AS5" s="2"/>
      <c r="AT5" s="11"/>
      <c r="AU5" s="2"/>
      <c r="AV5" s="2"/>
      <c r="AW5" s="2"/>
      <c r="AX5" s="11"/>
      <c r="AY5" s="11"/>
      <c r="AZ5" s="9"/>
      <c r="BA5" s="2">
        <v>1875</v>
      </c>
      <c r="BB5" s="11"/>
      <c r="BC5" s="11"/>
      <c r="BD5" s="11"/>
      <c r="BE5" s="11"/>
      <c r="BF5" s="11"/>
      <c r="BG5" s="11"/>
      <c r="BH5" s="11"/>
      <c r="BI5" s="11"/>
      <c r="BJ5" s="11" t="s">
        <v>87</v>
      </c>
      <c r="BK5" s="10">
        <v>46303.805902777778</v>
      </c>
      <c r="BL5" s="11"/>
      <c r="BM5" s="11"/>
      <c r="BN5" s="10">
        <v>46303.625</v>
      </c>
      <c r="BO5" s="11"/>
      <c r="BP5" s="11"/>
      <c r="BQ5" s="11"/>
      <c r="BR5" s="11"/>
      <c r="BS5" s="11"/>
      <c r="BT5" s="11"/>
      <c r="BU5" s="11"/>
      <c r="BV5" s="2"/>
      <c r="BW5" s="11"/>
    </row>
    <row r="6" spans="1:75" ht="30" x14ac:dyDescent="0.25">
      <c r="A6" s="2">
        <v>6200004</v>
      </c>
      <c r="B6" s="10">
        <v>46303.805902777778</v>
      </c>
      <c r="C6" s="11" t="s">
        <v>82</v>
      </c>
      <c r="D6" s="11"/>
      <c r="E6" s="11" t="s">
        <v>88</v>
      </c>
      <c r="F6" s="11"/>
      <c r="G6" s="11" t="s">
        <v>593</v>
      </c>
      <c r="H6" s="3"/>
      <c r="I6" s="11" t="s">
        <v>75</v>
      </c>
      <c r="J6" s="11"/>
      <c r="K6" s="11"/>
      <c r="L6" s="11"/>
      <c r="M6" s="11"/>
      <c r="N6" s="2">
        <v>1.25</v>
      </c>
      <c r="O6" s="2"/>
      <c r="P6" s="2"/>
      <c r="Q6" s="2"/>
      <c r="R6" s="11"/>
      <c r="S6" s="11" t="s">
        <v>96</v>
      </c>
      <c r="T6" s="11" t="s">
        <v>85</v>
      </c>
      <c r="U6" s="11"/>
      <c r="V6" s="11"/>
      <c r="W6" s="11"/>
      <c r="X6" s="11"/>
      <c r="Y6" s="11"/>
      <c r="Z6" s="11"/>
      <c r="AA6" s="11"/>
      <c r="AB6" s="9"/>
      <c r="AC6" s="2"/>
      <c r="AD6" s="9"/>
      <c r="AE6" s="2"/>
      <c r="AF6" s="9"/>
      <c r="AG6" s="10"/>
      <c r="AH6" s="11"/>
      <c r="AI6" s="11" t="s">
        <v>86</v>
      </c>
      <c r="AJ6" s="11"/>
      <c r="AK6" s="2"/>
      <c r="AL6" s="11"/>
      <c r="AM6" s="11"/>
      <c r="AN6" s="11"/>
      <c r="AO6" s="2"/>
      <c r="AP6" s="3"/>
      <c r="AQ6" s="11"/>
      <c r="AR6" s="3"/>
      <c r="AS6" s="2"/>
      <c r="AT6" s="11"/>
      <c r="AU6" s="2"/>
      <c r="AV6" s="2"/>
      <c r="AW6" s="2"/>
      <c r="AX6" s="11"/>
      <c r="AY6" s="11"/>
      <c r="AZ6" s="9"/>
      <c r="BA6" s="2">
        <v>1875</v>
      </c>
      <c r="BB6" s="11"/>
      <c r="BC6" s="11"/>
      <c r="BD6" s="11"/>
      <c r="BE6" s="11"/>
      <c r="BF6" s="11"/>
      <c r="BG6" s="11"/>
      <c r="BH6" s="11"/>
      <c r="BI6" s="11"/>
      <c r="BJ6" s="11" t="s">
        <v>87</v>
      </c>
      <c r="BK6" s="10">
        <v>46303.805902777778</v>
      </c>
      <c r="BL6" s="11"/>
      <c r="BM6" s="11"/>
      <c r="BN6" s="10">
        <v>46303.625</v>
      </c>
      <c r="BO6" s="11"/>
      <c r="BP6" s="11"/>
      <c r="BQ6" s="11"/>
      <c r="BR6" s="11"/>
      <c r="BS6" s="11"/>
      <c r="BT6" s="11"/>
      <c r="BU6" s="11"/>
      <c r="BV6" s="2"/>
      <c r="BW6" s="11"/>
    </row>
    <row r="7" spans="1:75" ht="30" x14ac:dyDescent="0.25">
      <c r="A7" s="2">
        <v>6200005</v>
      </c>
      <c r="B7" s="10">
        <v>46303.805902777778</v>
      </c>
      <c r="C7" s="11" t="s">
        <v>82</v>
      </c>
      <c r="D7" s="11"/>
      <c r="E7" s="11" t="s">
        <v>92</v>
      </c>
      <c r="F7" s="11"/>
      <c r="G7" s="11" t="s">
        <v>592</v>
      </c>
      <c r="H7" s="3"/>
      <c r="I7" s="11" t="s">
        <v>75</v>
      </c>
      <c r="J7" s="11"/>
      <c r="K7" s="11"/>
      <c r="L7" s="11"/>
      <c r="M7" s="11"/>
      <c r="N7" s="2">
        <v>1.25</v>
      </c>
      <c r="O7" s="2"/>
      <c r="P7" s="2"/>
      <c r="Q7" s="2"/>
      <c r="R7" s="11"/>
      <c r="S7" s="11" t="s">
        <v>97</v>
      </c>
      <c r="T7" s="11" t="s">
        <v>85</v>
      </c>
      <c r="U7" s="11"/>
      <c r="V7" s="11"/>
      <c r="W7" s="11"/>
      <c r="X7" s="11"/>
      <c r="Y7" s="11"/>
      <c r="Z7" s="11"/>
      <c r="AA7" s="11"/>
      <c r="AB7" s="9"/>
      <c r="AC7" s="2"/>
      <c r="AD7" s="9"/>
      <c r="AE7" s="2"/>
      <c r="AF7" s="9"/>
      <c r="AG7" s="10"/>
      <c r="AH7" s="11"/>
      <c r="AI7" s="11" t="s">
        <v>86</v>
      </c>
      <c r="AJ7" s="11"/>
      <c r="AK7" s="2"/>
      <c r="AL7" s="11"/>
      <c r="AM7" s="11"/>
      <c r="AN7" s="11"/>
      <c r="AO7" s="2"/>
      <c r="AP7" s="3"/>
      <c r="AQ7" s="11"/>
      <c r="AR7" s="3"/>
      <c r="AS7" s="2"/>
      <c r="AT7" s="11"/>
      <c r="AU7" s="2"/>
      <c r="AV7" s="2"/>
      <c r="AW7" s="2"/>
      <c r="AX7" s="11"/>
      <c r="AY7" s="11"/>
      <c r="AZ7" s="9"/>
      <c r="BA7" s="2">
        <v>1875</v>
      </c>
      <c r="BB7" s="11"/>
      <c r="BC7" s="11"/>
      <c r="BD7" s="11"/>
      <c r="BE7" s="11"/>
      <c r="BF7" s="11"/>
      <c r="BG7" s="11"/>
      <c r="BH7" s="11"/>
      <c r="BI7" s="11"/>
      <c r="BJ7" s="11" t="s">
        <v>87</v>
      </c>
      <c r="BK7" s="10">
        <v>46303.805902777778</v>
      </c>
      <c r="BL7" s="11"/>
      <c r="BM7" s="11"/>
      <c r="BN7" s="10">
        <v>46303.625</v>
      </c>
      <c r="BO7" s="11"/>
      <c r="BP7" s="11"/>
      <c r="BQ7" s="11"/>
      <c r="BR7" s="11"/>
      <c r="BS7" s="11"/>
      <c r="BT7" s="11"/>
      <c r="BU7" s="11"/>
      <c r="BV7" s="2"/>
      <c r="BW7" s="11"/>
    </row>
    <row r="8" spans="1:75" ht="30" x14ac:dyDescent="0.25">
      <c r="A8" s="2">
        <v>6200006</v>
      </c>
      <c r="B8" s="10">
        <v>46303.805902777778</v>
      </c>
      <c r="C8" s="11" t="s">
        <v>82</v>
      </c>
      <c r="D8" s="11"/>
      <c r="E8" s="11" t="s">
        <v>83</v>
      </c>
      <c r="F8" s="11"/>
      <c r="G8" s="11" t="s">
        <v>89</v>
      </c>
      <c r="H8" s="3"/>
      <c r="I8" s="11" t="s">
        <v>90</v>
      </c>
      <c r="J8" s="11"/>
      <c r="K8" s="11"/>
      <c r="L8" s="11"/>
      <c r="M8" s="11"/>
      <c r="N8" s="2">
        <v>1.25</v>
      </c>
      <c r="O8" s="2"/>
      <c r="P8" s="2"/>
      <c r="Q8" s="2"/>
      <c r="R8" s="11"/>
      <c r="S8" s="11" t="s">
        <v>98</v>
      </c>
      <c r="T8" s="11" t="s">
        <v>85</v>
      </c>
      <c r="U8" s="11"/>
      <c r="V8" s="11"/>
      <c r="W8" s="11"/>
      <c r="X8" s="11"/>
      <c r="Y8" s="11"/>
      <c r="Z8" s="11"/>
      <c r="AA8" s="11"/>
      <c r="AB8" s="9"/>
      <c r="AC8" s="2"/>
      <c r="AD8" s="9"/>
      <c r="AE8" s="2"/>
      <c r="AF8" s="9"/>
      <c r="AG8" s="10"/>
      <c r="AH8" s="11"/>
      <c r="AI8" s="11" t="s">
        <v>86</v>
      </c>
      <c r="AJ8" s="11"/>
      <c r="AK8" s="2"/>
      <c r="AL8" s="11"/>
      <c r="AM8" s="11"/>
      <c r="AN8" s="11"/>
      <c r="AO8" s="2"/>
      <c r="AP8" s="3"/>
      <c r="AQ8" s="11"/>
      <c r="AR8" s="3"/>
      <c r="AS8" s="2"/>
      <c r="AT8" s="11"/>
      <c r="AU8" s="2"/>
      <c r="AV8" s="2"/>
      <c r="AW8" s="2"/>
      <c r="AX8" s="11"/>
      <c r="AY8" s="11"/>
      <c r="AZ8" s="9"/>
      <c r="BA8" s="2">
        <v>1875</v>
      </c>
      <c r="BB8" s="11"/>
      <c r="BC8" s="11"/>
      <c r="BD8" s="11"/>
      <c r="BE8" s="11"/>
      <c r="BF8" s="11"/>
      <c r="BG8" s="11"/>
      <c r="BH8" s="11"/>
      <c r="BI8" s="11"/>
      <c r="BJ8" s="11" t="s">
        <v>87</v>
      </c>
      <c r="BK8" s="10">
        <v>46303.805902777778</v>
      </c>
      <c r="BL8" s="11"/>
      <c r="BM8" s="11"/>
      <c r="BN8" s="10">
        <v>46303.625</v>
      </c>
      <c r="BO8" s="11"/>
      <c r="BP8" s="11"/>
      <c r="BQ8" s="11"/>
      <c r="BR8" s="11"/>
      <c r="BS8" s="11"/>
      <c r="BT8" s="11"/>
      <c r="BU8" s="11"/>
      <c r="BV8" s="2"/>
      <c r="BW8" s="11"/>
    </row>
    <row r="9" spans="1:75" ht="30" x14ac:dyDescent="0.25">
      <c r="A9" s="2">
        <v>6200007</v>
      </c>
      <c r="B9" s="10">
        <v>46303.805902777778</v>
      </c>
      <c r="C9" s="11" t="s">
        <v>82</v>
      </c>
      <c r="D9" s="11"/>
      <c r="E9" s="11" t="s">
        <v>88</v>
      </c>
      <c r="F9" s="11"/>
      <c r="G9" s="2">
        <v>470123456</v>
      </c>
      <c r="H9" s="3"/>
      <c r="I9" s="11" t="s">
        <v>75</v>
      </c>
      <c r="J9" s="11"/>
      <c r="K9" s="11"/>
      <c r="L9" s="11"/>
      <c r="M9" s="11"/>
      <c r="N9" s="2">
        <v>1.25</v>
      </c>
      <c r="O9" s="2"/>
      <c r="P9" s="2"/>
      <c r="Q9" s="2"/>
      <c r="R9" s="11"/>
      <c r="S9" s="11" t="s">
        <v>99</v>
      </c>
      <c r="T9" s="11" t="s">
        <v>85</v>
      </c>
      <c r="U9" s="11"/>
      <c r="V9" s="11"/>
      <c r="W9" s="11"/>
      <c r="X9" s="11"/>
      <c r="Y9" s="11"/>
      <c r="Z9" s="11"/>
      <c r="AA9" s="11"/>
      <c r="AB9" s="9"/>
      <c r="AC9" s="2"/>
      <c r="AD9" s="9"/>
      <c r="AE9" s="2"/>
      <c r="AF9" s="9"/>
      <c r="AG9" s="10"/>
      <c r="AH9" s="11"/>
      <c r="AI9" s="11" t="s">
        <v>86</v>
      </c>
      <c r="AJ9" s="11"/>
      <c r="AK9" s="2"/>
      <c r="AL9" s="11"/>
      <c r="AM9" s="11"/>
      <c r="AN9" s="11"/>
      <c r="AO9" s="2"/>
      <c r="AP9" s="3"/>
      <c r="AQ9" s="11"/>
      <c r="AR9" s="3"/>
      <c r="AS9" s="2"/>
      <c r="AT9" s="11"/>
      <c r="AU9" s="2"/>
      <c r="AV9" s="2"/>
      <c r="AW9" s="2"/>
      <c r="AX9" s="11"/>
      <c r="AY9" s="11"/>
      <c r="AZ9" s="9"/>
      <c r="BA9" s="2">
        <v>1875</v>
      </c>
      <c r="BB9" s="11"/>
      <c r="BC9" s="11"/>
      <c r="BD9" s="11"/>
      <c r="BE9" s="11"/>
      <c r="BF9" s="11"/>
      <c r="BG9" s="11"/>
      <c r="BH9" s="11"/>
      <c r="BI9" s="11"/>
      <c r="BJ9" s="11" t="s">
        <v>87</v>
      </c>
      <c r="BK9" s="10">
        <v>46303.805902777778</v>
      </c>
      <c r="BL9" s="11"/>
      <c r="BM9" s="11"/>
      <c r="BN9" s="10">
        <v>46303.625</v>
      </c>
      <c r="BO9" s="11"/>
      <c r="BP9" s="11"/>
      <c r="BQ9" s="11"/>
      <c r="BR9" s="11"/>
      <c r="BS9" s="11"/>
      <c r="BT9" s="11"/>
      <c r="BU9" s="11"/>
      <c r="BV9" s="2"/>
      <c r="BW9" s="11"/>
    </row>
    <row r="10" spans="1:75" ht="30" x14ac:dyDescent="0.25">
      <c r="A10" s="2">
        <v>6200008</v>
      </c>
      <c r="B10" s="10">
        <v>46303.805902777778</v>
      </c>
      <c r="C10" s="11" t="s">
        <v>82</v>
      </c>
      <c r="D10" s="11"/>
      <c r="E10" s="11" t="s">
        <v>92</v>
      </c>
      <c r="F10" s="11"/>
      <c r="G10" s="11" t="s">
        <v>94</v>
      </c>
      <c r="H10" s="3"/>
      <c r="I10" s="11" t="s">
        <v>90</v>
      </c>
      <c r="J10" s="11"/>
      <c r="K10" s="11"/>
      <c r="L10" s="11"/>
      <c r="M10" s="11"/>
      <c r="N10" s="2">
        <v>1.25</v>
      </c>
      <c r="O10" s="2"/>
      <c r="P10" s="2"/>
      <c r="Q10" s="2"/>
      <c r="R10" s="11"/>
      <c r="S10" s="11" t="s">
        <v>100</v>
      </c>
      <c r="T10" s="11" t="s">
        <v>85</v>
      </c>
      <c r="U10" s="11"/>
      <c r="V10" s="11"/>
      <c r="W10" s="11"/>
      <c r="X10" s="11"/>
      <c r="Y10" s="11"/>
      <c r="Z10" s="11"/>
      <c r="AA10" s="11"/>
      <c r="AB10" s="9"/>
      <c r="AC10" s="2"/>
      <c r="AD10" s="9"/>
      <c r="AE10" s="2"/>
      <c r="AF10" s="9"/>
      <c r="AG10" s="10"/>
      <c r="AH10" s="11"/>
      <c r="AI10" s="11" t="s">
        <v>86</v>
      </c>
      <c r="AJ10" s="11"/>
      <c r="AK10" s="2"/>
      <c r="AL10" s="11"/>
      <c r="AM10" s="11"/>
      <c r="AN10" s="11"/>
      <c r="AO10" s="2"/>
      <c r="AP10" s="3"/>
      <c r="AQ10" s="11"/>
      <c r="AR10" s="3"/>
      <c r="AS10" s="2"/>
      <c r="AT10" s="11"/>
      <c r="AU10" s="2"/>
      <c r="AV10" s="2"/>
      <c r="AW10" s="2"/>
      <c r="AX10" s="11"/>
      <c r="AY10" s="11"/>
      <c r="AZ10" s="9"/>
      <c r="BA10" s="2">
        <v>1875</v>
      </c>
      <c r="BB10" s="11"/>
      <c r="BC10" s="11"/>
      <c r="BD10" s="11"/>
      <c r="BE10" s="11"/>
      <c r="BF10" s="11"/>
      <c r="BG10" s="11"/>
      <c r="BH10" s="11"/>
      <c r="BI10" s="11"/>
      <c r="BJ10" s="11" t="s">
        <v>87</v>
      </c>
      <c r="BK10" s="10">
        <v>46303.805902777778</v>
      </c>
      <c r="BL10" s="11"/>
      <c r="BM10" s="11"/>
      <c r="BN10" s="10">
        <v>46303.625</v>
      </c>
      <c r="BO10" s="11"/>
      <c r="BP10" s="11"/>
      <c r="BQ10" s="11"/>
      <c r="BR10" s="11"/>
      <c r="BS10" s="11"/>
      <c r="BT10" s="11"/>
      <c r="BU10" s="11"/>
      <c r="BV10" s="2"/>
      <c r="BW10" s="11"/>
    </row>
    <row r="11" spans="1:75" ht="30" x14ac:dyDescent="0.25">
      <c r="A11" s="2">
        <v>6200009</v>
      </c>
      <c r="B11" s="10">
        <v>46303.805902777778</v>
      </c>
      <c r="C11" s="11" t="s">
        <v>82</v>
      </c>
      <c r="D11" s="11"/>
      <c r="E11" s="11" t="s">
        <v>83</v>
      </c>
      <c r="F11" s="11"/>
      <c r="G11" s="11" t="s">
        <v>593</v>
      </c>
      <c r="H11" s="3"/>
      <c r="I11" s="11" t="s">
        <v>75</v>
      </c>
      <c r="J11" s="11"/>
      <c r="K11" s="11"/>
      <c r="L11" s="11"/>
      <c r="M11" s="11"/>
      <c r="N11" s="2">
        <v>1.25</v>
      </c>
      <c r="O11" s="2"/>
      <c r="P11" s="2"/>
      <c r="Q11" s="2"/>
      <c r="R11" s="11"/>
      <c r="S11" s="11" t="s">
        <v>101</v>
      </c>
      <c r="T11" s="11" t="s">
        <v>85</v>
      </c>
      <c r="U11" s="11"/>
      <c r="V11" s="11"/>
      <c r="W11" s="11"/>
      <c r="X11" s="11"/>
      <c r="Y11" s="11"/>
      <c r="Z11" s="11"/>
      <c r="AA11" s="11"/>
      <c r="AB11" s="9"/>
      <c r="AC11" s="2"/>
      <c r="AD11" s="9"/>
      <c r="AE11" s="2"/>
      <c r="AF11" s="9"/>
      <c r="AG11" s="10"/>
      <c r="AH11" s="11"/>
      <c r="AI11" s="11" t="s">
        <v>86</v>
      </c>
      <c r="AJ11" s="11"/>
      <c r="AK11" s="2"/>
      <c r="AL11" s="11"/>
      <c r="AM11" s="11"/>
      <c r="AN11" s="11"/>
      <c r="AO11" s="2"/>
      <c r="AP11" s="3"/>
      <c r="AQ11" s="11"/>
      <c r="AR11" s="3"/>
      <c r="AS11" s="2"/>
      <c r="AT11" s="11"/>
      <c r="AU11" s="2"/>
      <c r="AV11" s="2"/>
      <c r="AW11" s="2"/>
      <c r="AX11" s="11"/>
      <c r="AY11" s="11"/>
      <c r="AZ11" s="9"/>
      <c r="BA11" s="2">
        <v>1875</v>
      </c>
      <c r="BB11" s="11"/>
      <c r="BC11" s="11"/>
      <c r="BD11" s="11"/>
      <c r="BE11" s="11"/>
      <c r="BF11" s="11"/>
      <c r="BG11" s="11"/>
      <c r="BH11" s="11"/>
      <c r="BI11" s="11"/>
      <c r="BJ11" s="11" t="s">
        <v>87</v>
      </c>
      <c r="BK11" s="10">
        <v>46303.805902777778</v>
      </c>
      <c r="BL11" s="11"/>
      <c r="BM11" s="11"/>
      <c r="BN11" s="10">
        <v>46303.625</v>
      </c>
      <c r="BO11" s="11"/>
      <c r="BP11" s="11"/>
      <c r="BQ11" s="11"/>
      <c r="BR11" s="11"/>
      <c r="BS11" s="11"/>
      <c r="BT11" s="11"/>
      <c r="BU11" s="11"/>
      <c r="BV11" s="2"/>
      <c r="BW11" s="11"/>
    </row>
    <row r="12" spans="1:75" ht="30" x14ac:dyDescent="0.25">
      <c r="A12" s="2">
        <v>6200010</v>
      </c>
      <c r="B12" s="10">
        <v>46303.805902777778</v>
      </c>
      <c r="C12" s="11" t="s">
        <v>82</v>
      </c>
      <c r="D12" s="11"/>
      <c r="E12" s="11" t="s">
        <v>88</v>
      </c>
      <c r="F12" s="11"/>
      <c r="G12" s="11" t="s">
        <v>592</v>
      </c>
      <c r="H12" s="3"/>
      <c r="I12" s="11" t="s">
        <v>75</v>
      </c>
      <c r="J12" s="11"/>
      <c r="K12" s="11"/>
      <c r="L12" s="11"/>
      <c r="M12" s="11"/>
      <c r="N12" s="2">
        <v>1.25</v>
      </c>
      <c r="O12" s="2"/>
      <c r="P12" s="2"/>
      <c r="Q12" s="2"/>
      <c r="R12" s="11"/>
      <c r="S12" s="11" t="s">
        <v>102</v>
      </c>
      <c r="T12" s="11" t="s">
        <v>85</v>
      </c>
      <c r="U12" s="11"/>
      <c r="V12" s="11"/>
      <c r="W12" s="11"/>
      <c r="X12" s="11"/>
      <c r="Y12" s="11"/>
      <c r="Z12" s="11"/>
      <c r="AA12" s="11"/>
      <c r="AB12" s="9"/>
      <c r="AC12" s="2"/>
      <c r="AD12" s="9"/>
      <c r="AE12" s="2"/>
      <c r="AF12" s="9"/>
      <c r="AG12" s="10"/>
      <c r="AH12" s="11"/>
      <c r="AI12" s="11" t="s">
        <v>86</v>
      </c>
      <c r="AJ12" s="11"/>
      <c r="AK12" s="2"/>
      <c r="AL12" s="11"/>
      <c r="AM12" s="11"/>
      <c r="AN12" s="11"/>
      <c r="AO12" s="2"/>
      <c r="AP12" s="3"/>
      <c r="AQ12" s="11"/>
      <c r="AR12" s="3"/>
      <c r="AS12" s="2"/>
      <c r="AT12" s="11"/>
      <c r="AU12" s="2"/>
      <c r="AV12" s="2"/>
      <c r="AW12" s="2"/>
      <c r="AX12" s="11"/>
      <c r="AY12" s="11"/>
      <c r="AZ12" s="9"/>
      <c r="BA12" s="2">
        <v>1875</v>
      </c>
      <c r="BB12" s="11"/>
      <c r="BC12" s="11"/>
      <c r="BD12" s="11"/>
      <c r="BE12" s="11"/>
      <c r="BF12" s="11"/>
      <c r="BG12" s="11"/>
      <c r="BH12" s="11"/>
      <c r="BI12" s="11"/>
      <c r="BJ12" s="11" t="s">
        <v>87</v>
      </c>
      <c r="BK12" s="10">
        <v>46303.805902777778</v>
      </c>
      <c r="BL12" s="11"/>
      <c r="BM12" s="11"/>
      <c r="BN12" s="10">
        <v>46303.625</v>
      </c>
      <c r="BO12" s="11"/>
      <c r="BP12" s="11"/>
      <c r="BQ12" s="11"/>
      <c r="BR12" s="11"/>
      <c r="BS12" s="11"/>
      <c r="BT12" s="11"/>
      <c r="BU12" s="11"/>
      <c r="BV12" s="2"/>
      <c r="BW12" s="11"/>
    </row>
    <row r="13" spans="1:75" ht="30" x14ac:dyDescent="0.25">
      <c r="A13" s="2">
        <v>6200011</v>
      </c>
      <c r="B13" s="10">
        <v>46303.805902777778</v>
      </c>
      <c r="C13" s="11" t="s">
        <v>82</v>
      </c>
      <c r="D13" s="11"/>
      <c r="E13" s="11" t="s">
        <v>92</v>
      </c>
      <c r="F13" s="11"/>
      <c r="G13" s="11" t="s">
        <v>89</v>
      </c>
      <c r="H13" s="3"/>
      <c r="I13" s="11" t="s">
        <v>90</v>
      </c>
      <c r="J13" s="11"/>
      <c r="K13" s="11"/>
      <c r="L13" s="11"/>
      <c r="M13" s="11"/>
      <c r="N13" s="2">
        <v>1.25</v>
      </c>
      <c r="O13" s="2"/>
      <c r="P13" s="2"/>
      <c r="Q13" s="2"/>
      <c r="R13" s="11"/>
      <c r="S13" s="11" t="s">
        <v>103</v>
      </c>
      <c r="T13" s="11" t="s">
        <v>85</v>
      </c>
      <c r="U13" s="11"/>
      <c r="V13" s="11"/>
      <c r="W13" s="11"/>
      <c r="X13" s="11"/>
      <c r="Y13" s="11"/>
      <c r="Z13" s="11"/>
      <c r="AA13" s="11"/>
      <c r="AB13" s="9"/>
      <c r="AC13" s="2"/>
      <c r="AD13" s="9"/>
      <c r="AE13" s="2"/>
      <c r="AF13" s="9"/>
      <c r="AG13" s="10"/>
      <c r="AH13" s="11"/>
      <c r="AI13" s="11" t="s">
        <v>86</v>
      </c>
      <c r="AJ13" s="11"/>
      <c r="AK13" s="2"/>
      <c r="AL13" s="11"/>
      <c r="AM13" s="11"/>
      <c r="AN13" s="11"/>
      <c r="AO13" s="2"/>
      <c r="AP13" s="3"/>
      <c r="AQ13" s="11"/>
      <c r="AR13" s="3"/>
      <c r="AS13" s="2"/>
      <c r="AT13" s="11"/>
      <c r="AU13" s="2"/>
      <c r="AV13" s="2"/>
      <c r="AW13" s="2"/>
      <c r="AX13" s="11"/>
      <c r="AY13" s="11"/>
      <c r="AZ13" s="9"/>
      <c r="BA13" s="2">
        <v>1875</v>
      </c>
      <c r="BB13" s="11"/>
      <c r="BC13" s="11"/>
      <c r="BD13" s="11"/>
      <c r="BE13" s="11"/>
      <c r="BF13" s="11"/>
      <c r="BG13" s="11"/>
      <c r="BH13" s="11"/>
      <c r="BI13" s="11"/>
      <c r="BJ13" s="11" t="s">
        <v>87</v>
      </c>
      <c r="BK13" s="10">
        <v>46303.805902777778</v>
      </c>
      <c r="BL13" s="11"/>
      <c r="BM13" s="11"/>
      <c r="BN13" s="10">
        <v>46303.625</v>
      </c>
      <c r="BO13" s="11"/>
      <c r="BP13" s="11"/>
      <c r="BQ13" s="11"/>
      <c r="BR13" s="11"/>
      <c r="BS13" s="11"/>
      <c r="BT13" s="11"/>
      <c r="BU13" s="11"/>
      <c r="BV13" s="2"/>
      <c r="BW13" s="11"/>
    </row>
    <row r="14" spans="1:75" ht="30" x14ac:dyDescent="0.25">
      <c r="A14" s="2">
        <v>6200012</v>
      </c>
      <c r="B14" s="10">
        <v>46303.805902777778</v>
      </c>
      <c r="C14" s="11" t="s">
        <v>82</v>
      </c>
      <c r="D14" s="11"/>
      <c r="E14" s="11" t="s">
        <v>83</v>
      </c>
      <c r="F14" s="11"/>
      <c r="G14" s="2">
        <v>470123456</v>
      </c>
      <c r="H14" s="3"/>
      <c r="I14" s="11" t="s">
        <v>75</v>
      </c>
      <c r="J14" s="11"/>
      <c r="K14" s="11"/>
      <c r="L14" s="11"/>
      <c r="M14" s="11"/>
      <c r="N14" s="2">
        <v>1.25</v>
      </c>
      <c r="O14" s="2"/>
      <c r="P14" s="2"/>
      <c r="Q14" s="2"/>
      <c r="R14" s="11"/>
      <c r="S14" s="11" t="s">
        <v>104</v>
      </c>
      <c r="T14" s="11" t="s">
        <v>85</v>
      </c>
      <c r="U14" s="11"/>
      <c r="V14" s="11"/>
      <c r="W14" s="11"/>
      <c r="X14" s="11"/>
      <c r="Y14" s="11"/>
      <c r="Z14" s="11"/>
      <c r="AA14" s="11"/>
      <c r="AB14" s="9"/>
      <c r="AC14" s="2"/>
      <c r="AD14" s="9"/>
      <c r="AE14" s="2"/>
      <c r="AF14" s="9"/>
      <c r="AG14" s="10"/>
      <c r="AH14" s="11"/>
      <c r="AI14" s="11" t="s">
        <v>86</v>
      </c>
      <c r="AJ14" s="11"/>
      <c r="AK14" s="2"/>
      <c r="AL14" s="11"/>
      <c r="AM14" s="11"/>
      <c r="AN14" s="11"/>
      <c r="AO14" s="2"/>
      <c r="AP14" s="3"/>
      <c r="AQ14" s="11"/>
      <c r="AR14" s="3"/>
      <c r="AS14" s="2"/>
      <c r="AT14" s="11"/>
      <c r="AU14" s="2"/>
      <c r="AV14" s="2"/>
      <c r="AW14" s="2"/>
      <c r="AX14" s="11"/>
      <c r="AY14" s="11"/>
      <c r="AZ14" s="9"/>
      <c r="BA14" s="2">
        <v>1875</v>
      </c>
      <c r="BB14" s="11"/>
      <c r="BC14" s="11"/>
      <c r="BD14" s="11"/>
      <c r="BE14" s="11"/>
      <c r="BF14" s="11"/>
      <c r="BG14" s="11"/>
      <c r="BH14" s="11"/>
      <c r="BI14" s="11"/>
      <c r="BJ14" s="11" t="s">
        <v>87</v>
      </c>
      <c r="BK14" s="10">
        <v>46303.805902777778</v>
      </c>
      <c r="BL14" s="11"/>
      <c r="BM14" s="11"/>
      <c r="BN14" s="10">
        <v>46303.625</v>
      </c>
      <c r="BO14" s="11"/>
      <c r="BP14" s="11"/>
      <c r="BQ14" s="11"/>
      <c r="BR14" s="11"/>
      <c r="BS14" s="11"/>
      <c r="BT14" s="11"/>
      <c r="BU14" s="11"/>
      <c r="BV14" s="2"/>
      <c r="BW14" s="11"/>
    </row>
    <row r="15" spans="1:75" ht="30" x14ac:dyDescent="0.25">
      <c r="A15" s="2">
        <v>6200013</v>
      </c>
      <c r="B15" s="10">
        <v>46303.805902777778</v>
      </c>
      <c r="C15" s="11" t="s">
        <v>82</v>
      </c>
      <c r="D15" s="11"/>
      <c r="E15" s="11" t="s">
        <v>88</v>
      </c>
      <c r="F15" s="11"/>
      <c r="G15" s="11" t="s">
        <v>94</v>
      </c>
      <c r="H15" s="3"/>
      <c r="I15" s="11" t="s">
        <v>90</v>
      </c>
      <c r="J15" s="11"/>
      <c r="K15" s="11"/>
      <c r="L15" s="11"/>
      <c r="M15" s="11"/>
      <c r="N15" s="2">
        <v>1.25</v>
      </c>
      <c r="O15" s="2"/>
      <c r="P15" s="2"/>
      <c r="Q15" s="2"/>
      <c r="R15" s="11"/>
      <c r="S15" s="11" t="s">
        <v>105</v>
      </c>
      <c r="T15" s="11" t="s">
        <v>85</v>
      </c>
      <c r="U15" s="11"/>
      <c r="V15" s="11"/>
      <c r="W15" s="11"/>
      <c r="X15" s="11"/>
      <c r="Y15" s="11"/>
      <c r="Z15" s="11"/>
      <c r="AA15" s="11"/>
      <c r="AB15" s="9"/>
      <c r="AC15" s="2"/>
      <c r="AD15" s="9"/>
      <c r="AE15" s="2"/>
      <c r="AF15" s="9"/>
      <c r="AG15" s="10"/>
      <c r="AH15" s="11"/>
      <c r="AI15" s="11" t="s">
        <v>86</v>
      </c>
      <c r="AJ15" s="11"/>
      <c r="AK15" s="2"/>
      <c r="AL15" s="11"/>
      <c r="AM15" s="11"/>
      <c r="AN15" s="11"/>
      <c r="AO15" s="2"/>
      <c r="AP15" s="3"/>
      <c r="AQ15" s="11"/>
      <c r="AR15" s="3"/>
      <c r="AS15" s="2"/>
      <c r="AT15" s="11"/>
      <c r="AU15" s="2"/>
      <c r="AV15" s="2"/>
      <c r="AW15" s="2"/>
      <c r="AX15" s="11"/>
      <c r="AY15" s="11"/>
      <c r="AZ15" s="9"/>
      <c r="BA15" s="2">
        <v>1875</v>
      </c>
      <c r="BB15" s="11"/>
      <c r="BC15" s="11"/>
      <c r="BD15" s="11"/>
      <c r="BE15" s="11"/>
      <c r="BF15" s="11"/>
      <c r="BG15" s="11"/>
      <c r="BH15" s="11"/>
      <c r="BI15" s="11"/>
      <c r="BJ15" s="11" t="s">
        <v>87</v>
      </c>
      <c r="BK15" s="10">
        <v>46303.805902777778</v>
      </c>
      <c r="BL15" s="11"/>
      <c r="BM15" s="11"/>
      <c r="BN15" s="10">
        <v>46303.625</v>
      </c>
      <c r="BO15" s="11"/>
      <c r="BP15" s="11"/>
      <c r="BQ15" s="11"/>
      <c r="BR15" s="11"/>
      <c r="BS15" s="11"/>
      <c r="BT15" s="11"/>
      <c r="BU15" s="11"/>
      <c r="BV15" s="2"/>
      <c r="BW15" s="11"/>
    </row>
    <row r="16" spans="1:75" ht="30" x14ac:dyDescent="0.25">
      <c r="A16" s="2">
        <v>6200014</v>
      </c>
      <c r="B16" s="10">
        <v>46303.805902777778</v>
      </c>
      <c r="C16" s="11" t="s">
        <v>82</v>
      </c>
      <c r="D16" s="11"/>
      <c r="E16" s="11" t="s">
        <v>92</v>
      </c>
      <c r="F16" s="11"/>
      <c r="G16" s="11" t="s">
        <v>593</v>
      </c>
      <c r="H16" s="3"/>
      <c r="I16" s="11" t="s">
        <v>75</v>
      </c>
      <c r="J16" s="11"/>
      <c r="K16" s="11"/>
      <c r="L16" s="11"/>
      <c r="M16" s="11"/>
      <c r="N16" s="2">
        <v>1.25</v>
      </c>
      <c r="O16" s="2"/>
      <c r="P16" s="2"/>
      <c r="Q16" s="2"/>
      <c r="R16" s="11"/>
      <c r="S16" s="11" t="s">
        <v>106</v>
      </c>
      <c r="T16" s="11" t="s">
        <v>85</v>
      </c>
      <c r="U16" s="11"/>
      <c r="V16" s="11"/>
      <c r="W16" s="11"/>
      <c r="X16" s="11"/>
      <c r="Y16" s="11"/>
      <c r="Z16" s="11"/>
      <c r="AA16" s="11"/>
      <c r="AB16" s="9"/>
      <c r="AC16" s="2"/>
      <c r="AD16" s="9"/>
      <c r="AE16" s="2"/>
      <c r="AF16" s="9"/>
      <c r="AG16" s="10"/>
      <c r="AH16" s="11"/>
      <c r="AI16" s="11" t="s">
        <v>86</v>
      </c>
      <c r="AJ16" s="11"/>
      <c r="AK16" s="2"/>
      <c r="AL16" s="11"/>
      <c r="AM16" s="11"/>
      <c r="AN16" s="11"/>
      <c r="AO16" s="2"/>
      <c r="AP16" s="3"/>
      <c r="AQ16" s="11"/>
      <c r="AR16" s="3"/>
      <c r="AS16" s="2"/>
      <c r="AT16" s="11"/>
      <c r="AU16" s="2"/>
      <c r="AV16" s="2"/>
      <c r="AW16" s="2"/>
      <c r="AX16" s="11"/>
      <c r="AY16" s="11"/>
      <c r="AZ16" s="9"/>
      <c r="BA16" s="2">
        <v>1875</v>
      </c>
      <c r="BB16" s="11"/>
      <c r="BC16" s="11"/>
      <c r="BD16" s="11"/>
      <c r="BE16" s="11"/>
      <c r="BF16" s="11"/>
      <c r="BG16" s="11"/>
      <c r="BH16" s="11"/>
      <c r="BI16" s="11"/>
      <c r="BJ16" s="11" t="s">
        <v>87</v>
      </c>
      <c r="BK16" s="10">
        <v>46303.805902777778</v>
      </c>
      <c r="BL16" s="11"/>
      <c r="BM16" s="11"/>
      <c r="BN16" s="10">
        <v>46303.625</v>
      </c>
      <c r="BO16" s="11"/>
      <c r="BP16" s="11"/>
      <c r="BQ16" s="11"/>
      <c r="BR16" s="11"/>
      <c r="BS16" s="11"/>
      <c r="BT16" s="11"/>
      <c r="BU16" s="11"/>
      <c r="BV16" s="2"/>
      <c r="BW16" s="11"/>
    </row>
    <row r="17" spans="1:75" ht="30" x14ac:dyDescent="0.25">
      <c r="A17" s="2">
        <v>6200015</v>
      </c>
      <c r="B17" s="10">
        <v>46303.805902777778</v>
      </c>
      <c r="C17" s="11" t="s">
        <v>82</v>
      </c>
      <c r="D17" s="11"/>
      <c r="E17" s="11" t="s">
        <v>83</v>
      </c>
      <c r="F17" s="11"/>
      <c r="G17" s="11" t="s">
        <v>592</v>
      </c>
      <c r="H17" s="3"/>
      <c r="I17" s="11" t="s">
        <v>75</v>
      </c>
      <c r="J17" s="11"/>
      <c r="K17" s="11"/>
      <c r="L17" s="11"/>
      <c r="M17" s="11"/>
      <c r="N17" s="2">
        <v>1.25</v>
      </c>
      <c r="O17" s="2"/>
      <c r="P17" s="2"/>
      <c r="Q17" s="2"/>
      <c r="R17" s="11"/>
      <c r="S17" s="11" t="s">
        <v>107</v>
      </c>
      <c r="T17" s="11" t="s">
        <v>85</v>
      </c>
      <c r="U17" s="11"/>
      <c r="V17" s="11"/>
      <c r="W17" s="11"/>
      <c r="X17" s="11"/>
      <c r="Y17" s="11"/>
      <c r="Z17" s="11"/>
      <c r="AA17" s="11"/>
      <c r="AB17" s="9"/>
      <c r="AC17" s="2"/>
      <c r="AD17" s="9"/>
      <c r="AE17" s="2"/>
      <c r="AF17" s="9"/>
      <c r="AG17" s="10"/>
      <c r="AH17" s="11"/>
      <c r="AI17" s="11" t="s">
        <v>86</v>
      </c>
      <c r="AJ17" s="11"/>
      <c r="AK17" s="2"/>
      <c r="AL17" s="11"/>
      <c r="AM17" s="11"/>
      <c r="AN17" s="11"/>
      <c r="AO17" s="2"/>
      <c r="AP17" s="3"/>
      <c r="AQ17" s="11"/>
      <c r="AR17" s="3"/>
      <c r="AS17" s="2"/>
      <c r="AT17" s="11"/>
      <c r="AU17" s="2"/>
      <c r="AV17" s="2"/>
      <c r="AW17" s="2"/>
      <c r="AX17" s="11"/>
      <c r="AY17" s="11"/>
      <c r="AZ17" s="9"/>
      <c r="BA17" s="2">
        <v>1875</v>
      </c>
      <c r="BB17" s="11"/>
      <c r="BC17" s="11"/>
      <c r="BD17" s="11"/>
      <c r="BE17" s="11"/>
      <c r="BF17" s="11"/>
      <c r="BG17" s="11"/>
      <c r="BH17" s="11"/>
      <c r="BI17" s="11"/>
      <c r="BJ17" s="11" t="s">
        <v>87</v>
      </c>
      <c r="BK17" s="10">
        <v>46303.805902777778</v>
      </c>
      <c r="BL17" s="11"/>
      <c r="BM17" s="11"/>
      <c r="BN17" s="10">
        <v>46303.625</v>
      </c>
      <c r="BO17" s="11"/>
      <c r="BP17" s="11"/>
      <c r="BQ17" s="11"/>
      <c r="BR17" s="11"/>
      <c r="BS17" s="11"/>
      <c r="BT17" s="11"/>
      <c r="BU17" s="11"/>
      <c r="BV17" s="2"/>
      <c r="BW17" s="11"/>
    </row>
    <row r="18" spans="1:75" ht="30" x14ac:dyDescent="0.25">
      <c r="A18" s="2">
        <v>6200016</v>
      </c>
      <c r="B18" s="10">
        <v>46303.805902777778</v>
      </c>
      <c r="C18" s="11" t="s">
        <v>82</v>
      </c>
      <c r="D18" s="11"/>
      <c r="E18" s="11" t="s">
        <v>88</v>
      </c>
      <c r="F18" s="11"/>
      <c r="G18" s="11" t="s">
        <v>89</v>
      </c>
      <c r="H18" s="3"/>
      <c r="I18" s="11" t="s">
        <v>90</v>
      </c>
      <c r="J18" s="11"/>
      <c r="K18" s="11"/>
      <c r="L18" s="11"/>
      <c r="M18" s="11"/>
      <c r="N18" s="2">
        <v>1.25</v>
      </c>
      <c r="O18" s="2"/>
      <c r="P18" s="2"/>
      <c r="Q18" s="2"/>
      <c r="R18" s="11"/>
      <c r="S18" s="11" t="s">
        <v>108</v>
      </c>
      <c r="T18" s="11" t="s">
        <v>85</v>
      </c>
      <c r="U18" s="11"/>
      <c r="V18" s="11"/>
      <c r="W18" s="11"/>
      <c r="X18" s="11"/>
      <c r="Y18" s="11"/>
      <c r="Z18" s="11"/>
      <c r="AA18" s="11"/>
      <c r="AB18" s="9"/>
      <c r="AC18" s="2"/>
      <c r="AD18" s="9"/>
      <c r="AE18" s="2"/>
      <c r="AF18" s="9"/>
      <c r="AG18" s="10"/>
      <c r="AH18" s="11"/>
      <c r="AI18" s="11" t="s">
        <v>86</v>
      </c>
      <c r="AJ18" s="11"/>
      <c r="AK18" s="2"/>
      <c r="AL18" s="11"/>
      <c r="AM18" s="11"/>
      <c r="AN18" s="11"/>
      <c r="AO18" s="2"/>
      <c r="AP18" s="3"/>
      <c r="AQ18" s="11"/>
      <c r="AR18" s="3"/>
      <c r="AS18" s="2"/>
      <c r="AT18" s="11"/>
      <c r="AU18" s="2"/>
      <c r="AV18" s="2"/>
      <c r="AW18" s="2"/>
      <c r="AX18" s="11"/>
      <c r="AY18" s="11"/>
      <c r="AZ18" s="9"/>
      <c r="BA18" s="2">
        <v>1875</v>
      </c>
      <c r="BB18" s="11"/>
      <c r="BC18" s="11"/>
      <c r="BD18" s="11"/>
      <c r="BE18" s="11"/>
      <c r="BF18" s="11"/>
      <c r="BG18" s="11"/>
      <c r="BH18" s="11"/>
      <c r="BI18" s="11"/>
      <c r="BJ18" s="11" t="s">
        <v>87</v>
      </c>
      <c r="BK18" s="10">
        <v>46303.805902777778</v>
      </c>
      <c r="BL18" s="11"/>
      <c r="BM18" s="11"/>
      <c r="BN18" s="10">
        <v>46303.625</v>
      </c>
      <c r="BO18" s="11"/>
      <c r="BP18" s="11"/>
      <c r="BQ18" s="11"/>
      <c r="BR18" s="11"/>
      <c r="BS18" s="11"/>
      <c r="BT18" s="11"/>
      <c r="BU18" s="11"/>
      <c r="BV18" s="2"/>
      <c r="BW18" s="11"/>
    </row>
    <row r="19" spans="1:75" ht="30" x14ac:dyDescent="0.25">
      <c r="A19" s="2">
        <v>6200017</v>
      </c>
      <c r="B19" s="10">
        <v>46303.805902777778</v>
      </c>
      <c r="C19" s="11" t="s">
        <v>82</v>
      </c>
      <c r="D19" s="11"/>
      <c r="E19" s="11" t="s">
        <v>92</v>
      </c>
      <c r="F19" s="11"/>
      <c r="G19" s="2">
        <v>470123456</v>
      </c>
      <c r="H19" s="3"/>
      <c r="I19" s="11" t="s">
        <v>75</v>
      </c>
      <c r="J19" s="11"/>
      <c r="K19" s="11"/>
      <c r="L19" s="11"/>
      <c r="M19" s="11"/>
      <c r="N19" s="2">
        <v>1.25</v>
      </c>
      <c r="O19" s="2"/>
      <c r="P19" s="2"/>
      <c r="Q19" s="2"/>
      <c r="R19" s="11"/>
      <c r="S19" s="11" t="s">
        <v>109</v>
      </c>
      <c r="T19" s="11" t="s">
        <v>85</v>
      </c>
      <c r="U19" s="11"/>
      <c r="V19" s="11"/>
      <c r="W19" s="11"/>
      <c r="X19" s="11"/>
      <c r="Y19" s="11"/>
      <c r="Z19" s="11"/>
      <c r="AA19" s="11"/>
      <c r="AB19" s="9"/>
      <c r="AC19" s="2"/>
      <c r="AD19" s="9"/>
      <c r="AE19" s="2"/>
      <c r="AF19" s="9"/>
      <c r="AG19" s="10"/>
      <c r="AH19" s="11"/>
      <c r="AI19" s="11" t="s">
        <v>86</v>
      </c>
      <c r="AJ19" s="11"/>
      <c r="AK19" s="2"/>
      <c r="AL19" s="11"/>
      <c r="AM19" s="11"/>
      <c r="AN19" s="11"/>
      <c r="AO19" s="2"/>
      <c r="AP19" s="3"/>
      <c r="AQ19" s="11"/>
      <c r="AR19" s="3"/>
      <c r="AS19" s="2"/>
      <c r="AT19" s="11"/>
      <c r="AU19" s="2"/>
      <c r="AV19" s="2"/>
      <c r="AW19" s="2"/>
      <c r="AX19" s="11"/>
      <c r="AY19" s="11"/>
      <c r="AZ19" s="9"/>
      <c r="BA19" s="2">
        <v>1875</v>
      </c>
      <c r="BB19" s="11"/>
      <c r="BC19" s="11"/>
      <c r="BD19" s="11"/>
      <c r="BE19" s="11"/>
      <c r="BF19" s="11"/>
      <c r="BG19" s="11"/>
      <c r="BH19" s="11"/>
      <c r="BI19" s="11"/>
      <c r="BJ19" s="11" t="s">
        <v>87</v>
      </c>
      <c r="BK19" s="10">
        <v>46303.805902777778</v>
      </c>
      <c r="BL19" s="11"/>
      <c r="BM19" s="11"/>
      <c r="BN19" s="10">
        <v>46303.625</v>
      </c>
      <c r="BO19" s="11"/>
      <c r="BP19" s="11"/>
      <c r="BQ19" s="11"/>
      <c r="BR19" s="11"/>
      <c r="BS19" s="11"/>
      <c r="BT19" s="11"/>
      <c r="BU19" s="11"/>
      <c r="BV19" s="2"/>
      <c r="BW19" s="11"/>
    </row>
    <row r="20" spans="1:75" ht="30" x14ac:dyDescent="0.25">
      <c r="A20" s="2">
        <v>6200018</v>
      </c>
      <c r="B20" s="10">
        <v>46303.805902777778</v>
      </c>
      <c r="C20" s="11" t="s">
        <v>82</v>
      </c>
      <c r="D20" s="11"/>
      <c r="E20" s="11" t="s">
        <v>83</v>
      </c>
      <c r="F20" s="11"/>
      <c r="G20" s="11" t="s">
        <v>94</v>
      </c>
      <c r="H20" s="3"/>
      <c r="I20" s="11" t="s">
        <v>90</v>
      </c>
      <c r="J20" s="11"/>
      <c r="K20" s="11"/>
      <c r="L20" s="11"/>
      <c r="M20" s="11"/>
      <c r="N20" s="2">
        <v>1.25</v>
      </c>
      <c r="O20" s="2"/>
      <c r="P20" s="2"/>
      <c r="Q20" s="2"/>
      <c r="R20" s="11"/>
      <c r="S20" s="11" t="s">
        <v>110</v>
      </c>
      <c r="T20" s="11" t="s">
        <v>85</v>
      </c>
      <c r="U20" s="11"/>
      <c r="V20" s="11"/>
      <c r="W20" s="11"/>
      <c r="X20" s="11"/>
      <c r="Y20" s="11"/>
      <c r="Z20" s="11"/>
      <c r="AA20" s="11"/>
      <c r="AB20" s="9"/>
      <c r="AC20" s="2"/>
      <c r="AD20" s="9"/>
      <c r="AE20" s="2"/>
      <c r="AF20" s="9"/>
      <c r="AG20" s="10"/>
      <c r="AH20" s="11"/>
      <c r="AI20" s="11" t="s">
        <v>86</v>
      </c>
      <c r="AJ20" s="11"/>
      <c r="AK20" s="2"/>
      <c r="AL20" s="11"/>
      <c r="AM20" s="11"/>
      <c r="AN20" s="11"/>
      <c r="AO20" s="2"/>
      <c r="AP20" s="3"/>
      <c r="AQ20" s="11"/>
      <c r="AR20" s="3"/>
      <c r="AS20" s="2"/>
      <c r="AT20" s="11"/>
      <c r="AU20" s="2"/>
      <c r="AV20" s="2"/>
      <c r="AW20" s="2"/>
      <c r="AX20" s="11"/>
      <c r="AY20" s="11"/>
      <c r="AZ20" s="9"/>
      <c r="BA20" s="2">
        <v>1875</v>
      </c>
      <c r="BB20" s="11"/>
      <c r="BC20" s="11"/>
      <c r="BD20" s="11"/>
      <c r="BE20" s="11"/>
      <c r="BF20" s="11"/>
      <c r="BG20" s="11"/>
      <c r="BH20" s="11"/>
      <c r="BI20" s="11"/>
      <c r="BJ20" s="11" t="s">
        <v>87</v>
      </c>
      <c r="BK20" s="10">
        <v>46303.805902777778</v>
      </c>
      <c r="BL20" s="11"/>
      <c r="BM20" s="11"/>
      <c r="BN20" s="10">
        <v>46303.625</v>
      </c>
      <c r="BO20" s="11"/>
      <c r="BP20" s="11"/>
      <c r="BQ20" s="11"/>
      <c r="BR20" s="11"/>
      <c r="BS20" s="11"/>
      <c r="BT20" s="11"/>
      <c r="BU20" s="11"/>
      <c r="BV20" s="2"/>
      <c r="BW20" s="11"/>
    </row>
    <row r="21" spans="1:75" ht="30" x14ac:dyDescent="0.25">
      <c r="A21" s="2">
        <v>6200019</v>
      </c>
      <c r="B21" s="10">
        <v>46303.805902777778</v>
      </c>
      <c r="C21" s="11" t="s">
        <v>82</v>
      </c>
      <c r="D21" s="11"/>
      <c r="E21" s="11" t="s">
        <v>88</v>
      </c>
      <c r="F21" s="11"/>
      <c r="G21" s="11" t="s">
        <v>593</v>
      </c>
      <c r="H21" s="3"/>
      <c r="I21" s="11" t="s">
        <v>75</v>
      </c>
      <c r="J21" s="11"/>
      <c r="K21" s="11"/>
      <c r="L21" s="11"/>
      <c r="M21" s="11"/>
      <c r="N21" s="2">
        <v>1.25</v>
      </c>
      <c r="O21" s="2"/>
      <c r="P21" s="2"/>
      <c r="Q21" s="2"/>
      <c r="R21" s="11"/>
      <c r="S21" s="11" t="s">
        <v>111</v>
      </c>
      <c r="T21" s="11" t="s">
        <v>85</v>
      </c>
      <c r="U21" s="11"/>
      <c r="V21" s="11"/>
      <c r="W21" s="11"/>
      <c r="X21" s="11"/>
      <c r="Y21" s="11"/>
      <c r="Z21" s="11"/>
      <c r="AA21" s="11"/>
      <c r="AB21" s="9"/>
      <c r="AC21" s="2"/>
      <c r="AD21" s="9"/>
      <c r="AE21" s="2"/>
      <c r="AF21" s="9"/>
      <c r="AG21" s="10"/>
      <c r="AH21" s="11"/>
      <c r="AI21" s="11" t="s">
        <v>86</v>
      </c>
      <c r="AJ21" s="11"/>
      <c r="AK21" s="2"/>
      <c r="AL21" s="11"/>
      <c r="AM21" s="11"/>
      <c r="AN21" s="11"/>
      <c r="AO21" s="2"/>
      <c r="AP21" s="3"/>
      <c r="AQ21" s="11"/>
      <c r="AR21" s="3"/>
      <c r="AS21" s="2"/>
      <c r="AT21" s="11"/>
      <c r="AU21" s="2"/>
      <c r="AV21" s="2"/>
      <c r="AW21" s="2"/>
      <c r="AX21" s="11"/>
      <c r="AY21" s="11"/>
      <c r="AZ21" s="9"/>
      <c r="BA21" s="2">
        <v>1875</v>
      </c>
      <c r="BB21" s="11"/>
      <c r="BC21" s="11"/>
      <c r="BD21" s="11"/>
      <c r="BE21" s="11"/>
      <c r="BF21" s="11"/>
      <c r="BG21" s="11"/>
      <c r="BH21" s="11"/>
      <c r="BI21" s="11"/>
      <c r="BJ21" s="11" t="s">
        <v>87</v>
      </c>
      <c r="BK21" s="10">
        <v>46303.805902777778</v>
      </c>
      <c r="BL21" s="11"/>
      <c r="BM21" s="11"/>
      <c r="BN21" s="10">
        <v>46303.625</v>
      </c>
      <c r="BO21" s="11"/>
      <c r="BP21" s="11"/>
      <c r="BQ21" s="11"/>
      <c r="BR21" s="11"/>
      <c r="BS21" s="11"/>
      <c r="BT21" s="11"/>
      <c r="BU21" s="11"/>
      <c r="BV21" s="2"/>
      <c r="BW21" s="11"/>
    </row>
    <row r="22" spans="1:75" ht="30" x14ac:dyDescent="0.25">
      <c r="A22" s="2">
        <v>6200020</v>
      </c>
      <c r="B22" s="10">
        <v>46303.805902777778</v>
      </c>
      <c r="C22" s="11" t="s">
        <v>82</v>
      </c>
      <c r="D22" s="11"/>
      <c r="E22" s="11" t="s">
        <v>92</v>
      </c>
      <c r="F22" s="11"/>
      <c r="G22" s="11" t="s">
        <v>592</v>
      </c>
      <c r="H22" s="3"/>
      <c r="I22" s="11" t="s">
        <v>75</v>
      </c>
      <c r="J22" s="11"/>
      <c r="K22" s="11"/>
      <c r="L22" s="11"/>
      <c r="M22" s="11"/>
      <c r="N22" s="2">
        <v>1.25</v>
      </c>
      <c r="O22" s="2"/>
      <c r="P22" s="2"/>
      <c r="Q22" s="2"/>
      <c r="R22" s="11"/>
      <c r="S22" s="11" t="s">
        <v>112</v>
      </c>
      <c r="T22" s="11" t="s">
        <v>85</v>
      </c>
      <c r="U22" s="11"/>
      <c r="V22" s="11"/>
      <c r="W22" s="11"/>
      <c r="X22" s="11"/>
      <c r="Y22" s="11"/>
      <c r="Z22" s="11"/>
      <c r="AA22" s="11"/>
      <c r="AB22" s="9"/>
      <c r="AC22" s="2"/>
      <c r="AD22" s="9"/>
      <c r="AE22" s="2"/>
      <c r="AF22" s="9"/>
      <c r="AG22" s="10"/>
      <c r="AH22" s="11"/>
      <c r="AI22" s="11" t="s">
        <v>86</v>
      </c>
      <c r="AJ22" s="11"/>
      <c r="AK22" s="2"/>
      <c r="AL22" s="11"/>
      <c r="AM22" s="11"/>
      <c r="AN22" s="11"/>
      <c r="AO22" s="2"/>
      <c r="AP22" s="3"/>
      <c r="AQ22" s="11"/>
      <c r="AR22" s="3"/>
      <c r="AS22" s="2"/>
      <c r="AT22" s="11"/>
      <c r="AU22" s="2"/>
      <c r="AV22" s="2"/>
      <c r="AW22" s="2"/>
      <c r="AX22" s="11"/>
      <c r="AY22" s="11"/>
      <c r="AZ22" s="9"/>
      <c r="BA22" s="2">
        <v>1875</v>
      </c>
      <c r="BB22" s="11"/>
      <c r="BC22" s="11"/>
      <c r="BD22" s="11"/>
      <c r="BE22" s="11"/>
      <c r="BF22" s="11"/>
      <c r="BG22" s="11"/>
      <c r="BH22" s="11"/>
      <c r="BI22" s="11"/>
      <c r="BJ22" s="11" t="s">
        <v>87</v>
      </c>
      <c r="BK22" s="10">
        <v>46303.805902777778</v>
      </c>
      <c r="BL22" s="11"/>
      <c r="BM22" s="11"/>
      <c r="BN22" s="10">
        <v>46303.625</v>
      </c>
      <c r="BO22" s="11"/>
      <c r="BP22" s="11"/>
      <c r="BQ22" s="11"/>
      <c r="BR22" s="11"/>
      <c r="BS22" s="11"/>
      <c r="BT22" s="11"/>
      <c r="BU22" s="11"/>
      <c r="BV22" s="2"/>
      <c r="BW22" s="11"/>
    </row>
    <row r="23" spans="1:75" ht="30" x14ac:dyDescent="0.25">
      <c r="A23" s="2">
        <v>6200021</v>
      </c>
      <c r="B23" s="10">
        <v>46303.805902777778</v>
      </c>
      <c r="C23" s="11" t="s">
        <v>82</v>
      </c>
      <c r="D23" s="11"/>
      <c r="E23" s="11" t="s">
        <v>83</v>
      </c>
      <c r="F23" s="11"/>
      <c r="G23" s="11" t="s">
        <v>89</v>
      </c>
      <c r="H23" s="3"/>
      <c r="I23" s="11" t="s">
        <v>90</v>
      </c>
      <c r="J23" s="11"/>
      <c r="K23" s="11"/>
      <c r="L23" s="11"/>
      <c r="M23" s="11"/>
      <c r="N23" s="2">
        <v>1.25</v>
      </c>
      <c r="O23" s="2"/>
      <c r="P23" s="2"/>
      <c r="Q23" s="2"/>
      <c r="R23" s="11"/>
      <c r="S23" s="11" t="s">
        <v>113</v>
      </c>
      <c r="T23" s="11" t="s">
        <v>85</v>
      </c>
      <c r="U23" s="11"/>
      <c r="V23" s="11"/>
      <c r="W23" s="11"/>
      <c r="X23" s="11"/>
      <c r="Y23" s="11"/>
      <c r="Z23" s="11"/>
      <c r="AA23" s="11"/>
      <c r="AB23" s="9"/>
      <c r="AC23" s="2"/>
      <c r="AD23" s="9"/>
      <c r="AE23" s="2"/>
      <c r="AF23" s="9"/>
      <c r="AG23" s="10"/>
      <c r="AH23" s="11"/>
      <c r="AI23" s="11" t="s">
        <v>86</v>
      </c>
      <c r="AJ23" s="11"/>
      <c r="AK23" s="2"/>
      <c r="AL23" s="11"/>
      <c r="AM23" s="11"/>
      <c r="AN23" s="11"/>
      <c r="AO23" s="2"/>
      <c r="AP23" s="3"/>
      <c r="AQ23" s="11"/>
      <c r="AR23" s="3"/>
      <c r="AS23" s="2"/>
      <c r="AT23" s="11"/>
      <c r="AU23" s="2"/>
      <c r="AV23" s="2"/>
      <c r="AW23" s="2"/>
      <c r="AX23" s="11"/>
      <c r="AY23" s="11"/>
      <c r="AZ23" s="9"/>
      <c r="BA23" s="2">
        <v>1875</v>
      </c>
      <c r="BB23" s="11"/>
      <c r="BC23" s="11"/>
      <c r="BD23" s="11"/>
      <c r="BE23" s="11"/>
      <c r="BF23" s="11"/>
      <c r="BG23" s="11"/>
      <c r="BH23" s="11"/>
      <c r="BI23" s="11"/>
      <c r="BJ23" s="11" t="s">
        <v>87</v>
      </c>
      <c r="BK23" s="10">
        <v>46303.805902777778</v>
      </c>
      <c r="BL23" s="11"/>
      <c r="BM23" s="11"/>
      <c r="BN23" s="10">
        <v>46303.625</v>
      </c>
      <c r="BO23" s="11"/>
      <c r="BP23" s="11"/>
      <c r="BQ23" s="11"/>
      <c r="BR23" s="11"/>
      <c r="BS23" s="11"/>
      <c r="BT23" s="11"/>
      <c r="BU23" s="11"/>
      <c r="BV23" s="2"/>
      <c r="BW23" s="11"/>
    </row>
    <row r="24" spans="1:75" ht="30" x14ac:dyDescent="0.25">
      <c r="A24" s="2">
        <v>6200022</v>
      </c>
      <c r="B24" s="10">
        <v>46303.805902777778</v>
      </c>
      <c r="C24" s="11" t="s">
        <v>82</v>
      </c>
      <c r="D24" s="11"/>
      <c r="E24" s="11" t="s">
        <v>88</v>
      </c>
      <c r="F24" s="11"/>
      <c r="G24" s="2">
        <v>470123456</v>
      </c>
      <c r="H24" s="3"/>
      <c r="I24" s="11" t="s">
        <v>75</v>
      </c>
      <c r="J24" s="11"/>
      <c r="K24" s="11"/>
      <c r="L24" s="11"/>
      <c r="M24" s="11"/>
      <c r="N24" s="2">
        <v>1.25</v>
      </c>
      <c r="O24" s="2"/>
      <c r="P24" s="2"/>
      <c r="Q24" s="2"/>
      <c r="R24" s="11"/>
      <c r="S24" s="11" t="s">
        <v>114</v>
      </c>
      <c r="T24" s="11" t="s">
        <v>85</v>
      </c>
      <c r="U24" s="11"/>
      <c r="V24" s="11"/>
      <c r="W24" s="11"/>
      <c r="X24" s="11"/>
      <c r="Y24" s="11"/>
      <c r="Z24" s="11"/>
      <c r="AA24" s="11"/>
      <c r="AB24" s="9"/>
      <c r="AC24" s="2"/>
      <c r="AD24" s="9"/>
      <c r="AE24" s="2"/>
      <c r="AF24" s="9"/>
      <c r="AG24" s="10"/>
      <c r="AH24" s="11"/>
      <c r="AI24" s="11" t="s">
        <v>86</v>
      </c>
      <c r="AJ24" s="11"/>
      <c r="AK24" s="2"/>
      <c r="AL24" s="11"/>
      <c r="AM24" s="11"/>
      <c r="AN24" s="11"/>
      <c r="AO24" s="2"/>
      <c r="AP24" s="3"/>
      <c r="AQ24" s="11"/>
      <c r="AR24" s="3"/>
      <c r="AS24" s="2"/>
      <c r="AT24" s="11"/>
      <c r="AU24" s="2"/>
      <c r="AV24" s="2"/>
      <c r="AW24" s="2"/>
      <c r="AX24" s="11"/>
      <c r="AY24" s="11"/>
      <c r="AZ24" s="9"/>
      <c r="BA24" s="2">
        <v>1875</v>
      </c>
      <c r="BB24" s="11"/>
      <c r="BC24" s="11"/>
      <c r="BD24" s="11"/>
      <c r="BE24" s="11"/>
      <c r="BF24" s="11"/>
      <c r="BG24" s="11"/>
      <c r="BH24" s="11"/>
      <c r="BI24" s="11"/>
      <c r="BJ24" s="11" t="s">
        <v>87</v>
      </c>
      <c r="BK24" s="10">
        <v>46303.805902777778</v>
      </c>
      <c r="BL24" s="11"/>
      <c r="BM24" s="11"/>
      <c r="BN24" s="10">
        <v>46303.625</v>
      </c>
      <c r="BO24" s="11"/>
      <c r="BP24" s="11"/>
      <c r="BQ24" s="11"/>
      <c r="BR24" s="11"/>
      <c r="BS24" s="11"/>
      <c r="BT24" s="11"/>
      <c r="BU24" s="11"/>
      <c r="BV24" s="2"/>
      <c r="BW24" s="11"/>
    </row>
    <row r="25" spans="1:75" ht="30" x14ac:dyDescent="0.25">
      <c r="A25" s="2">
        <v>6200023</v>
      </c>
      <c r="B25" s="10">
        <v>46303.805902777778</v>
      </c>
      <c r="C25" s="11" t="s">
        <v>82</v>
      </c>
      <c r="D25" s="11"/>
      <c r="E25" s="11" t="s">
        <v>92</v>
      </c>
      <c r="F25" s="11"/>
      <c r="G25" s="11" t="s">
        <v>94</v>
      </c>
      <c r="H25" s="3"/>
      <c r="I25" s="11" t="s">
        <v>90</v>
      </c>
      <c r="J25" s="11"/>
      <c r="K25" s="11"/>
      <c r="L25" s="11"/>
      <c r="M25" s="11"/>
      <c r="N25" s="2">
        <v>1.25</v>
      </c>
      <c r="O25" s="2"/>
      <c r="P25" s="2"/>
      <c r="Q25" s="2"/>
      <c r="R25" s="11"/>
      <c r="S25" s="11" t="s">
        <v>115</v>
      </c>
      <c r="T25" s="11" t="s">
        <v>85</v>
      </c>
      <c r="U25" s="11"/>
      <c r="V25" s="11"/>
      <c r="W25" s="11"/>
      <c r="X25" s="11"/>
      <c r="Y25" s="11"/>
      <c r="Z25" s="11"/>
      <c r="AA25" s="11"/>
      <c r="AB25" s="9"/>
      <c r="AC25" s="2"/>
      <c r="AD25" s="9"/>
      <c r="AE25" s="2"/>
      <c r="AF25" s="9"/>
      <c r="AG25" s="10"/>
      <c r="AH25" s="11"/>
      <c r="AI25" s="11" t="s">
        <v>86</v>
      </c>
      <c r="AJ25" s="11"/>
      <c r="AK25" s="2"/>
      <c r="AL25" s="11"/>
      <c r="AM25" s="11"/>
      <c r="AN25" s="11"/>
      <c r="AO25" s="2"/>
      <c r="AP25" s="3"/>
      <c r="AQ25" s="11"/>
      <c r="AR25" s="3"/>
      <c r="AS25" s="2"/>
      <c r="AT25" s="11"/>
      <c r="AU25" s="2"/>
      <c r="AV25" s="2"/>
      <c r="AW25" s="2"/>
      <c r="AX25" s="11"/>
      <c r="AY25" s="11"/>
      <c r="AZ25" s="9"/>
      <c r="BA25" s="2">
        <v>1875</v>
      </c>
      <c r="BB25" s="11"/>
      <c r="BC25" s="11"/>
      <c r="BD25" s="11"/>
      <c r="BE25" s="11"/>
      <c r="BF25" s="11"/>
      <c r="BG25" s="11"/>
      <c r="BH25" s="11"/>
      <c r="BI25" s="11"/>
      <c r="BJ25" s="11" t="s">
        <v>87</v>
      </c>
      <c r="BK25" s="10">
        <v>46303.805902777778</v>
      </c>
      <c r="BL25" s="11"/>
      <c r="BM25" s="11"/>
      <c r="BN25" s="10">
        <v>46303.625</v>
      </c>
      <c r="BO25" s="11"/>
      <c r="BP25" s="11"/>
      <c r="BQ25" s="11"/>
      <c r="BR25" s="11"/>
      <c r="BS25" s="11"/>
      <c r="BT25" s="11"/>
      <c r="BU25" s="11"/>
      <c r="BV25" s="2"/>
      <c r="BW25" s="11"/>
    </row>
    <row r="26" spans="1:75" ht="30" x14ac:dyDescent="0.25">
      <c r="A26" s="2">
        <v>6200024</v>
      </c>
      <c r="B26" s="10">
        <v>46303.805902777778</v>
      </c>
      <c r="C26" s="11" t="s">
        <v>82</v>
      </c>
      <c r="D26" s="11"/>
      <c r="E26" s="11" t="s">
        <v>83</v>
      </c>
      <c r="F26" s="11"/>
      <c r="G26" s="11" t="s">
        <v>593</v>
      </c>
      <c r="H26" s="3"/>
      <c r="I26" s="11" t="s">
        <v>75</v>
      </c>
      <c r="J26" s="11"/>
      <c r="K26" s="11"/>
      <c r="L26" s="11"/>
      <c r="M26" s="11"/>
      <c r="N26" s="2">
        <v>1.25</v>
      </c>
      <c r="O26" s="2"/>
      <c r="P26" s="2"/>
      <c r="Q26" s="2"/>
      <c r="R26" s="11"/>
      <c r="S26" s="11" t="s">
        <v>116</v>
      </c>
      <c r="T26" s="11" t="s">
        <v>85</v>
      </c>
      <c r="U26" s="11"/>
      <c r="V26" s="11"/>
      <c r="W26" s="11"/>
      <c r="X26" s="11"/>
      <c r="Y26" s="11"/>
      <c r="Z26" s="11"/>
      <c r="AA26" s="11"/>
      <c r="AB26" s="9"/>
      <c r="AC26" s="2"/>
      <c r="AD26" s="9"/>
      <c r="AE26" s="2"/>
      <c r="AF26" s="9"/>
      <c r="AG26" s="10"/>
      <c r="AH26" s="11"/>
      <c r="AI26" s="11" t="s">
        <v>86</v>
      </c>
      <c r="AJ26" s="11"/>
      <c r="AK26" s="2"/>
      <c r="AL26" s="11"/>
      <c r="AM26" s="11"/>
      <c r="AN26" s="11"/>
      <c r="AO26" s="2"/>
      <c r="AP26" s="3"/>
      <c r="AQ26" s="11"/>
      <c r="AR26" s="3"/>
      <c r="AS26" s="2"/>
      <c r="AT26" s="11"/>
      <c r="AU26" s="2"/>
      <c r="AV26" s="2"/>
      <c r="AW26" s="2"/>
      <c r="AX26" s="11"/>
      <c r="AY26" s="11"/>
      <c r="AZ26" s="9"/>
      <c r="BA26" s="2">
        <v>1875</v>
      </c>
      <c r="BB26" s="11"/>
      <c r="BC26" s="11"/>
      <c r="BD26" s="11"/>
      <c r="BE26" s="11"/>
      <c r="BF26" s="11"/>
      <c r="BG26" s="11"/>
      <c r="BH26" s="11"/>
      <c r="BI26" s="11"/>
      <c r="BJ26" s="11" t="s">
        <v>87</v>
      </c>
      <c r="BK26" s="10">
        <v>46303.805902777778</v>
      </c>
      <c r="BL26" s="11"/>
      <c r="BM26" s="11"/>
      <c r="BN26" s="10">
        <v>46303.625</v>
      </c>
      <c r="BO26" s="11"/>
      <c r="BP26" s="11"/>
      <c r="BQ26" s="11"/>
      <c r="BR26" s="11"/>
      <c r="BS26" s="11"/>
      <c r="BT26" s="11"/>
      <c r="BU26" s="11"/>
      <c r="BV26" s="2"/>
      <c r="BW26" s="11"/>
    </row>
    <row r="27" spans="1:75" ht="30" x14ac:dyDescent="0.25">
      <c r="A27" s="2">
        <v>6200025</v>
      </c>
      <c r="B27" s="10">
        <v>46303.805902777778</v>
      </c>
      <c r="C27" s="11" t="s">
        <v>82</v>
      </c>
      <c r="D27" s="11"/>
      <c r="E27" s="11" t="s">
        <v>88</v>
      </c>
      <c r="F27" s="11"/>
      <c r="G27" s="11" t="s">
        <v>592</v>
      </c>
      <c r="H27" s="3"/>
      <c r="I27" s="11" t="s">
        <v>75</v>
      </c>
      <c r="J27" s="11"/>
      <c r="K27" s="11"/>
      <c r="L27" s="11"/>
      <c r="M27" s="11"/>
      <c r="N27" s="2">
        <v>1.25</v>
      </c>
      <c r="O27" s="2"/>
      <c r="P27" s="2"/>
      <c r="Q27" s="2"/>
      <c r="R27" s="11"/>
      <c r="S27" s="11" t="s">
        <v>117</v>
      </c>
      <c r="T27" s="11" t="s">
        <v>85</v>
      </c>
      <c r="U27" s="11"/>
      <c r="V27" s="11"/>
      <c r="W27" s="11"/>
      <c r="X27" s="11"/>
      <c r="Y27" s="11"/>
      <c r="Z27" s="11"/>
      <c r="AA27" s="11"/>
      <c r="AB27" s="9"/>
      <c r="AC27" s="2"/>
      <c r="AD27" s="9"/>
      <c r="AE27" s="2"/>
      <c r="AF27" s="9"/>
      <c r="AG27" s="10"/>
      <c r="AH27" s="11"/>
      <c r="AI27" s="11" t="s">
        <v>86</v>
      </c>
      <c r="AJ27" s="11"/>
      <c r="AK27" s="2"/>
      <c r="AL27" s="11"/>
      <c r="AM27" s="11"/>
      <c r="AN27" s="11"/>
      <c r="AO27" s="2"/>
      <c r="AP27" s="3"/>
      <c r="AQ27" s="11"/>
      <c r="AR27" s="3"/>
      <c r="AS27" s="2"/>
      <c r="AT27" s="11"/>
      <c r="AU27" s="2"/>
      <c r="AV27" s="2"/>
      <c r="AW27" s="2"/>
      <c r="AX27" s="11"/>
      <c r="AY27" s="11"/>
      <c r="AZ27" s="9"/>
      <c r="BA27" s="2">
        <v>1875</v>
      </c>
      <c r="BB27" s="11"/>
      <c r="BC27" s="11"/>
      <c r="BD27" s="11"/>
      <c r="BE27" s="11"/>
      <c r="BF27" s="11"/>
      <c r="BG27" s="11"/>
      <c r="BH27" s="11"/>
      <c r="BI27" s="11"/>
      <c r="BJ27" s="11" t="s">
        <v>87</v>
      </c>
      <c r="BK27" s="10">
        <v>46303.805902777778</v>
      </c>
      <c r="BL27" s="11"/>
      <c r="BM27" s="11"/>
      <c r="BN27" s="10">
        <v>46303.625</v>
      </c>
      <c r="BO27" s="11"/>
      <c r="BP27" s="11"/>
      <c r="BQ27" s="11"/>
      <c r="BR27" s="11"/>
      <c r="BS27" s="11"/>
      <c r="BT27" s="11"/>
      <c r="BU27" s="11"/>
      <c r="BV27" s="2"/>
      <c r="BW27" s="11"/>
    </row>
    <row r="28" spans="1:75" ht="30" x14ac:dyDescent="0.25">
      <c r="A28" s="2">
        <v>6200026</v>
      </c>
      <c r="B28" s="10">
        <v>46303.805902777778</v>
      </c>
      <c r="C28" s="11" t="s">
        <v>82</v>
      </c>
      <c r="D28" s="11"/>
      <c r="E28" s="11" t="s">
        <v>92</v>
      </c>
      <c r="F28" s="11"/>
      <c r="G28" s="11" t="s">
        <v>89</v>
      </c>
      <c r="H28" s="3"/>
      <c r="I28" s="11" t="s">
        <v>90</v>
      </c>
      <c r="J28" s="11"/>
      <c r="K28" s="11"/>
      <c r="L28" s="11"/>
      <c r="M28" s="11"/>
      <c r="N28" s="2">
        <v>1.25</v>
      </c>
      <c r="O28" s="2"/>
      <c r="P28" s="2"/>
      <c r="Q28" s="2"/>
      <c r="R28" s="11"/>
      <c r="S28" s="11" t="s">
        <v>118</v>
      </c>
      <c r="T28" s="11" t="s">
        <v>85</v>
      </c>
      <c r="U28" s="11"/>
      <c r="V28" s="11"/>
      <c r="W28" s="11"/>
      <c r="X28" s="11"/>
      <c r="Y28" s="11"/>
      <c r="Z28" s="11"/>
      <c r="AA28" s="11"/>
      <c r="AB28" s="9"/>
      <c r="AC28" s="2"/>
      <c r="AD28" s="9"/>
      <c r="AE28" s="2"/>
      <c r="AF28" s="9"/>
      <c r="AG28" s="10"/>
      <c r="AH28" s="11"/>
      <c r="AI28" s="11" t="s">
        <v>86</v>
      </c>
      <c r="AJ28" s="11"/>
      <c r="AK28" s="2"/>
      <c r="AL28" s="11"/>
      <c r="AM28" s="11"/>
      <c r="AN28" s="11"/>
      <c r="AO28" s="2"/>
      <c r="AP28" s="3"/>
      <c r="AQ28" s="11"/>
      <c r="AR28" s="3"/>
      <c r="AS28" s="2"/>
      <c r="AT28" s="11"/>
      <c r="AU28" s="2"/>
      <c r="AV28" s="2"/>
      <c r="AW28" s="2"/>
      <c r="AX28" s="11"/>
      <c r="AY28" s="11"/>
      <c r="AZ28" s="9"/>
      <c r="BA28" s="2">
        <v>1875</v>
      </c>
      <c r="BB28" s="11"/>
      <c r="BC28" s="11"/>
      <c r="BD28" s="11"/>
      <c r="BE28" s="11"/>
      <c r="BF28" s="11"/>
      <c r="BG28" s="11"/>
      <c r="BH28" s="11"/>
      <c r="BI28" s="11"/>
      <c r="BJ28" s="11" t="s">
        <v>87</v>
      </c>
      <c r="BK28" s="10">
        <v>46303.805902777778</v>
      </c>
      <c r="BL28" s="11"/>
      <c r="BM28" s="11"/>
      <c r="BN28" s="10">
        <v>46303.625</v>
      </c>
      <c r="BO28" s="11"/>
      <c r="BP28" s="11"/>
      <c r="BQ28" s="11"/>
      <c r="BR28" s="11"/>
      <c r="BS28" s="11"/>
      <c r="BT28" s="11"/>
      <c r="BU28" s="11"/>
      <c r="BV28" s="2"/>
      <c r="BW28" s="11"/>
    </row>
    <row r="29" spans="1:75" ht="30" x14ac:dyDescent="0.25">
      <c r="A29" s="2">
        <v>6200027</v>
      </c>
      <c r="B29" s="10">
        <v>46303.805902777778</v>
      </c>
      <c r="C29" s="11" t="s">
        <v>82</v>
      </c>
      <c r="D29" s="11"/>
      <c r="E29" s="11" t="s">
        <v>83</v>
      </c>
      <c r="F29" s="11"/>
      <c r="G29" s="2">
        <v>470123456</v>
      </c>
      <c r="H29" s="3"/>
      <c r="I29" s="11" t="s">
        <v>75</v>
      </c>
      <c r="J29" s="11"/>
      <c r="K29" s="11"/>
      <c r="L29" s="11"/>
      <c r="M29" s="11"/>
      <c r="N29" s="2">
        <v>1.25</v>
      </c>
      <c r="O29" s="2"/>
      <c r="P29" s="2"/>
      <c r="Q29" s="2"/>
      <c r="R29" s="11"/>
      <c r="S29" s="11" t="s">
        <v>119</v>
      </c>
      <c r="T29" s="11" t="s">
        <v>85</v>
      </c>
      <c r="U29" s="11"/>
      <c r="V29" s="11"/>
      <c r="W29" s="11"/>
      <c r="X29" s="11"/>
      <c r="Y29" s="11"/>
      <c r="Z29" s="11"/>
      <c r="AA29" s="11"/>
      <c r="AB29" s="9"/>
      <c r="AC29" s="2"/>
      <c r="AD29" s="9"/>
      <c r="AE29" s="2"/>
      <c r="AF29" s="9"/>
      <c r="AG29" s="10"/>
      <c r="AH29" s="11"/>
      <c r="AI29" s="11" t="s">
        <v>86</v>
      </c>
      <c r="AJ29" s="11"/>
      <c r="AK29" s="2"/>
      <c r="AL29" s="11"/>
      <c r="AM29" s="11"/>
      <c r="AN29" s="11"/>
      <c r="AO29" s="2"/>
      <c r="AP29" s="3"/>
      <c r="AQ29" s="11"/>
      <c r="AR29" s="3"/>
      <c r="AS29" s="2"/>
      <c r="AT29" s="11"/>
      <c r="AU29" s="2"/>
      <c r="AV29" s="2"/>
      <c r="AW29" s="2"/>
      <c r="AX29" s="11"/>
      <c r="AY29" s="11"/>
      <c r="AZ29" s="9"/>
      <c r="BA29" s="2">
        <v>1875</v>
      </c>
      <c r="BB29" s="11"/>
      <c r="BC29" s="11"/>
      <c r="BD29" s="11"/>
      <c r="BE29" s="11"/>
      <c r="BF29" s="11"/>
      <c r="BG29" s="11"/>
      <c r="BH29" s="11"/>
      <c r="BI29" s="11"/>
      <c r="BJ29" s="11" t="s">
        <v>87</v>
      </c>
      <c r="BK29" s="10">
        <v>46303.805902777778</v>
      </c>
      <c r="BL29" s="11"/>
      <c r="BM29" s="11"/>
      <c r="BN29" s="10">
        <v>46303.625</v>
      </c>
      <c r="BO29" s="11"/>
      <c r="BP29" s="11"/>
      <c r="BQ29" s="11"/>
      <c r="BR29" s="11"/>
      <c r="BS29" s="11"/>
      <c r="BT29" s="11"/>
      <c r="BU29" s="11"/>
      <c r="BV29" s="2"/>
      <c r="BW29" s="11"/>
    </row>
    <row r="30" spans="1:75" ht="30" x14ac:dyDescent="0.25">
      <c r="A30" s="2">
        <v>6200028</v>
      </c>
      <c r="B30" s="10">
        <v>46303.805902777778</v>
      </c>
      <c r="C30" s="11" t="s">
        <v>82</v>
      </c>
      <c r="D30" s="11"/>
      <c r="E30" s="11" t="s">
        <v>88</v>
      </c>
      <c r="F30" s="11"/>
      <c r="G30" s="11" t="s">
        <v>94</v>
      </c>
      <c r="H30" s="3"/>
      <c r="I30" s="11" t="s">
        <v>90</v>
      </c>
      <c r="J30" s="11"/>
      <c r="K30" s="11"/>
      <c r="L30" s="11"/>
      <c r="M30" s="11"/>
      <c r="N30" s="2">
        <v>1.25</v>
      </c>
      <c r="O30" s="2"/>
      <c r="P30" s="2"/>
      <c r="Q30" s="2"/>
      <c r="R30" s="11"/>
      <c r="S30" s="11" t="s">
        <v>120</v>
      </c>
      <c r="T30" s="11" t="s">
        <v>85</v>
      </c>
      <c r="U30" s="11"/>
      <c r="V30" s="11"/>
      <c r="W30" s="11"/>
      <c r="X30" s="11"/>
      <c r="Y30" s="11"/>
      <c r="Z30" s="11"/>
      <c r="AA30" s="11"/>
      <c r="AB30" s="9"/>
      <c r="AC30" s="2"/>
      <c r="AD30" s="9"/>
      <c r="AE30" s="2"/>
      <c r="AF30" s="9"/>
      <c r="AG30" s="10"/>
      <c r="AH30" s="11"/>
      <c r="AI30" s="11" t="s">
        <v>86</v>
      </c>
      <c r="AJ30" s="11"/>
      <c r="AK30" s="2"/>
      <c r="AL30" s="11"/>
      <c r="AM30" s="11"/>
      <c r="AN30" s="11"/>
      <c r="AO30" s="2"/>
      <c r="AP30" s="3"/>
      <c r="AQ30" s="11"/>
      <c r="AR30" s="3"/>
      <c r="AS30" s="2"/>
      <c r="AT30" s="11"/>
      <c r="AU30" s="2"/>
      <c r="AV30" s="2"/>
      <c r="AW30" s="2"/>
      <c r="AX30" s="11"/>
      <c r="AY30" s="11"/>
      <c r="AZ30" s="9"/>
      <c r="BA30" s="2">
        <v>1875</v>
      </c>
      <c r="BB30" s="11"/>
      <c r="BC30" s="11"/>
      <c r="BD30" s="11"/>
      <c r="BE30" s="11"/>
      <c r="BF30" s="11"/>
      <c r="BG30" s="11"/>
      <c r="BH30" s="11"/>
      <c r="BI30" s="11"/>
      <c r="BJ30" s="11" t="s">
        <v>87</v>
      </c>
      <c r="BK30" s="10">
        <v>46303.805902777778</v>
      </c>
      <c r="BL30" s="11"/>
      <c r="BM30" s="11"/>
      <c r="BN30" s="10">
        <v>46303.625</v>
      </c>
      <c r="BO30" s="11"/>
      <c r="BP30" s="11"/>
      <c r="BQ30" s="11"/>
      <c r="BR30" s="11"/>
      <c r="BS30" s="11"/>
      <c r="BT30" s="11"/>
      <c r="BU30" s="11"/>
      <c r="BV30" s="2"/>
      <c r="BW30" s="11"/>
    </row>
    <row r="31" spans="1:75" ht="30" x14ac:dyDescent="0.25">
      <c r="A31" s="2">
        <v>6200029</v>
      </c>
      <c r="B31" s="10">
        <v>46303.805902777778</v>
      </c>
      <c r="C31" s="11" t="s">
        <v>82</v>
      </c>
      <c r="D31" s="11"/>
      <c r="E31" s="11" t="s">
        <v>92</v>
      </c>
      <c r="F31" s="11"/>
      <c r="G31" s="11" t="s">
        <v>593</v>
      </c>
      <c r="H31" s="3"/>
      <c r="I31" s="11" t="s">
        <v>75</v>
      </c>
      <c r="J31" s="11"/>
      <c r="K31" s="11"/>
      <c r="L31" s="11"/>
      <c r="M31" s="11"/>
      <c r="N31" s="2">
        <v>1.25</v>
      </c>
      <c r="O31" s="2"/>
      <c r="P31" s="2"/>
      <c r="Q31" s="2"/>
      <c r="R31" s="11"/>
      <c r="S31" s="11" t="s">
        <v>121</v>
      </c>
      <c r="T31" s="11" t="s">
        <v>85</v>
      </c>
      <c r="U31" s="11"/>
      <c r="V31" s="11"/>
      <c r="W31" s="11"/>
      <c r="X31" s="11"/>
      <c r="Y31" s="11"/>
      <c r="Z31" s="11"/>
      <c r="AA31" s="11"/>
      <c r="AB31" s="9"/>
      <c r="AC31" s="2"/>
      <c r="AD31" s="9"/>
      <c r="AE31" s="2"/>
      <c r="AF31" s="9"/>
      <c r="AG31" s="10"/>
      <c r="AH31" s="11"/>
      <c r="AI31" s="11" t="s">
        <v>86</v>
      </c>
      <c r="AJ31" s="11"/>
      <c r="AK31" s="2"/>
      <c r="AL31" s="11"/>
      <c r="AM31" s="11"/>
      <c r="AN31" s="11"/>
      <c r="AO31" s="2"/>
      <c r="AP31" s="3"/>
      <c r="AQ31" s="11"/>
      <c r="AR31" s="3"/>
      <c r="AS31" s="2"/>
      <c r="AT31" s="11"/>
      <c r="AU31" s="2"/>
      <c r="AV31" s="2"/>
      <c r="AW31" s="2"/>
      <c r="AX31" s="11"/>
      <c r="AY31" s="11"/>
      <c r="AZ31" s="9"/>
      <c r="BA31" s="2">
        <v>1875</v>
      </c>
      <c r="BB31" s="11"/>
      <c r="BC31" s="11"/>
      <c r="BD31" s="11"/>
      <c r="BE31" s="11"/>
      <c r="BF31" s="11"/>
      <c r="BG31" s="11"/>
      <c r="BH31" s="11"/>
      <c r="BI31" s="11"/>
      <c r="BJ31" s="11" t="s">
        <v>87</v>
      </c>
      <c r="BK31" s="10">
        <v>46303.805902777778</v>
      </c>
      <c r="BL31" s="11"/>
      <c r="BM31" s="11"/>
      <c r="BN31" s="10">
        <v>46303.625</v>
      </c>
      <c r="BO31" s="11"/>
      <c r="BP31" s="11"/>
      <c r="BQ31" s="11"/>
      <c r="BR31" s="11"/>
      <c r="BS31" s="11"/>
      <c r="BT31" s="11"/>
      <c r="BU31" s="11"/>
      <c r="BV31" s="2"/>
      <c r="BW31" s="11"/>
    </row>
    <row r="32" spans="1:75" ht="30" x14ac:dyDescent="0.25">
      <c r="A32" s="2">
        <v>6200030</v>
      </c>
      <c r="B32" s="10">
        <v>46303.805902777778</v>
      </c>
      <c r="C32" s="11" t="s">
        <v>82</v>
      </c>
      <c r="D32" s="11"/>
      <c r="E32" s="11" t="s">
        <v>83</v>
      </c>
      <c r="F32" s="11"/>
      <c r="G32" s="11" t="s">
        <v>592</v>
      </c>
      <c r="H32" s="3"/>
      <c r="I32" s="11" t="s">
        <v>75</v>
      </c>
      <c r="J32" s="11"/>
      <c r="K32" s="11"/>
      <c r="L32" s="11"/>
      <c r="M32" s="11"/>
      <c r="N32" s="2">
        <v>1.25</v>
      </c>
      <c r="O32" s="2"/>
      <c r="P32" s="2"/>
      <c r="Q32" s="2"/>
      <c r="R32" s="11"/>
      <c r="S32" s="11" t="s">
        <v>122</v>
      </c>
      <c r="T32" s="11" t="s">
        <v>85</v>
      </c>
      <c r="U32" s="11"/>
      <c r="V32" s="11"/>
      <c r="W32" s="11"/>
      <c r="X32" s="11"/>
      <c r="Y32" s="11"/>
      <c r="Z32" s="11"/>
      <c r="AA32" s="11"/>
      <c r="AB32" s="9"/>
      <c r="AC32" s="2"/>
      <c r="AD32" s="9"/>
      <c r="AE32" s="2"/>
      <c r="AF32" s="9"/>
      <c r="AG32" s="10"/>
      <c r="AH32" s="11"/>
      <c r="AI32" s="11" t="s">
        <v>86</v>
      </c>
      <c r="AJ32" s="11"/>
      <c r="AK32" s="2"/>
      <c r="AL32" s="11"/>
      <c r="AM32" s="11"/>
      <c r="AN32" s="11"/>
      <c r="AO32" s="2"/>
      <c r="AP32" s="3"/>
      <c r="AQ32" s="11"/>
      <c r="AR32" s="3"/>
      <c r="AS32" s="2"/>
      <c r="AT32" s="11"/>
      <c r="AU32" s="2"/>
      <c r="AV32" s="2"/>
      <c r="AW32" s="2"/>
      <c r="AX32" s="11"/>
      <c r="AY32" s="11"/>
      <c r="AZ32" s="9"/>
      <c r="BA32" s="2">
        <v>1875</v>
      </c>
      <c r="BB32" s="11"/>
      <c r="BC32" s="11"/>
      <c r="BD32" s="11"/>
      <c r="BE32" s="11"/>
      <c r="BF32" s="11"/>
      <c r="BG32" s="11"/>
      <c r="BH32" s="11"/>
      <c r="BI32" s="11"/>
      <c r="BJ32" s="11" t="s">
        <v>87</v>
      </c>
      <c r="BK32" s="10">
        <v>46303.805902777778</v>
      </c>
      <c r="BL32" s="11"/>
      <c r="BM32" s="11"/>
      <c r="BN32" s="10">
        <v>46303.625</v>
      </c>
      <c r="BO32" s="11"/>
      <c r="BP32" s="11"/>
      <c r="BQ32" s="11"/>
      <c r="BR32" s="11"/>
      <c r="BS32" s="11"/>
      <c r="BT32" s="11"/>
      <c r="BU32" s="11"/>
      <c r="BV32" s="2"/>
      <c r="BW32" s="11"/>
    </row>
    <row r="33" spans="1:75" ht="30" x14ac:dyDescent="0.25">
      <c r="A33" s="2">
        <v>6200031</v>
      </c>
      <c r="B33" s="10">
        <v>46303.805902777778</v>
      </c>
      <c r="C33" s="11" t="s">
        <v>82</v>
      </c>
      <c r="D33" s="11"/>
      <c r="E33" s="11" t="s">
        <v>88</v>
      </c>
      <c r="F33" s="11"/>
      <c r="G33" s="11" t="s">
        <v>89</v>
      </c>
      <c r="H33" s="3"/>
      <c r="I33" s="11" t="s">
        <v>90</v>
      </c>
      <c r="J33" s="11"/>
      <c r="K33" s="11"/>
      <c r="L33" s="11"/>
      <c r="M33" s="11"/>
      <c r="N33" s="2">
        <v>1.25</v>
      </c>
      <c r="O33" s="2"/>
      <c r="P33" s="2"/>
      <c r="Q33" s="2"/>
      <c r="R33" s="11"/>
      <c r="S33" s="11" t="s">
        <v>123</v>
      </c>
      <c r="T33" s="11" t="s">
        <v>85</v>
      </c>
      <c r="U33" s="11"/>
      <c r="V33" s="11"/>
      <c r="W33" s="11"/>
      <c r="X33" s="11"/>
      <c r="Y33" s="11"/>
      <c r="Z33" s="11"/>
      <c r="AA33" s="11"/>
      <c r="AB33" s="9"/>
      <c r="AC33" s="2"/>
      <c r="AD33" s="9"/>
      <c r="AE33" s="2"/>
      <c r="AF33" s="9"/>
      <c r="AG33" s="10"/>
      <c r="AH33" s="11"/>
      <c r="AI33" s="11" t="s">
        <v>86</v>
      </c>
      <c r="AJ33" s="11"/>
      <c r="AK33" s="2"/>
      <c r="AL33" s="11"/>
      <c r="AM33" s="11"/>
      <c r="AN33" s="11"/>
      <c r="AO33" s="2"/>
      <c r="AP33" s="3"/>
      <c r="AQ33" s="11"/>
      <c r="AR33" s="3"/>
      <c r="AS33" s="2"/>
      <c r="AT33" s="11"/>
      <c r="AU33" s="2"/>
      <c r="AV33" s="2"/>
      <c r="AW33" s="2"/>
      <c r="AX33" s="11"/>
      <c r="AY33" s="11"/>
      <c r="AZ33" s="9"/>
      <c r="BA33" s="2">
        <v>1875</v>
      </c>
      <c r="BB33" s="11"/>
      <c r="BC33" s="11"/>
      <c r="BD33" s="11"/>
      <c r="BE33" s="11"/>
      <c r="BF33" s="11"/>
      <c r="BG33" s="11"/>
      <c r="BH33" s="11"/>
      <c r="BI33" s="11"/>
      <c r="BJ33" s="11" t="s">
        <v>87</v>
      </c>
      <c r="BK33" s="10">
        <v>46303.805902777778</v>
      </c>
      <c r="BL33" s="11"/>
      <c r="BM33" s="11"/>
      <c r="BN33" s="10">
        <v>46303.625</v>
      </c>
      <c r="BO33" s="11"/>
      <c r="BP33" s="11"/>
      <c r="BQ33" s="11"/>
      <c r="BR33" s="11"/>
      <c r="BS33" s="11"/>
      <c r="BT33" s="11"/>
      <c r="BU33" s="11"/>
      <c r="BV33" s="2"/>
      <c r="BW33" s="11"/>
    </row>
    <row r="34" spans="1:75" ht="30" x14ac:dyDescent="0.25">
      <c r="A34" s="2">
        <v>6200032</v>
      </c>
      <c r="B34" s="10">
        <v>46303.805902777778</v>
      </c>
      <c r="C34" s="11" t="s">
        <v>82</v>
      </c>
      <c r="D34" s="11"/>
      <c r="E34" s="11" t="s">
        <v>92</v>
      </c>
      <c r="F34" s="11"/>
      <c r="G34" s="2">
        <v>470123456</v>
      </c>
      <c r="H34" s="3"/>
      <c r="I34" s="11" t="s">
        <v>75</v>
      </c>
      <c r="J34" s="11"/>
      <c r="K34" s="11"/>
      <c r="L34" s="11"/>
      <c r="M34" s="11"/>
      <c r="N34" s="2">
        <v>1.25</v>
      </c>
      <c r="O34" s="2"/>
      <c r="P34" s="2"/>
      <c r="Q34" s="2"/>
      <c r="R34" s="11"/>
      <c r="S34" s="11" t="s">
        <v>124</v>
      </c>
      <c r="T34" s="11" t="s">
        <v>85</v>
      </c>
      <c r="U34" s="11"/>
      <c r="V34" s="11"/>
      <c r="W34" s="11"/>
      <c r="X34" s="11"/>
      <c r="Y34" s="11"/>
      <c r="Z34" s="11"/>
      <c r="AA34" s="11"/>
      <c r="AB34" s="9"/>
      <c r="AC34" s="2"/>
      <c r="AD34" s="9"/>
      <c r="AE34" s="2"/>
      <c r="AF34" s="9"/>
      <c r="AG34" s="10"/>
      <c r="AH34" s="11"/>
      <c r="AI34" s="11" t="s">
        <v>86</v>
      </c>
      <c r="AJ34" s="11"/>
      <c r="AK34" s="2"/>
      <c r="AL34" s="11"/>
      <c r="AM34" s="11"/>
      <c r="AN34" s="11"/>
      <c r="AO34" s="2"/>
      <c r="AP34" s="3"/>
      <c r="AQ34" s="11"/>
      <c r="AR34" s="3"/>
      <c r="AS34" s="2"/>
      <c r="AT34" s="11"/>
      <c r="AU34" s="2"/>
      <c r="AV34" s="2"/>
      <c r="AW34" s="2"/>
      <c r="AX34" s="11"/>
      <c r="AY34" s="11"/>
      <c r="AZ34" s="9"/>
      <c r="BA34" s="2">
        <v>1875</v>
      </c>
      <c r="BB34" s="11"/>
      <c r="BC34" s="11"/>
      <c r="BD34" s="11"/>
      <c r="BE34" s="11"/>
      <c r="BF34" s="11"/>
      <c r="BG34" s="11"/>
      <c r="BH34" s="11"/>
      <c r="BI34" s="11"/>
      <c r="BJ34" s="11" t="s">
        <v>87</v>
      </c>
      <c r="BK34" s="10">
        <v>46303.805902777778</v>
      </c>
      <c r="BL34" s="11"/>
      <c r="BM34" s="11"/>
      <c r="BN34" s="10">
        <v>46303.625</v>
      </c>
      <c r="BO34" s="11"/>
      <c r="BP34" s="11"/>
      <c r="BQ34" s="11"/>
      <c r="BR34" s="11"/>
      <c r="BS34" s="11"/>
      <c r="BT34" s="11"/>
      <c r="BU34" s="11"/>
      <c r="BV34" s="2"/>
      <c r="BW34" s="11"/>
    </row>
    <row r="35" spans="1:75" ht="30" x14ac:dyDescent="0.25">
      <c r="A35" s="2">
        <v>6200033</v>
      </c>
      <c r="B35" s="10">
        <v>46303.805902777778</v>
      </c>
      <c r="C35" s="11" t="s">
        <v>82</v>
      </c>
      <c r="D35" s="11"/>
      <c r="E35" s="11" t="s">
        <v>83</v>
      </c>
      <c r="F35" s="11"/>
      <c r="G35" s="11" t="s">
        <v>94</v>
      </c>
      <c r="H35" s="3"/>
      <c r="I35" s="11" t="s">
        <v>90</v>
      </c>
      <c r="J35" s="11"/>
      <c r="K35" s="11"/>
      <c r="L35" s="11"/>
      <c r="M35" s="11"/>
      <c r="N35" s="2">
        <v>1.25</v>
      </c>
      <c r="O35" s="2"/>
      <c r="P35" s="2"/>
      <c r="Q35" s="2"/>
      <c r="R35" s="11"/>
      <c r="S35" s="11" t="s">
        <v>125</v>
      </c>
      <c r="T35" s="11" t="s">
        <v>85</v>
      </c>
      <c r="U35" s="11"/>
      <c r="V35" s="11"/>
      <c r="W35" s="11"/>
      <c r="X35" s="11"/>
      <c r="Y35" s="11"/>
      <c r="Z35" s="11"/>
      <c r="AA35" s="11"/>
      <c r="AB35" s="9"/>
      <c r="AC35" s="2"/>
      <c r="AD35" s="9"/>
      <c r="AE35" s="2"/>
      <c r="AF35" s="9"/>
      <c r="AG35" s="10"/>
      <c r="AH35" s="11"/>
      <c r="AI35" s="11" t="s">
        <v>86</v>
      </c>
      <c r="AJ35" s="11"/>
      <c r="AK35" s="2"/>
      <c r="AL35" s="11"/>
      <c r="AM35" s="11"/>
      <c r="AN35" s="11"/>
      <c r="AO35" s="2"/>
      <c r="AP35" s="3"/>
      <c r="AQ35" s="11"/>
      <c r="AR35" s="3"/>
      <c r="AS35" s="2"/>
      <c r="AT35" s="11"/>
      <c r="AU35" s="2"/>
      <c r="AV35" s="2"/>
      <c r="AW35" s="2"/>
      <c r="AX35" s="11"/>
      <c r="AY35" s="11"/>
      <c r="AZ35" s="9"/>
      <c r="BA35" s="2">
        <v>1875</v>
      </c>
      <c r="BB35" s="11"/>
      <c r="BC35" s="11"/>
      <c r="BD35" s="11"/>
      <c r="BE35" s="11"/>
      <c r="BF35" s="11"/>
      <c r="BG35" s="11"/>
      <c r="BH35" s="11"/>
      <c r="BI35" s="11"/>
      <c r="BJ35" s="11" t="s">
        <v>87</v>
      </c>
      <c r="BK35" s="10">
        <v>46303.805902777778</v>
      </c>
      <c r="BL35" s="11"/>
      <c r="BM35" s="11"/>
      <c r="BN35" s="10">
        <v>46303.625</v>
      </c>
      <c r="BO35" s="11"/>
      <c r="BP35" s="11"/>
      <c r="BQ35" s="11"/>
      <c r="BR35" s="11"/>
      <c r="BS35" s="11"/>
      <c r="BT35" s="11"/>
      <c r="BU35" s="11"/>
      <c r="BV35" s="2"/>
      <c r="BW35" s="11"/>
    </row>
    <row r="36" spans="1:75" ht="30" x14ac:dyDescent="0.25">
      <c r="A36" s="2">
        <v>6200034</v>
      </c>
      <c r="B36" s="10">
        <v>46303.805902777778</v>
      </c>
      <c r="C36" s="11" t="s">
        <v>82</v>
      </c>
      <c r="D36" s="11"/>
      <c r="E36" s="11" t="s">
        <v>88</v>
      </c>
      <c r="F36" s="11"/>
      <c r="G36" s="11" t="s">
        <v>593</v>
      </c>
      <c r="H36" s="3"/>
      <c r="I36" s="11" t="s">
        <v>75</v>
      </c>
      <c r="J36" s="11"/>
      <c r="K36" s="11"/>
      <c r="L36" s="11"/>
      <c r="M36" s="11"/>
      <c r="N36" s="2">
        <v>1.25</v>
      </c>
      <c r="O36" s="2"/>
      <c r="P36" s="2"/>
      <c r="Q36" s="2"/>
      <c r="R36" s="11"/>
      <c r="S36" s="11" t="s">
        <v>126</v>
      </c>
      <c r="T36" s="11" t="s">
        <v>85</v>
      </c>
      <c r="U36" s="11"/>
      <c r="V36" s="11"/>
      <c r="W36" s="11"/>
      <c r="X36" s="11"/>
      <c r="Y36" s="11"/>
      <c r="Z36" s="11"/>
      <c r="AA36" s="11"/>
      <c r="AB36" s="9"/>
      <c r="AC36" s="2"/>
      <c r="AD36" s="9"/>
      <c r="AE36" s="2"/>
      <c r="AF36" s="9"/>
      <c r="AG36" s="10"/>
      <c r="AH36" s="11"/>
      <c r="AI36" s="11" t="s">
        <v>86</v>
      </c>
      <c r="AJ36" s="11"/>
      <c r="AK36" s="2"/>
      <c r="AL36" s="11"/>
      <c r="AM36" s="11"/>
      <c r="AN36" s="11"/>
      <c r="AO36" s="2"/>
      <c r="AP36" s="3"/>
      <c r="AQ36" s="11"/>
      <c r="AR36" s="3"/>
      <c r="AS36" s="2"/>
      <c r="AT36" s="11"/>
      <c r="AU36" s="2"/>
      <c r="AV36" s="2"/>
      <c r="AW36" s="2"/>
      <c r="AX36" s="11"/>
      <c r="AY36" s="11"/>
      <c r="AZ36" s="9"/>
      <c r="BA36" s="2">
        <v>1875</v>
      </c>
      <c r="BB36" s="11"/>
      <c r="BC36" s="11"/>
      <c r="BD36" s="11"/>
      <c r="BE36" s="11"/>
      <c r="BF36" s="11"/>
      <c r="BG36" s="11"/>
      <c r="BH36" s="11"/>
      <c r="BI36" s="11"/>
      <c r="BJ36" s="11" t="s">
        <v>87</v>
      </c>
      <c r="BK36" s="10">
        <v>46303.805902777778</v>
      </c>
      <c r="BL36" s="11"/>
      <c r="BM36" s="11"/>
      <c r="BN36" s="10">
        <v>46303.625</v>
      </c>
      <c r="BO36" s="11"/>
      <c r="BP36" s="11"/>
      <c r="BQ36" s="11"/>
      <c r="BR36" s="11"/>
      <c r="BS36" s="11"/>
      <c r="BT36" s="11"/>
      <c r="BU36" s="11"/>
      <c r="BV36" s="2"/>
      <c r="BW36" s="11"/>
    </row>
    <row r="37" spans="1:75" ht="30" x14ac:dyDescent="0.25">
      <c r="A37" s="2">
        <v>6200035</v>
      </c>
      <c r="B37" s="10">
        <v>46303.805902777778</v>
      </c>
      <c r="C37" s="11" t="s">
        <v>82</v>
      </c>
      <c r="D37" s="11"/>
      <c r="E37" s="11" t="s">
        <v>92</v>
      </c>
      <c r="F37" s="11"/>
      <c r="G37" s="11" t="s">
        <v>592</v>
      </c>
      <c r="H37" s="3"/>
      <c r="I37" s="11" t="s">
        <v>75</v>
      </c>
      <c r="J37" s="11"/>
      <c r="K37" s="11"/>
      <c r="L37" s="11"/>
      <c r="M37" s="11"/>
      <c r="N37" s="2">
        <v>1.25</v>
      </c>
      <c r="O37" s="2"/>
      <c r="P37" s="2"/>
      <c r="Q37" s="2"/>
      <c r="R37" s="11"/>
      <c r="S37" s="11" t="s">
        <v>127</v>
      </c>
      <c r="T37" s="11" t="s">
        <v>85</v>
      </c>
      <c r="U37" s="11"/>
      <c r="V37" s="11"/>
      <c r="W37" s="11"/>
      <c r="X37" s="11"/>
      <c r="Y37" s="11"/>
      <c r="Z37" s="11"/>
      <c r="AA37" s="11"/>
      <c r="AB37" s="9"/>
      <c r="AC37" s="2"/>
      <c r="AD37" s="9"/>
      <c r="AE37" s="2"/>
      <c r="AF37" s="9"/>
      <c r="AG37" s="10"/>
      <c r="AH37" s="11"/>
      <c r="AI37" s="11" t="s">
        <v>86</v>
      </c>
      <c r="AJ37" s="11"/>
      <c r="AK37" s="2"/>
      <c r="AL37" s="11"/>
      <c r="AM37" s="11"/>
      <c r="AN37" s="11"/>
      <c r="AO37" s="2"/>
      <c r="AP37" s="3"/>
      <c r="AQ37" s="11"/>
      <c r="AR37" s="3"/>
      <c r="AS37" s="2"/>
      <c r="AT37" s="11"/>
      <c r="AU37" s="2"/>
      <c r="AV37" s="2"/>
      <c r="AW37" s="2"/>
      <c r="AX37" s="11"/>
      <c r="AY37" s="11"/>
      <c r="AZ37" s="9"/>
      <c r="BA37" s="2">
        <v>1875</v>
      </c>
      <c r="BB37" s="11"/>
      <c r="BC37" s="11"/>
      <c r="BD37" s="11"/>
      <c r="BE37" s="11"/>
      <c r="BF37" s="11"/>
      <c r="BG37" s="11"/>
      <c r="BH37" s="11"/>
      <c r="BI37" s="11"/>
      <c r="BJ37" s="11" t="s">
        <v>87</v>
      </c>
      <c r="BK37" s="10">
        <v>46303.805902777778</v>
      </c>
      <c r="BL37" s="11"/>
      <c r="BM37" s="11"/>
      <c r="BN37" s="10">
        <v>46303.625</v>
      </c>
      <c r="BO37" s="11"/>
      <c r="BP37" s="11"/>
      <c r="BQ37" s="11"/>
      <c r="BR37" s="11"/>
      <c r="BS37" s="11"/>
      <c r="BT37" s="11"/>
      <c r="BU37" s="11"/>
      <c r="BV37" s="2"/>
      <c r="BW37" s="11"/>
    </row>
    <row r="38" spans="1:75" ht="30" x14ac:dyDescent="0.25">
      <c r="A38" s="2">
        <v>6200036</v>
      </c>
      <c r="B38" s="10">
        <v>46303.805902777778</v>
      </c>
      <c r="C38" s="11" t="s">
        <v>82</v>
      </c>
      <c r="D38" s="11"/>
      <c r="E38" s="11" t="s">
        <v>83</v>
      </c>
      <c r="F38" s="11"/>
      <c r="G38" s="11" t="s">
        <v>89</v>
      </c>
      <c r="H38" s="3"/>
      <c r="I38" s="11" t="s">
        <v>90</v>
      </c>
      <c r="J38" s="11"/>
      <c r="K38" s="11"/>
      <c r="L38" s="11"/>
      <c r="M38" s="11"/>
      <c r="N38" s="2">
        <v>1.25</v>
      </c>
      <c r="O38" s="2"/>
      <c r="P38" s="2"/>
      <c r="Q38" s="2"/>
      <c r="R38" s="11"/>
      <c r="S38" s="11" t="s">
        <v>128</v>
      </c>
      <c r="T38" s="11" t="s">
        <v>85</v>
      </c>
      <c r="U38" s="11"/>
      <c r="V38" s="11"/>
      <c r="W38" s="11"/>
      <c r="X38" s="11"/>
      <c r="Y38" s="11"/>
      <c r="Z38" s="11"/>
      <c r="AA38" s="11"/>
      <c r="AB38" s="9"/>
      <c r="AC38" s="2"/>
      <c r="AD38" s="9"/>
      <c r="AE38" s="2"/>
      <c r="AF38" s="9"/>
      <c r="AG38" s="10"/>
      <c r="AH38" s="11"/>
      <c r="AI38" s="11" t="s">
        <v>86</v>
      </c>
      <c r="AJ38" s="11"/>
      <c r="AK38" s="2"/>
      <c r="AL38" s="11"/>
      <c r="AM38" s="11"/>
      <c r="AN38" s="11"/>
      <c r="AO38" s="2"/>
      <c r="AP38" s="3"/>
      <c r="AQ38" s="11"/>
      <c r="AR38" s="3"/>
      <c r="AS38" s="2"/>
      <c r="AT38" s="11"/>
      <c r="AU38" s="2"/>
      <c r="AV38" s="2"/>
      <c r="AW38" s="2"/>
      <c r="AX38" s="11"/>
      <c r="AY38" s="11"/>
      <c r="AZ38" s="9"/>
      <c r="BA38" s="2">
        <v>1875</v>
      </c>
      <c r="BB38" s="11"/>
      <c r="BC38" s="11"/>
      <c r="BD38" s="11"/>
      <c r="BE38" s="11"/>
      <c r="BF38" s="11"/>
      <c r="BG38" s="11"/>
      <c r="BH38" s="11"/>
      <c r="BI38" s="11"/>
      <c r="BJ38" s="11" t="s">
        <v>87</v>
      </c>
      <c r="BK38" s="10">
        <v>46303.805902777778</v>
      </c>
      <c r="BL38" s="11"/>
      <c r="BM38" s="11"/>
      <c r="BN38" s="10">
        <v>46303.625</v>
      </c>
      <c r="BO38" s="11"/>
      <c r="BP38" s="11"/>
      <c r="BQ38" s="11"/>
      <c r="BR38" s="11"/>
      <c r="BS38" s="11"/>
      <c r="BT38" s="11"/>
      <c r="BU38" s="11"/>
      <c r="BV38" s="2"/>
      <c r="BW38" s="11"/>
    </row>
    <row r="39" spans="1:75" ht="30" x14ac:dyDescent="0.25">
      <c r="A39" s="2">
        <v>6200037</v>
      </c>
      <c r="B39" s="10">
        <v>46303.805902777778</v>
      </c>
      <c r="C39" s="11" t="s">
        <v>82</v>
      </c>
      <c r="D39" s="11"/>
      <c r="E39" s="11" t="s">
        <v>88</v>
      </c>
      <c r="F39" s="11"/>
      <c r="G39" s="2">
        <v>470123456</v>
      </c>
      <c r="H39" s="3"/>
      <c r="I39" s="11" t="s">
        <v>75</v>
      </c>
      <c r="J39" s="11"/>
      <c r="K39" s="11"/>
      <c r="L39" s="11"/>
      <c r="M39" s="11"/>
      <c r="N39" s="2">
        <v>1.25</v>
      </c>
      <c r="O39" s="2"/>
      <c r="P39" s="2"/>
      <c r="Q39" s="2"/>
      <c r="R39" s="11"/>
      <c r="S39" s="11" t="s">
        <v>129</v>
      </c>
      <c r="T39" s="11" t="s">
        <v>85</v>
      </c>
      <c r="U39" s="11"/>
      <c r="V39" s="11"/>
      <c r="W39" s="11"/>
      <c r="X39" s="11"/>
      <c r="Y39" s="11"/>
      <c r="Z39" s="11"/>
      <c r="AA39" s="11"/>
      <c r="AB39" s="9"/>
      <c r="AC39" s="2"/>
      <c r="AD39" s="9"/>
      <c r="AE39" s="2"/>
      <c r="AF39" s="9"/>
      <c r="AG39" s="10"/>
      <c r="AH39" s="11"/>
      <c r="AI39" s="11" t="s">
        <v>86</v>
      </c>
      <c r="AJ39" s="11"/>
      <c r="AK39" s="2"/>
      <c r="AL39" s="11"/>
      <c r="AM39" s="11"/>
      <c r="AN39" s="11"/>
      <c r="AO39" s="2"/>
      <c r="AP39" s="3"/>
      <c r="AQ39" s="11"/>
      <c r="AR39" s="3"/>
      <c r="AS39" s="2"/>
      <c r="AT39" s="11"/>
      <c r="AU39" s="2"/>
      <c r="AV39" s="2"/>
      <c r="AW39" s="2"/>
      <c r="AX39" s="11"/>
      <c r="AY39" s="11"/>
      <c r="AZ39" s="9"/>
      <c r="BA39" s="2">
        <v>1875</v>
      </c>
      <c r="BB39" s="11"/>
      <c r="BC39" s="11"/>
      <c r="BD39" s="11"/>
      <c r="BE39" s="11"/>
      <c r="BF39" s="11"/>
      <c r="BG39" s="11"/>
      <c r="BH39" s="11"/>
      <c r="BI39" s="11"/>
      <c r="BJ39" s="11" t="s">
        <v>87</v>
      </c>
      <c r="BK39" s="10">
        <v>46303.805902777778</v>
      </c>
      <c r="BL39" s="11"/>
      <c r="BM39" s="11"/>
      <c r="BN39" s="10">
        <v>46303.625</v>
      </c>
      <c r="BO39" s="11"/>
      <c r="BP39" s="11"/>
      <c r="BQ39" s="11"/>
      <c r="BR39" s="11"/>
      <c r="BS39" s="11"/>
      <c r="BT39" s="11"/>
      <c r="BU39" s="11"/>
      <c r="BV39" s="2"/>
      <c r="BW39" s="11"/>
    </row>
    <row r="40" spans="1:75" ht="30" x14ac:dyDescent="0.25">
      <c r="A40" s="2">
        <v>6200038</v>
      </c>
      <c r="B40" s="10">
        <v>46303.805902777778</v>
      </c>
      <c r="C40" s="11" t="s">
        <v>82</v>
      </c>
      <c r="D40" s="11"/>
      <c r="E40" s="11" t="s">
        <v>92</v>
      </c>
      <c r="F40" s="11"/>
      <c r="G40" s="11" t="s">
        <v>94</v>
      </c>
      <c r="H40" s="3"/>
      <c r="I40" s="11" t="s">
        <v>90</v>
      </c>
      <c r="J40" s="11"/>
      <c r="K40" s="11"/>
      <c r="L40" s="11"/>
      <c r="M40" s="11"/>
      <c r="N40" s="2">
        <v>1.25</v>
      </c>
      <c r="O40" s="2"/>
      <c r="P40" s="2"/>
      <c r="Q40" s="2"/>
      <c r="R40" s="11"/>
      <c r="S40" s="11" t="s">
        <v>130</v>
      </c>
      <c r="T40" s="11" t="s">
        <v>85</v>
      </c>
      <c r="U40" s="11"/>
      <c r="V40" s="11"/>
      <c r="W40" s="11"/>
      <c r="X40" s="11"/>
      <c r="Y40" s="11"/>
      <c r="Z40" s="11"/>
      <c r="AA40" s="11"/>
      <c r="AB40" s="9"/>
      <c r="AC40" s="2"/>
      <c r="AD40" s="9"/>
      <c r="AE40" s="2"/>
      <c r="AF40" s="9"/>
      <c r="AG40" s="10"/>
      <c r="AH40" s="11"/>
      <c r="AI40" s="11" t="s">
        <v>86</v>
      </c>
      <c r="AJ40" s="11"/>
      <c r="AK40" s="2"/>
      <c r="AL40" s="11"/>
      <c r="AM40" s="11"/>
      <c r="AN40" s="11"/>
      <c r="AO40" s="2"/>
      <c r="AP40" s="3"/>
      <c r="AQ40" s="11"/>
      <c r="AR40" s="3"/>
      <c r="AS40" s="2"/>
      <c r="AT40" s="11"/>
      <c r="AU40" s="2"/>
      <c r="AV40" s="2"/>
      <c r="AW40" s="2"/>
      <c r="AX40" s="11"/>
      <c r="AY40" s="11"/>
      <c r="AZ40" s="9"/>
      <c r="BA40" s="2">
        <v>1875</v>
      </c>
      <c r="BB40" s="11"/>
      <c r="BC40" s="11"/>
      <c r="BD40" s="11"/>
      <c r="BE40" s="11"/>
      <c r="BF40" s="11"/>
      <c r="BG40" s="11"/>
      <c r="BH40" s="11"/>
      <c r="BI40" s="11"/>
      <c r="BJ40" s="11" t="s">
        <v>87</v>
      </c>
      <c r="BK40" s="10">
        <v>46303.805902777778</v>
      </c>
      <c r="BL40" s="11"/>
      <c r="BM40" s="11"/>
      <c r="BN40" s="10">
        <v>46303.625</v>
      </c>
      <c r="BO40" s="11"/>
      <c r="BP40" s="11"/>
      <c r="BQ40" s="11"/>
      <c r="BR40" s="11"/>
      <c r="BS40" s="11"/>
      <c r="BT40" s="11"/>
      <c r="BU40" s="11"/>
      <c r="BV40" s="2"/>
      <c r="BW40" s="11"/>
    </row>
    <row r="41" spans="1:75" ht="30" x14ac:dyDescent="0.25">
      <c r="A41" s="2">
        <v>6200039</v>
      </c>
      <c r="B41" s="10">
        <v>46303.805902777778</v>
      </c>
      <c r="C41" s="11" t="s">
        <v>82</v>
      </c>
      <c r="D41" s="11"/>
      <c r="E41" s="11" t="s">
        <v>83</v>
      </c>
      <c r="F41" s="11"/>
      <c r="G41" s="11" t="s">
        <v>593</v>
      </c>
      <c r="H41" s="3"/>
      <c r="I41" s="11" t="s">
        <v>75</v>
      </c>
      <c r="J41" s="11"/>
      <c r="K41" s="11"/>
      <c r="L41" s="11"/>
      <c r="M41" s="11"/>
      <c r="N41" s="2">
        <v>1.25</v>
      </c>
      <c r="O41" s="2"/>
      <c r="P41" s="2"/>
      <c r="Q41" s="2"/>
      <c r="R41" s="11"/>
      <c r="S41" s="11" t="s">
        <v>131</v>
      </c>
      <c r="T41" s="11" t="s">
        <v>85</v>
      </c>
      <c r="U41" s="11"/>
      <c r="V41" s="11"/>
      <c r="W41" s="11"/>
      <c r="X41" s="11"/>
      <c r="Y41" s="11"/>
      <c r="Z41" s="11"/>
      <c r="AA41" s="11"/>
      <c r="AB41" s="9"/>
      <c r="AC41" s="2"/>
      <c r="AD41" s="9"/>
      <c r="AE41" s="2"/>
      <c r="AF41" s="9"/>
      <c r="AG41" s="10"/>
      <c r="AH41" s="11"/>
      <c r="AI41" s="11" t="s">
        <v>86</v>
      </c>
      <c r="AJ41" s="11"/>
      <c r="AK41" s="2"/>
      <c r="AL41" s="11"/>
      <c r="AM41" s="11"/>
      <c r="AN41" s="11"/>
      <c r="AO41" s="2"/>
      <c r="AP41" s="3"/>
      <c r="AQ41" s="11"/>
      <c r="AR41" s="3"/>
      <c r="AS41" s="2"/>
      <c r="AT41" s="11"/>
      <c r="AU41" s="2"/>
      <c r="AV41" s="2"/>
      <c r="AW41" s="2"/>
      <c r="AX41" s="11"/>
      <c r="AY41" s="11"/>
      <c r="AZ41" s="9"/>
      <c r="BA41" s="2">
        <v>1875</v>
      </c>
      <c r="BB41" s="11"/>
      <c r="BC41" s="11"/>
      <c r="BD41" s="11"/>
      <c r="BE41" s="11"/>
      <c r="BF41" s="11"/>
      <c r="BG41" s="11"/>
      <c r="BH41" s="11"/>
      <c r="BI41" s="11"/>
      <c r="BJ41" s="11" t="s">
        <v>87</v>
      </c>
      <c r="BK41" s="10">
        <v>46303.805902777778</v>
      </c>
      <c r="BL41" s="11"/>
      <c r="BM41" s="11"/>
      <c r="BN41" s="10">
        <v>46303.625</v>
      </c>
      <c r="BO41" s="11"/>
      <c r="BP41" s="11"/>
      <c r="BQ41" s="11"/>
      <c r="BR41" s="11"/>
      <c r="BS41" s="11"/>
      <c r="BT41" s="11"/>
      <c r="BU41" s="11"/>
      <c r="BV41" s="2"/>
      <c r="BW41" s="11"/>
    </row>
    <row r="42" spans="1:75" ht="30" x14ac:dyDescent="0.25">
      <c r="A42" s="2">
        <v>6200040</v>
      </c>
      <c r="B42" s="10">
        <v>46303.805902777778</v>
      </c>
      <c r="C42" s="11" t="s">
        <v>82</v>
      </c>
      <c r="D42" s="11"/>
      <c r="E42" s="11" t="s">
        <v>88</v>
      </c>
      <c r="F42" s="11"/>
      <c r="G42" s="11" t="s">
        <v>592</v>
      </c>
      <c r="H42" s="3"/>
      <c r="I42" s="11" t="s">
        <v>75</v>
      </c>
      <c r="J42" s="11"/>
      <c r="K42" s="11"/>
      <c r="L42" s="11"/>
      <c r="M42" s="11"/>
      <c r="N42" s="2">
        <v>1.25</v>
      </c>
      <c r="O42" s="2"/>
      <c r="P42" s="2"/>
      <c r="Q42" s="2"/>
      <c r="R42" s="11"/>
      <c r="S42" s="11" t="s">
        <v>132</v>
      </c>
      <c r="T42" s="11" t="s">
        <v>85</v>
      </c>
      <c r="U42" s="11"/>
      <c r="V42" s="11"/>
      <c r="W42" s="11"/>
      <c r="X42" s="11"/>
      <c r="Y42" s="11"/>
      <c r="Z42" s="11"/>
      <c r="AA42" s="11"/>
      <c r="AB42" s="9"/>
      <c r="AC42" s="2"/>
      <c r="AD42" s="9"/>
      <c r="AE42" s="2"/>
      <c r="AF42" s="9"/>
      <c r="AG42" s="10"/>
      <c r="AH42" s="11"/>
      <c r="AI42" s="11" t="s">
        <v>86</v>
      </c>
      <c r="AJ42" s="11"/>
      <c r="AK42" s="2"/>
      <c r="AL42" s="11"/>
      <c r="AM42" s="11"/>
      <c r="AN42" s="11"/>
      <c r="AO42" s="2"/>
      <c r="AP42" s="3"/>
      <c r="AQ42" s="11"/>
      <c r="AR42" s="3"/>
      <c r="AS42" s="2"/>
      <c r="AT42" s="11"/>
      <c r="AU42" s="2"/>
      <c r="AV42" s="2"/>
      <c r="AW42" s="2"/>
      <c r="AX42" s="11"/>
      <c r="AY42" s="11"/>
      <c r="AZ42" s="9"/>
      <c r="BA42" s="2">
        <v>1875</v>
      </c>
      <c r="BB42" s="11"/>
      <c r="BC42" s="11"/>
      <c r="BD42" s="11"/>
      <c r="BE42" s="11"/>
      <c r="BF42" s="11"/>
      <c r="BG42" s="11"/>
      <c r="BH42" s="11"/>
      <c r="BI42" s="11"/>
      <c r="BJ42" s="11" t="s">
        <v>87</v>
      </c>
      <c r="BK42" s="10">
        <v>46303.805902777778</v>
      </c>
      <c r="BL42" s="11"/>
      <c r="BM42" s="11"/>
      <c r="BN42" s="10">
        <v>46303.625</v>
      </c>
      <c r="BO42" s="11"/>
      <c r="BP42" s="11"/>
      <c r="BQ42" s="11"/>
      <c r="BR42" s="11"/>
      <c r="BS42" s="11"/>
      <c r="BT42" s="11"/>
      <c r="BU42" s="11"/>
      <c r="BV42" s="2"/>
      <c r="BW42" s="11"/>
    </row>
    <row r="43" spans="1:75" ht="30" x14ac:dyDescent="0.25">
      <c r="A43" s="2">
        <v>6200041</v>
      </c>
      <c r="B43" s="10">
        <v>46303.805902777778</v>
      </c>
      <c r="C43" s="11" t="s">
        <v>82</v>
      </c>
      <c r="D43" s="11"/>
      <c r="E43" s="11" t="s">
        <v>92</v>
      </c>
      <c r="F43" s="11"/>
      <c r="G43" s="11" t="s">
        <v>89</v>
      </c>
      <c r="H43" s="3"/>
      <c r="I43" s="11" t="s">
        <v>90</v>
      </c>
      <c r="J43" s="11"/>
      <c r="K43" s="11"/>
      <c r="L43" s="11"/>
      <c r="M43" s="11"/>
      <c r="N43" s="2">
        <v>1.25</v>
      </c>
      <c r="O43" s="2"/>
      <c r="P43" s="2"/>
      <c r="Q43" s="2"/>
      <c r="R43" s="11"/>
      <c r="S43" s="11" t="s">
        <v>133</v>
      </c>
      <c r="T43" s="11" t="s">
        <v>85</v>
      </c>
      <c r="U43" s="11"/>
      <c r="V43" s="11"/>
      <c r="W43" s="11"/>
      <c r="X43" s="11"/>
      <c r="Y43" s="11"/>
      <c r="Z43" s="11"/>
      <c r="AA43" s="11"/>
      <c r="AB43" s="9"/>
      <c r="AC43" s="2"/>
      <c r="AD43" s="9"/>
      <c r="AE43" s="2"/>
      <c r="AF43" s="9"/>
      <c r="AG43" s="10"/>
      <c r="AH43" s="11"/>
      <c r="AI43" s="11" t="s">
        <v>86</v>
      </c>
      <c r="AJ43" s="11"/>
      <c r="AK43" s="2"/>
      <c r="AL43" s="11"/>
      <c r="AM43" s="11"/>
      <c r="AN43" s="11"/>
      <c r="AO43" s="2"/>
      <c r="AP43" s="3"/>
      <c r="AQ43" s="11"/>
      <c r="AR43" s="3"/>
      <c r="AS43" s="2"/>
      <c r="AT43" s="11"/>
      <c r="AU43" s="2"/>
      <c r="AV43" s="2"/>
      <c r="AW43" s="2"/>
      <c r="AX43" s="11"/>
      <c r="AY43" s="11"/>
      <c r="AZ43" s="9"/>
      <c r="BA43" s="2">
        <v>1875</v>
      </c>
      <c r="BB43" s="11"/>
      <c r="BC43" s="11"/>
      <c r="BD43" s="11"/>
      <c r="BE43" s="11"/>
      <c r="BF43" s="11"/>
      <c r="BG43" s="11"/>
      <c r="BH43" s="11"/>
      <c r="BI43" s="11"/>
      <c r="BJ43" s="11" t="s">
        <v>87</v>
      </c>
      <c r="BK43" s="10">
        <v>46303.805902777778</v>
      </c>
      <c r="BL43" s="11"/>
      <c r="BM43" s="11"/>
      <c r="BN43" s="10">
        <v>46303.625</v>
      </c>
      <c r="BO43" s="11"/>
      <c r="BP43" s="11"/>
      <c r="BQ43" s="11"/>
      <c r="BR43" s="11"/>
      <c r="BS43" s="11"/>
      <c r="BT43" s="11"/>
      <c r="BU43" s="11"/>
      <c r="BV43" s="2"/>
      <c r="BW43" s="11"/>
    </row>
    <row r="44" spans="1:75" ht="30" x14ac:dyDescent="0.25">
      <c r="A44" s="2">
        <v>6200042</v>
      </c>
      <c r="B44" s="10">
        <v>46303.805902777778</v>
      </c>
      <c r="C44" s="11" t="s">
        <v>82</v>
      </c>
      <c r="D44" s="11"/>
      <c r="E44" s="11" t="s">
        <v>83</v>
      </c>
      <c r="F44" s="11"/>
      <c r="G44" s="2">
        <v>470123456</v>
      </c>
      <c r="H44" s="3"/>
      <c r="I44" s="11" t="s">
        <v>75</v>
      </c>
      <c r="J44" s="11"/>
      <c r="K44" s="11"/>
      <c r="L44" s="11"/>
      <c r="M44" s="11"/>
      <c r="N44" s="2">
        <v>1.25</v>
      </c>
      <c r="O44" s="2"/>
      <c r="P44" s="2"/>
      <c r="Q44" s="2"/>
      <c r="R44" s="11"/>
      <c r="S44" s="11" t="s">
        <v>134</v>
      </c>
      <c r="T44" s="11" t="s">
        <v>85</v>
      </c>
      <c r="U44" s="11"/>
      <c r="V44" s="11"/>
      <c r="W44" s="11"/>
      <c r="X44" s="11"/>
      <c r="Y44" s="11"/>
      <c r="Z44" s="11"/>
      <c r="AA44" s="11"/>
      <c r="AB44" s="9"/>
      <c r="AC44" s="2"/>
      <c r="AD44" s="9"/>
      <c r="AE44" s="2"/>
      <c r="AF44" s="9"/>
      <c r="AG44" s="10"/>
      <c r="AH44" s="11"/>
      <c r="AI44" s="11" t="s">
        <v>86</v>
      </c>
      <c r="AJ44" s="11"/>
      <c r="AK44" s="2"/>
      <c r="AL44" s="11"/>
      <c r="AM44" s="11"/>
      <c r="AN44" s="11"/>
      <c r="AO44" s="2"/>
      <c r="AP44" s="3"/>
      <c r="AQ44" s="11"/>
      <c r="AR44" s="3"/>
      <c r="AS44" s="2"/>
      <c r="AT44" s="11"/>
      <c r="AU44" s="2"/>
      <c r="AV44" s="2"/>
      <c r="AW44" s="2"/>
      <c r="AX44" s="11"/>
      <c r="AY44" s="11"/>
      <c r="AZ44" s="9"/>
      <c r="BA44" s="2">
        <v>1875</v>
      </c>
      <c r="BB44" s="11"/>
      <c r="BC44" s="11"/>
      <c r="BD44" s="11"/>
      <c r="BE44" s="11"/>
      <c r="BF44" s="11"/>
      <c r="BG44" s="11"/>
      <c r="BH44" s="11"/>
      <c r="BI44" s="11"/>
      <c r="BJ44" s="11" t="s">
        <v>87</v>
      </c>
      <c r="BK44" s="10">
        <v>46303.805902777778</v>
      </c>
      <c r="BL44" s="11"/>
      <c r="BM44" s="11"/>
      <c r="BN44" s="10">
        <v>46303.625</v>
      </c>
      <c r="BO44" s="11"/>
      <c r="BP44" s="11"/>
      <c r="BQ44" s="11"/>
      <c r="BR44" s="11"/>
      <c r="BS44" s="11"/>
      <c r="BT44" s="11"/>
      <c r="BU44" s="11"/>
      <c r="BV44" s="2"/>
      <c r="BW44" s="11"/>
    </row>
    <row r="45" spans="1:75" ht="30" x14ac:dyDescent="0.25">
      <c r="A45" s="2">
        <v>6200043</v>
      </c>
      <c r="B45" s="10">
        <v>46303.805902777778</v>
      </c>
      <c r="C45" s="11" t="s">
        <v>82</v>
      </c>
      <c r="D45" s="11"/>
      <c r="E45" s="11" t="s">
        <v>88</v>
      </c>
      <c r="F45" s="11"/>
      <c r="G45" s="11" t="s">
        <v>94</v>
      </c>
      <c r="H45" s="3"/>
      <c r="I45" s="11" t="s">
        <v>90</v>
      </c>
      <c r="J45" s="11"/>
      <c r="K45" s="11"/>
      <c r="L45" s="11"/>
      <c r="M45" s="11"/>
      <c r="N45" s="2">
        <v>1.25</v>
      </c>
      <c r="O45" s="2"/>
      <c r="P45" s="2"/>
      <c r="Q45" s="2"/>
      <c r="R45" s="11"/>
      <c r="S45" s="11" t="s">
        <v>135</v>
      </c>
      <c r="T45" s="11" t="s">
        <v>85</v>
      </c>
      <c r="U45" s="11"/>
      <c r="V45" s="11"/>
      <c r="W45" s="11"/>
      <c r="X45" s="11"/>
      <c r="Y45" s="11"/>
      <c r="Z45" s="11"/>
      <c r="AA45" s="11"/>
      <c r="AB45" s="9"/>
      <c r="AC45" s="2"/>
      <c r="AD45" s="9"/>
      <c r="AE45" s="2"/>
      <c r="AF45" s="9"/>
      <c r="AG45" s="10"/>
      <c r="AH45" s="11"/>
      <c r="AI45" s="11" t="s">
        <v>86</v>
      </c>
      <c r="AJ45" s="11"/>
      <c r="AK45" s="2"/>
      <c r="AL45" s="11"/>
      <c r="AM45" s="11"/>
      <c r="AN45" s="11"/>
      <c r="AO45" s="2"/>
      <c r="AP45" s="3"/>
      <c r="AQ45" s="11"/>
      <c r="AR45" s="3"/>
      <c r="AS45" s="2"/>
      <c r="AT45" s="11"/>
      <c r="AU45" s="2"/>
      <c r="AV45" s="2"/>
      <c r="AW45" s="2"/>
      <c r="AX45" s="11"/>
      <c r="AY45" s="11"/>
      <c r="AZ45" s="9"/>
      <c r="BA45" s="2">
        <v>1875</v>
      </c>
      <c r="BB45" s="11"/>
      <c r="BC45" s="11"/>
      <c r="BD45" s="11"/>
      <c r="BE45" s="11"/>
      <c r="BF45" s="11"/>
      <c r="BG45" s="11"/>
      <c r="BH45" s="11"/>
      <c r="BI45" s="11"/>
      <c r="BJ45" s="11" t="s">
        <v>87</v>
      </c>
      <c r="BK45" s="10">
        <v>46303.805902777778</v>
      </c>
      <c r="BL45" s="11"/>
      <c r="BM45" s="11"/>
      <c r="BN45" s="10">
        <v>46303.625</v>
      </c>
      <c r="BO45" s="11"/>
      <c r="BP45" s="11"/>
      <c r="BQ45" s="11"/>
      <c r="BR45" s="11"/>
      <c r="BS45" s="11"/>
      <c r="BT45" s="11"/>
      <c r="BU45" s="11"/>
      <c r="BV45" s="2"/>
      <c r="BW45" s="11"/>
    </row>
    <row r="46" spans="1:75" ht="30" x14ac:dyDescent="0.25">
      <c r="A46" s="2">
        <v>6200044</v>
      </c>
      <c r="B46" s="10">
        <v>46303.805902777778</v>
      </c>
      <c r="C46" s="11" t="s">
        <v>82</v>
      </c>
      <c r="D46" s="11"/>
      <c r="E46" s="11" t="s">
        <v>92</v>
      </c>
      <c r="F46" s="11"/>
      <c r="G46" s="11" t="s">
        <v>593</v>
      </c>
      <c r="H46" s="3"/>
      <c r="I46" s="11" t="s">
        <v>75</v>
      </c>
      <c r="J46" s="11"/>
      <c r="K46" s="11"/>
      <c r="L46" s="11"/>
      <c r="M46" s="11"/>
      <c r="N46" s="2">
        <v>1.25</v>
      </c>
      <c r="O46" s="2"/>
      <c r="P46" s="2"/>
      <c r="Q46" s="2"/>
      <c r="R46" s="11"/>
      <c r="S46" s="11" t="s">
        <v>136</v>
      </c>
      <c r="T46" s="11" t="s">
        <v>85</v>
      </c>
      <c r="U46" s="11"/>
      <c r="V46" s="11"/>
      <c r="W46" s="11"/>
      <c r="X46" s="11"/>
      <c r="Y46" s="11"/>
      <c r="Z46" s="11"/>
      <c r="AA46" s="11"/>
      <c r="AB46" s="9"/>
      <c r="AC46" s="2"/>
      <c r="AD46" s="9"/>
      <c r="AE46" s="2"/>
      <c r="AF46" s="9"/>
      <c r="AG46" s="10"/>
      <c r="AH46" s="11"/>
      <c r="AI46" s="11" t="s">
        <v>86</v>
      </c>
      <c r="AJ46" s="11"/>
      <c r="AK46" s="2"/>
      <c r="AL46" s="11"/>
      <c r="AM46" s="11"/>
      <c r="AN46" s="11"/>
      <c r="AO46" s="2"/>
      <c r="AP46" s="3"/>
      <c r="AQ46" s="11"/>
      <c r="AR46" s="3"/>
      <c r="AS46" s="2"/>
      <c r="AT46" s="11"/>
      <c r="AU46" s="2"/>
      <c r="AV46" s="2"/>
      <c r="AW46" s="2"/>
      <c r="AX46" s="11"/>
      <c r="AY46" s="11"/>
      <c r="AZ46" s="9"/>
      <c r="BA46" s="2">
        <v>1875</v>
      </c>
      <c r="BB46" s="11"/>
      <c r="BC46" s="11"/>
      <c r="BD46" s="11"/>
      <c r="BE46" s="11"/>
      <c r="BF46" s="11"/>
      <c r="BG46" s="11"/>
      <c r="BH46" s="11"/>
      <c r="BI46" s="11"/>
      <c r="BJ46" s="11" t="s">
        <v>87</v>
      </c>
      <c r="BK46" s="10">
        <v>46303.805902777778</v>
      </c>
      <c r="BL46" s="11"/>
      <c r="BM46" s="11"/>
      <c r="BN46" s="10">
        <v>46303.625</v>
      </c>
      <c r="BO46" s="11"/>
      <c r="BP46" s="11"/>
      <c r="BQ46" s="11"/>
      <c r="BR46" s="11"/>
      <c r="BS46" s="11"/>
      <c r="BT46" s="11"/>
      <c r="BU46" s="11"/>
      <c r="BV46" s="2"/>
      <c r="BW46" s="11"/>
    </row>
    <row r="47" spans="1:75" ht="30" x14ac:dyDescent="0.25">
      <c r="A47" s="2">
        <v>6200045</v>
      </c>
      <c r="B47" s="10">
        <v>46303.805902777778</v>
      </c>
      <c r="C47" s="11" t="s">
        <v>82</v>
      </c>
      <c r="D47" s="11"/>
      <c r="E47" s="11" t="s">
        <v>83</v>
      </c>
      <c r="F47" s="11"/>
      <c r="G47" s="11" t="s">
        <v>592</v>
      </c>
      <c r="H47" s="3"/>
      <c r="I47" s="11" t="s">
        <v>75</v>
      </c>
      <c r="J47" s="11"/>
      <c r="K47" s="11"/>
      <c r="L47" s="11"/>
      <c r="M47" s="11"/>
      <c r="N47" s="2">
        <v>1.25</v>
      </c>
      <c r="O47" s="2"/>
      <c r="P47" s="2"/>
      <c r="Q47" s="2"/>
      <c r="R47" s="11"/>
      <c r="S47" s="11" t="s">
        <v>137</v>
      </c>
      <c r="T47" s="11" t="s">
        <v>85</v>
      </c>
      <c r="U47" s="11"/>
      <c r="V47" s="11"/>
      <c r="W47" s="11"/>
      <c r="X47" s="11"/>
      <c r="Y47" s="11"/>
      <c r="Z47" s="11"/>
      <c r="AA47" s="11"/>
      <c r="AB47" s="9"/>
      <c r="AC47" s="2"/>
      <c r="AD47" s="9"/>
      <c r="AE47" s="2"/>
      <c r="AF47" s="9"/>
      <c r="AG47" s="10"/>
      <c r="AH47" s="11"/>
      <c r="AI47" s="11" t="s">
        <v>86</v>
      </c>
      <c r="AJ47" s="11"/>
      <c r="AK47" s="2"/>
      <c r="AL47" s="11"/>
      <c r="AM47" s="11"/>
      <c r="AN47" s="11"/>
      <c r="AO47" s="2"/>
      <c r="AP47" s="3"/>
      <c r="AQ47" s="11"/>
      <c r="AR47" s="3"/>
      <c r="AS47" s="2"/>
      <c r="AT47" s="11"/>
      <c r="AU47" s="2"/>
      <c r="AV47" s="2"/>
      <c r="AW47" s="2"/>
      <c r="AX47" s="11"/>
      <c r="AY47" s="11"/>
      <c r="AZ47" s="9"/>
      <c r="BA47" s="2">
        <v>1875</v>
      </c>
      <c r="BB47" s="11"/>
      <c r="BC47" s="11"/>
      <c r="BD47" s="11"/>
      <c r="BE47" s="11"/>
      <c r="BF47" s="11"/>
      <c r="BG47" s="11"/>
      <c r="BH47" s="11"/>
      <c r="BI47" s="11"/>
      <c r="BJ47" s="11" t="s">
        <v>87</v>
      </c>
      <c r="BK47" s="10">
        <v>46303.805902777778</v>
      </c>
      <c r="BL47" s="11"/>
      <c r="BM47" s="11"/>
      <c r="BN47" s="10">
        <v>46303.625</v>
      </c>
      <c r="BO47" s="11"/>
      <c r="BP47" s="11"/>
      <c r="BQ47" s="11"/>
      <c r="BR47" s="11"/>
      <c r="BS47" s="11"/>
      <c r="BT47" s="11"/>
      <c r="BU47" s="11"/>
      <c r="BV47" s="2"/>
      <c r="BW47" s="11"/>
    </row>
    <row r="48" spans="1:75" ht="30" x14ac:dyDescent="0.25">
      <c r="A48" s="2">
        <v>6200046</v>
      </c>
      <c r="B48" s="10">
        <v>46303.805902777778</v>
      </c>
      <c r="C48" s="11" t="s">
        <v>82</v>
      </c>
      <c r="D48" s="11"/>
      <c r="E48" s="11" t="s">
        <v>88</v>
      </c>
      <c r="F48" s="11"/>
      <c r="G48" s="11" t="s">
        <v>89</v>
      </c>
      <c r="H48" s="3"/>
      <c r="I48" s="11" t="s">
        <v>90</v>
      </c>
      <c r="J48" s="11"/>
      <c r="K48" s="11"/>
      <c r="L48" s="11"/>
      <c r="M48" s="11"/>
      <c r="N48" s="2">
        <v>1.25</v>
      </c>
      <c r="O48" s="2"/>
      <c r="P48" s="2"/>
      <c r="Q48" s="2"/>
      <c r="R48" s="11"/>
      <c r="S48" s="11" t="s">
        <v>138</v>
      </c>
      <c r="T48" s="11" t="s">
        <v>85</v>
      </c>
      <c r="U48" s="11"/>
      <c r="V48" s="11"/>
      <c r="W48" s="11"/>
      <c r="X48" s="11"/>
      <c r="Y48" s="11"/>
      <c r="Z48" s="11"/>
      <c r="AA48" s="11"/>
      <c r="AB48" s="9"/>
      <c r="AC48" s="2"/>
      <c r="AD48" s="9"/>
      <c r="AE48" s="2"/>
      <c r="AF48" s="9"/>
      <c r="AG48" s="10"/>
      <c r="AH48" s="11"/>
      <c r="AI48" s="11" t="s">
        <v>86</v>
      </c>
      <c r="AJ48" s="11"/>
      <c r="AK48" s="2"/>
      <c r="AL48" s="11"/>
      <c r="AM48" s="11"/>
      <c r="AN48" s="11"/>
      <c r="AO48" s="2"/>
      <c r="AP48" s="3"/>
      <c r="AQ48" s="11"/>
      <c r="AR48" s="3"/>
      <c r="AS48" s="2"/>
      <c r="AT48" s="11"/>
      <c r="AU48" s="2"/>
      <c r="AV48" s="2"/>
      <c r="AW48" s="2"/>
      <c r="AX48" s="11"/>
      <c r="AY48" s="11"/>
      <c r="AZ48" s="9"/>
      <c r="BA48" s="2">
        <v>1875</v>
      </c>
      <c r="BB48" s="11"/>
      <c r="BC48" s="11"/>
      <c r="BD48" s="11"/>
      <c r="BE48" s="11"/>
      <c r="BF48" s="11"/>
      <c r="BG48" s="11"/>
      <c r="BH48" s="11"/>
      <c r="BI48" s="11"/>
      <c r="BJ48" s="11" t="s">
        <v>87</v>
      </c>
      <c r="BK48" s="10">
        <v>46303.805902777778</v>
      </c>
      <c r="BL48" s="11"/>
      <c r="BM48" s="11"/>
      <c r="BN48" s="10">
        <v>46303.625</v>
      </c>
      <c r="BO48" s="11"/>
      <c r="BP48" s="11"/>
      <c r="BQ48" s="11"/>
      <c r="BR48" s="11"/>
      <c r="BS48" s="11"/>
      <c r="BT48" s="11"/>
      <c r="BU48" s="11"/>
      <c r="BV48" s="2"/>
      <c r="BW48" s="11"/>
    </row>
    <row r="49" spans="1:75" ht="30" x14ac:dyDescent="0.25">
      <c r="A49" s="2">
        <v>6200047</v>
      </c>
      <c r="B49" s="10">
        <v>46303.805902777778</v>
      </c>
      <c r="C49" s="11" t="s">
        <v>82</v>
      </c>
      <c r="D49" s="11"/>
      <c r="E49" s="11" t="s">
        <v>92</v>
      </c>
      <c r="F49" s="11"/>
      <c r="G49" s="2">
        <v>470123456</v>
      </c>
      <c r="H49" s="3"/>
      <c r="I49" s="11" t="s">
        <v>75</v>
      </c>
      <c r="J49" s="11"/>
      <c r="K49" s="11"/>
      <c r="L49" s="11"/>
      <c r="M49" s="11"/>
      <c r="N49" s="2">
        <v>1.25</v>
      </c>
      <c r="O49" s="2"/>
      <c r="P49" s="2"/>
      <c r="Q49" s="2"/>
      <c r="R49" s="11"/>
      <c r="S49" s="11" t="s">
        <v>139</v>
      </c>
      <c r="T49" s="11" t="s">
        <v>85</v>
      </c>
      <c r="U49" s="11"/>
      <c r="V49" s="11"/>
      <c r="W49" s="11"/>
      <c r="X49" s="11"/>
      <c r="Y49" s="11"/>
      <c r="Z49" s="11"/>
      <c r="AA49" s="11"/>
      <c r="AB49" s="9"/>
      <c r="AC49" s="2"/>
      <c r="AD49" s="9"/>
      <c r="AE49" s="2"/>
      <c r="AF49" s="9"/>
      <c r="AG49" s="10"/>
      <c r="AH49" s="11"/>
      <c r="AI49" s="11" t="s">
        <v>86</v>
      </c>
      <c r="AJ49" s="11"/>
      <c r="AK49" s="2"/>
      <c r="AL49" s="11"/>
      <c r="AM49" s="11"/>
      <c r="AN49" s="11"/>
      <c r="AO49" s="2"/>
      <c r="AP49" s="3"/>
      <c r="AQ49" s="11"/>
      <c r="AR49" s="3"/>
      <c r="AS49" s="2"/>
      <c r="AT49" s="11"/>
      <c r="AU49" s="2"/>
      <c r="AV49" s="2"/>
      <c r="AW49" s="2"/>
      <c r="AX49" s="11"/>
      <c r="AY49" s="11"/>
      <c r="AZ49" s="9"/>
      <c r="BA49" s="2">
        <v>1875</v>
      </c>
      <c r="BB49" s="11"/>
      <c r="BC49" s="11"/>
      <c r="BD49" s="11"/>
      <c r="BE49" s="11"/>
      <c r="BF49" s="11"/>
      <c r="BG49" s="11"/>
      <c r="BH49" s="11"/>
      <c r="BI49" s="11"/>
      <c r="BJ49" s="11" t="s">
        <v>87</v>
      </c>
      <c r="BK49" s="10">
        <v>46303.805902777778</v>
      </c>
      <c r="BL49" s="11"/>
      <c r="BM49" s="11"/>
      <c r="BN49" s="10">
        <v>46303.625</v>
      </c>
      <c r="BO49" s="11"/>
      <c r="BP49" s="11"/>
      <c r="BQ49" s="11"/>
      <c r="BR49" s="11"/>
      <c r="BS49" s="11"/>
      <c r="BT49" s="11"/>
      <c r="BU49" s="11"/>
      <c r="BV49" s="2"/>
      <c r="BW49" s="11"/>
    </row>
    <row r="50" spans="1:75" ht="30" x14ac:dyDescent="0.25">
      <c r="A50" s="2">
        <v>6200048</v>
      </c>
      <c r="B50" s="10">
        <v>46303.805902777778</v>
      </c>
      <c r="C50" s="11" t="s">
        <v>82</v>
      </c>
      <c r="D50" s="11"/>
      <c r="E50" s="11" t="s">
        <v>83</v>
      </c>
      <c r="F50" s="11"/>
      <c r="G50" s="11" t="s">
        <v>94</v>
      </c>
      <c r="H50" s="3"/>
      <c r="I50" s="11" t="s">
        <v>90</v>
      </c>
      <c r="J50" s="11"/>
      <c r="K50" s="11"/>
      <c r="L50" s="11"/>
      <c r="M50" s="11"/>
      <c r="N50" s="2">
        <v>1.25</v>
      </c>
      <c r="O50" s="2"/>
      <c r="P50" s="2"/>
      <c r="Q50" s="2"/>
      <c r="R50" s="11"/>
      <c r="S50" s="11" t="s">
        <v>140</v>
      </c>
      <c r="T50" s="11" t="s">
        <v>85</v>
      </c>
      <c r="U50" s="11"/>
      <c r="V50" s="11"/>
      <c r="W50" s="11"/>
      <c r="X50" s="11"/>
      <c r="Y50" s="11"/>
      <c r="Z50" s="11"/>
      <c r="AA50" s="11"/>
      <c r="AB50" s="9"/>
      <c r="AC50" s="2"/>
      <c r="AD50" s="9"/>
      <c r="AE50" s="2"/>
      <c r="AF50" s="9"/>
      <c r="AG50" s="10"/>
      <c r="AH50" s="11"/>
      <c r="AI50" s="11" t="s">
        <v>86</v>
      </c>
      <c r="AJ50" s="11"/>
      <c r="AK50" s="2"/>
      <c r="AL50" s="11"/>
      <c r="AM50" s="11"/>
      <c r="AN50" s="11"/>
      <c r="AO50" s="2"/>
      <c r="AP50" s="3"/>
      <c r="AQ50" s="11"/>
      <c r="AR50" s="3"/>
      <c r="AS50" s="2"/>
      <c r="AT50" s="11"/>
      <c r="AU50" s="2"/>
      <c r="AV50" s="2"/>
      <c r="AW50" s="2"/>
      <c r="AX50" s="11"/>
      <c r="AY50" s="11"/>
      <c r="AZ50" s="9"/>
      <c r="BA50" s="2">
        <v>1875</v>
      </c>
      <c r="BB50" s="11"/>
      <c r="BC50" s="11"/>
      <c r="BD50" s="11"/>
      <c r="BE50" s="11"/>
      <c r="BF50" s="11"/>
      <c r="BG50" s="11"/>
      <c r="BH50" s="11"/>
      <c r="BI50" s="11"/>
      <c r="BJ50" s="11" t="s">
        <v>87</v>
      </c>
      <c r="BK50" s="10">
        <v>46303.805902777778</v>
      </c>
      <c r="BL50" s="11"/>
      <c r="BM50" s="11"/>
      <c r="BN50" s="10">
        <v>46303.625</v>
      </c>
      <c r="BO50" s="11"/>
      <c r="BP50" s="11"/>
      <c r="BQ50" s="11"/>
      <c r="BR50" s="11"/>
      <c r="BS50" s="11"/>
      <c r="BT50" s="11"/>
      <c r="BU50" s="11"/>
      <c r="BV50" s="2"/>
      <c r="BW50" s="11"/>
    </row>
    <row r="51" spans="1:75" ht="30" x14ac:dyDescent="0.25">
      <c r="A51" s="2">
        <v>6200049</v>
      </c>
      <c r="B51" s="10">
        <v>46303.805902777778</v>
      </c>
      <c r="C51" s="11" t="s">
        <v>82</v>
      </c>
      <c r="D51" s="11"/>
      <c r="E51" s="11" t="s">
        <v>88</v>
      </c>
      <c r="F51" s="11"/>
      <c r="G51" s="11" t="s">
        <v>593</v>
      </c>
      <c r="H51" s="3"/>
      <c r="I51" s="11" t="s">
        <v>75</v>
      </c>
      <c r="J51" s="11"/>
      <c r="K51" s="11"/>
      <c r="L51" s="11"/>
      <c r="M51" s="11"/>
      <c r="N51" s="2">
        <v>1.25</v>
      </c>
      <c r="O51" s="2"/>
      <c r="P51" s="2"/>
      <c r="Q51" s="2"/>
      <c r="R51" s="11"/>
      <c r="S51" s="11" t="s">
        <v>141</v>
      </c>
      <c r="T51" s="11" t="s">
        <v>85</v>
      </c>
      <c r="U51" s="11"/>
      <c r="V51" s="11"/>
      <c r="W51" s="11"/>
      <c r="X51" s="11"/>
      <c r="Y51" s="11"/>
      <c r="Z51" s="11"/>
      <c r="AA51" s="11"/>
      <c r="AB51" s="9"/>
      <c r="AC51" s="2"/>
      <c r="AD51" s="9"/>
      <c r="AE51" s="2"/>
      <c r="AF51" s="9"/>
      <c r="AG51" s="10"/>
      <c r="AH51" s="11"/>
      <c r="AI51" s="11" t="s">
        <v>86</v>
      </c>
      <c r="AJ51" s="11"/>
      <c r="AK51" s="2"/>
      <c r="AL51" s="11"/>
      <c r="AM51" s="11"/>
      <c r="AN51" s="11"/>
      <c r="AO51" s="2"/>
      <c r="AP51" s="3"/>
      <c r="AQ51" s="11"/>
      <c r="AR51" s="3"/>
      <c r="AS51" s="2"/>
      <c r="AT51" s="11"/>
      <c r="AU51" s="2"/>
      <c r="AV51" s="2"/>
      <c r="AW51" s="2"/>
      <c r="AX51" s="11"/>
      <c r="AY51" s="11"/>
      <c r="AZ51" s="9"/>
      <c r="BA51" s="2">
        <v>1875</v>
      </c>
      <c r="BB51" s="11"/>
      <c r="BC51" s="11"/>
      <c r="BD51" s="11"/>
      <c r="BE51" s="11"/>
      <c r="BF51" s="11"/>
      <c r="BG51" s="11"/>
      <c r="BH51" s="11"/>
      <c r="BI51" s="11"/>
      <c r="BJ51" s="11" t="s">
        <v>87</v>
      </c>
      <c r="BK51" s="10">
        <v>46303.805902777778</v>
      </c>
      <c r="BL51" s="11"/>
      <c r="BM51" s="11"/>
      <c r="BN51" s="10">
        <v>46303.625</v>
      </c>
      <c r="BO51" s="11"/>
      <c r="BP51" s="11"/>
      <c r="BQ51" s="11"/>
      <c r="BR51" s="11"/>
      <c r="BS51" s="11"/>
      <c r="BT51" s="11"/>
      <c r="BU51" s="11"/>
      <c r="BV51" s="2"/>
      <c r="BW51" s="11"/>
    </row>
    <row r="52" spans="1:75" ht="30" x14ac:dyDescent="0.25">
      <c r="A52" s="2">
        <v>6200050</v>
      </c>
      <c r="B52" s="10">
        <v>46303.805902777778</v>
      </c>
      <c r="C52" s="11" t="s">
        <v>82</v>
      </c>
      <c r="D52" s="11"/>
      <c r="E52" s="11" t="s">
        <v>92</v>
      </c>
      <c r="F52" s="11"/>
      <c r="G52" s="11" t="s">
        <v>592</v>
      </c>
      <c r="H52" s="3"/>
      <c r="I52" s="11" t="s">
        <v>75</v>
      </c>
      <c r="J52" s="11"/>
      <c r="K52" s="11"/>
      <c r="L52" s="11"/>
      <c r="M52" s="11"/>
      <c r="N52" s="2">
        <v>1.25</v>
      </c>
      <c r="O52" s="2"/>
      <c r="P52" s="2"/>
      <c r="Q52" s="2"/>
      <c r="R52" s="11"/>
      <c r="S52" s="11" t="s">
        <v>142</v>
      </c>
      <c r="T52" s="11" t="s">
        <v>85</v>
      </c>
      <c r="U52" s="11"/>
      <c r="V52" s="11"/>
      <c r="W52" s="11"/>
      <c r="X52" s="11"/>
      <c r="Y52" s="11"/>
      <c r="Z52" s="11"/>
      <c r="AA52" s="11"/>
      <c r="AB52" s="9"/>
      <c r="AC52" s="2"/>
      <c r="AD52" s="9"/>
      <c r="AE52" s="2"/>
      <c r="AF52" s="9"/>
      <c r="AG52" s="10"/>
      <c r="AH52" s="11"/>
      <c r="AI52" s="11" t="s">
        <v>86</v>
      </c>
      <c r="AJ52" s="11"/>
      <c r="AK52" s="2"/>
      <c r="AL52" s="11"/>
      <c r="AM52" s="11"/>
      <c r="AN52" s="11"/>
      <c r="AO52" s="2"/>
      <c r="AP52" s="3"/>
      <c r="AQ52" s="11"/>
      <c r="AR52" s="3"/>
      <c r="AS52" s="2"/>
      <c r="AT52" s="11"/>
      <c r="AU52" s="2"/>
      <c r="AV52" s="2"/>
      <c r="AW52" s="2"/>
      <c r="AX52" s="11"/>
      <c r="AY52" s="11"/>
      <c r="AZ52" s="9"/>
      <c r="BA52" s="2">
        <v>1875</v>
      </c>
      <c r="BB52" s="11"/>
      <c r="BC52" s="11"/>
      <c r="BD52" s="11"/>
      <c r="BE52" s="11"/>
      <c r="BF52" s="11"/>
      <c r="BG52" s="11"/>
      <c r="BH52" s="11"/>
      <c r="BI52" s="11"/>
      <c r="BJ52" s="11" t="s">
        <v>87</v>
      </c>
      <c r="BK52" s="10">
        <v>46303.805902777778</v>
      </c>
      <c r="BL52" s="11"/>
      <c r="BM52" s="11"/>
      <c r="BN52" s="10">
        <v>46303.625</v>
      </c>
      <c r="BO52" s="11"/>
      <c r="BP52" s="11"/>
      <c r="BQ52" s="11"/>
      <c r="BR52" s="11"/>
      <c r="BS52" s="11"/>
      <c r="BT52" s="11"/>
      <c r="BU52" s="11"/>
      <c r="BV52" s="2"/>
      <c r="BW52" s="11"/>
    </row>
    <row r="53" spans="1:75" ht="30" x14ac:dyDescent="0.25">
      <c r="A53" s="2">
        <v>6200051</v>
      </c>
      <c r="B53" s="10">
        <v>46303.805902777778</v>
      </c>
      <c r="C53" s="11" t="s">
        <v>82</v>
      </c>
      <c r="D53" s="11"/>
      <c r="E53" s="11" t="s">
        <v>83</v>
      </c>
      <c r="F53" s="11"/>
      <c r="G53" s="11" t="s">
        <v>89</v>
      </c>
      <c r="H53" s="3"/>
      <c r="I53" s="11" t="s">
        <v>90</v>
      </c>
      <c r="J53" s="11"/>
      <c r="K53" s="11"/>
      <c r="L53" s="11"/>
      <c r="M53" s="11"/>
      <c r="N53" s="2">
        <v>1.25</v>
      </c>
      <c r="O53" s="2"/>
      <c r="P53" s="2"/>
      <c r="Q53" s="2"/>
      <c r="R53" s="11"/>
      <c r="S53" s="11" t="s">
        <v>143</v>
      </c>
      <c r="T53" s="11" t="s">
        <v>85</v>
      </c>
      <c r="U53" s="11"/>
      <c r="V53" s="11"/>
      <c r="W53" s="11"/>
      <c r="X53" s="11"/>
      <c r="Y53" s="11"/>
      <c r="Z53" s="11"/>
      <c r="AA53" s="11"/>
      <c r="AB53" s="9"/>
      <c r="AC53" s="2"/>
      <c r="AD53" s="9"/>
      <c r="AE53" s="2"/>
      <c r="AF53" s="9"/>
      <c r="AG53" s="10"/>
      <c r="AH53" s="11"/>
      <c r="AI53" s="11" t="s">
        <v>86</v>
      </c>
      <c r="AJ53" s="11"/>
      <c r="AK53" s="2"/>
      <c r="AL53" s="11"/>
      <c r="AM53" s="11"/>
      <c r="AN53" s="11"/>
      <c r="AO53" s="2"/>
      <c r="AP53" s="3"/>
      <c r="AQ53" s="11"/>
      <c r="AR53" s="3"/>
      <c r="AS53" s="2"/>
      <c r="AT53" s="11"/>
      <c r="AU53" s="2"/>
      <c r="AV53" s="2"/>
      <c r="AW53" s="2"/>
      <c r="AX53" s="11"/>
      <c r="AY53" s="11"/>
      <c r="AZ53" s="9"/>
      <c r="BA53" s="2">
        <v>1875</v>
      </c>
      <c r="BB53" s="11"/>
      <c r="BC53" s="11"/>
      <c r="BD53" s="11"/>
      <c r="BE53" s="11"/>
      <c r="BF53" s="11"/>
      <c r="BG53" s="11"/>
      <c r="BH53" s="11"/>
      <c r="BI53" s="11"/>
      <c r="BJ53" s="11" t="s">
        <v>87</v>
      </c>
      <c r="BK53" s="10">
        <v>46303.805902777778</v>
      </c>
      <c r="BL53" s="11"/>
      <c r="BM53" s="11"/>
      <c r="BN53" s="10">
        <v>46303.625</v>
      </c>
      <c r="BO53" s="11"/>
      <c r="BP53" s="11"/>
      <c r="BQ53" s="11"/>
      <c r="BR53" s="11"/>
      <c r="BS53" s="11"/>
      <c r="BT53" s="11"/>
      <c r="BU53" s="11"/>
      <c r="BV53" s="2"/>
      <c r="BW53" s="11"/>
    </row>
    <row r="54" spans="1:75" ht="30" x14ac:dyDescent="0.25">
      <c r="A54" s="2">
        <v>6200052</v>
      </c>
      <c r="B54" s="10">
        <v>46303.805902777778</v>
      </c>
      <c r="C54" s="11" t="s">
        <v>82</v>
      </c>
      <c r="D54" s="11"/>
      <c r="E54" s="11" t="s">
        <v>88</v>
      </c>
      <c r="F54" s="11"/>
      <c r="G54" s="2">
        <v>470123456</v>
      </c>
      <c r="H54" s="3"/>
      <c r="I54" s="11" t="s">
        <v>75</v>
      </c>
      <c r="J54" s="11"/>
      <c r="K54" s="11"/>
      <c r="L54" s="11"/>
      <c r="M54" s="11"/>
      <c r="N54" s="2">
        <v>1.25</v>
      </c>
      <c r="O54" s="2"/>
      <c r="P54" s="2"/>
      <c r="Q54" s="2"/>
      <c r="R54" s="11"/>
      <c r="S54" s="11" t="s">
        <v>144</v>
      </c>
      <c r="T54" s="11" t="s">
        <v>85</v>
      </c>
      <c r="U54" s="11"/>
      <c r="V54" s="11"/>
      <c r="W54" s="11"/>
      <c r="X54" s="11"/>
      <c r="Y54" s="11"/>
      <c r="Z54" s="11"/>
      <c r="AA54" s="11"/>
      <c r="AB54" s="9"/>
      <c r="AC54" s="2"/>
      <c r="AD54" s="9"/>
      <c r="AE54" s="2"/>
      <c r="AF54" s="9"/>
      <c r="AG54" s="10"/>
      <c r="AH54" s="11"/>
      <c r="AI54" s="11" t="s">
        <v>86</v>
      </c>
      <c r="AJ54" s="11"/>
      <c r="AK54" s="2"/>
      <c r="AL54" s="11"/>
      <c r="AM54" s="11"/>
      <c r="AN54" s="11"/>
      <c r="AO54" s="2"/>
      <c r="AP54" s="3"/>
      <c r="AQ54" s="11"/>
      <c r="AR54" s="3"/>
      <c r="AS54" s="2"/>
      <c r="AT54" s="11"/>
      <c r="AU54" s="2"/>
      <c r="AV54" s="2"/>
      <c r="AW54" s="2"/>
      <c r="AX54" s="11"/>
      <c r="AY54" s="11"/>
      <c r="AZ54" s="9"/>
      <c r="BA54" s="2">
        <v>1875</v>
      </c>
      <c r="BB54" s="11"/>
      <c r="BC54" s="11"/>
      <c r="BD54" s="11"/>
      <c r="BE54" s="11"/>
      <c r="BF54" s="11"/>
      <c r="BG54" s="11"/>
      <c r="BH54" s="11"/>
      <c r="BI54" s="11"/>
      <c r="BJ54" s="11" t="s">
        <v>87</v>
      </c>
      <c r="BK54" s="10">
        <v>46303.805902777778</v>
      </c>
      <c r="BL54" s="11"/>
      <c r="BM54" s="11"/>
      <c r="BN54" s="10">
        <v>46303.625</v>
      </c>
      <c r="BO54" s="11"/>
      <c r="BP54" s="11"/>
      <c r="BQ54" s="11"/>
      <c r="BR54" s="11"/>
      <c r="BS54" s="11"/>
      <c r="BT54" s="11"/>
      <c r="BU54" s="11"/>
      <c r="BV54" s="2"/>
      <c r="BW54" s="11"/>
    </row>
    <row r="55" spans="1:75" ht="30" x14ac:dyDescent="0.25">
      <c r="A55" s="2">
        <v>6200053</v>
      </c>
      <c r="B55" s="10">
        <v>46303.805902777778</v>
      </c>
      <c r="C55" s="11" t="s">
        <v>82</v>
      </c>
      <c r="D55" s="11"/>
      <c r="E55" s="11" t="s">
        <v>92</v>
      </c>
      <c r="F55" s="11"/>
      <c r="G55" s="11" t="s">
        <v>94</v>
      </c>
      <c r="H55" s="3"/>
      <c r="I55" s="11" t="s">
        <v>90</v>
      </c>
      <c r="J55" s="11"/>
      <c r="K55" s="11"/>
      <c r="L55" s="11"/>
      <c r="M55" s="11"/>
      <c r="N55" s="2">
        <v>1.25</v>
      </c>
      <c r="O55" s="2"/>
      <c r="P55" s="2"/>
      <c r="Q55" s="2"/>
      <c r="R55" s="11"/>
      <c r="S55" s="11" t="s">
        <v>145</v>
      </c>
      <c r="T55" s="11" t="s">
        <v>85</v>
      </c>
      <c r="U55" s="11"/>
      <c r="V55" s="11"/>
      <c r="W55" s="11"/>
      <c r="X55" s="11"/>
      <c r="Y55" s="11"/>
      <c r="Z55" s="11"/>
      <c r="AA55" s="11"/>
      <c r="AB55" s="9"/>
      <c r="AC55" s="2"/>
      <c r="AD55" s="9"/>
      <c r="AE55" s="2"/>
      <c r="AF55" s="9"/>
      <c r="AG55" s="10"/>
      <c r="AH55" s="11"/>
      <c r="AI55" s="11" t="s">
        <v>86</v>
      </c>
      <c r="AJ55" s="11"/>
      <c r="AK55" s="2"/>
      <c r="AL55" s="11"/>
      <c r="AM55" s="11"/>
      <c r="AN55" s="11"/>
      <c r="AO55" s="2"/>
      <c r="AP55" s="3"/>
      <c r="AQ55" s="11"/>
      <c r="AR55" s="3"/>
      <c r="AS55" s="2"/>
      <c r="AT55" s="11"/>
      <c r="AU55" s="2"/>
      <c r="AV55" s="2"/>
      <c r="AW55" s="2"/>
      <c r="AX55" s="11"/>
      <c r="AY55" s="11"/>
      <c r="AZ55" s="9"/>
      <c r="BA55" s="2">
        <v>1875</v>
      </c>
      <c r="BB55" s="11"/>
      <c r="BC55" s="11"/>
      <c r="BD55" s="11"/>
      <c r="BE55" s="11"/>
      <c r="BF55" s="11"/>
      <c r="BG55" s="11"/>
      <c r="BH55" s="11"/>
      <c r="BI55" s="11"/>
      <c r="BJ55" s="11" t="s">
        <v>87</v>
      </c>
      <c r="BK55" s="10">
        <v>46303.805902777778</v>
      </c>
      <c r="BL55" s="11"/>
      <c r="BM55" s="11"/>
      <c r="BN55" s="10">
        <v>46303.625</v>
      </c>
      <c r="BO55" s="11"/>
      <c r="BP55" s="11"/>
      <c r="BQ55" s="11"/>
      <c r="BR55" s="11"/>
      <c r="BS55" s="11"/>
      <c r="BT55" s="11"/>
      <c r="BU55" s="11"/>
      <c r="BV55" s="2"/>
      <c r="BW55" s="11"/>
    </row>
    <row r="56" spans="1:75" ht="30" x14ac:dyDescent="0.25">
      <c r="A56" s="2">
        <v>6200054</v>
      </c>
      <c r="B56" s="10">
        <v>46303.805902777778</v>
      </c>
      <c r="C56" s="11" t="s">
        <v>82</v>
      </c>
      <c r="D56" s="11"/>
      <c r="E56" s="11" t="s">
        <v>83</v>
      </c>
      <c r="F56" s="11"/>
      <c r="G56" s="11" t="s">
        <v>593</v>
      </c>
      <c r="H56" s="3"/>
      <c r="I56" s="11" t="s">
        <v>75</v>
      </c>
      <c r="J56" s="11"/>
      <c r="K56" s="11"/>
      <c r="L56" s="11"/>
      <c r="M56" s="11"/>
      <c r="N56" s="2">
        <v>1.25</v>
      </c>
      <c r="O56" s="2"/>
      <c r="P56" s="2"/>
      <c r="Q56" s="2"/>
      <c r="R56" s="11"/>
      <c r="S56" s="11" t="s">
        <v>146</v>
      </c>
      <c r="T56" s="11" t="s">
        <v>85</v>
      </c>
      <c r="U56" s="11"/>
      <c r="V56" s="11"/>
      <c r="W56" s="11"/>
      <c r="X56" s="11"/>
      <c r="Y56" s="11"/>
      <c r="Z56" s="11"/>
      <c r="AA56" s="11"/>
      <c r="AB56" s="9"/>
      <c r="AC56" s="2"/>
      <c r="AD56" s="9"/>
      <c r="AE56" s="2"/>
      <c r="AF56" s="9"/>
      <c r="AG56" s="10"/>
      <c r="AH56" s="11"/>
      <c r="AI56" s="11" t="s">
        <v>86</v>
      </c>
      <c r="AJ56" s="11"/>
      <c r="AK56" s="2"/>
      <c r="AL56" s="11"/>
      <c r="AM56" s="11"/>
      <c r="AN56" s="11"/>
      <c r="AO56" s="2"/>
      <c r="AP56" s="3"/>
      <c r="AQ56" s="11"/>
      <c r="AR56" s="3"/>
      <c r="AS56" s="2"/>
      <c r="AT56" s="11"/>
      <c r="AU56" s="2"/>
      <c r="AV56" s="2"/>
      <c r="AW56" s="2"/>
      <c r="AX56" s="11"/>
      <c r="AY56" s="11"/>
      <c r="AZ56" s="9"/>
      <c r="BA56" s="2">
        <v>1875</v>
      </c>
      <c r="BB56" s="11"/>
      <c r="BC56" s="11"/>
      <c r="BD56" s="11"/>
      <c r="BE56" s="11"/>
      <c r="BF56" s="11"/>
      <c r="BG56" s="11"/>
      <c r="BH56" s="11"/>
      <c r="BI56" s="11"/>
      <c r="BJ56" s="11" t="s">
        <v>87</v>
      </c>
      <c r="BK56" s="10">
        <v>46303.805902777778</v>
      </c>
      <c r="BL56" s="11"/>
      <c r="BM56" s="11"/>
      <c r="BN56" s="10">
        <v>46303.625</v>
      </c>
      <c r="BO56" s="11"/>
      <c r="BP56" s="11"/>
      <c r="BQ56" s="11"/>
      <c r="BR56" s="11"/>
      <c r="BS56" s="11"/>
      <c r="BT56" s="11"/>
      <c r="BU56" s="11"/>
      <c r="BV56" s="2"/>
      <c r="BW56" s="11"/>
    </row>
    <row r="57" spans="1:75" ht="30" x14ac:dyDescent="0.25">
      <c r="A57" s="2">
        <v>6200055</v>
      </c>
      <c r="B57" s="10">
        <v>46303.805902777778</v>
      </c>
      <c r="C57" s="11" t="s">
        <v>82</v>
      </c>
      <c r="D57" s="11"/>
      <c r="E57" s="11" t="s">
        <v>88</v>
      </c>
      <c r="F57" s="11"/>
      <c r="G57" s="11" t="s">
        <v>592</v>
      </c>
      <c r="H57" s="3"/>
      <c r="I57" s="11" t="s">
        <v>75</v>
      </c>
      <c r="J57" s="11"/>
      <c r="K57" s="11"/>
      <c r="L57" s="11"/>
      <c r="M57" s="11"/>
      <c r="N57" s="2">
        <v>1.25</v>
      </c>
      <c r="O57" s="2"/>
      <c r="P57" s="2"/>
      <c r="Q57" s="2"/>
      <c r="R57" s="11"/>
      <c r="S57" s="11" t="s">
        <v>147</v>
      </c>
      <c r="T57" s="11" t="s">
        <v>85</v>
      </c>
      <c r="U57" s="11"/>
      <c r="V57" s="11"/>
      <c r="W57" s="11"/>
      <c r="X57" s="11"/>
      <c r="Y57" s="11"/>
      <c r="Z57" s="11"/>
      <c r="AA57" s="11"/>
      <c r="AB57" s="9"/>
      <c r="AC57" s="2"/>
      <c r="AD57" s="9"/>
      <c r="AE57" s="2"/>
      <c r="AF57" s="9"/>
      <c r="AG57" s="10"/>
      <c r="AH57" s="11"/>
      <c r="AI57" s="11" t="s">
        <v>86</v>
      </c>
      <c r="AJ57" s="11"/>
      <c r="AK57" s="2"/>
      <c r="AL57" s="11"/>
      <c r="AM57" s="11"/>
      <c r="AN57" s="11"/>
      <c r="AO57" s="2"/>
      <c r="AP57" s="3"/>
      <c r="AQ57" s="11"/>
      <c r="AR57" s="3"/>
      <c r="AS57" s="2"/>
      <c r="AT57" s="11"/>
      <c r="AU57" s="2"/>
      <c r="AV57" s="2"/>
      <c r="AW57" s="2"/>
      <c r="AX57" s="11"/>
      <c r="AY57" s="11"/>
      <c r="AZ57" s="9"/>
      <c r="BA57" s="2">
        <v>1875</v>
      </c>
      <c r="BB57" s="11"/>
      <c r="BC57" s="11"/>
      <c r="BD57" s="11"/>
      <c r="BE57" s="11"/>
      <c r="BF57" s="11"/>
      <c r="BG57" s="11"/>
      <c r="BH57" s="11"/>
      <c r="BI57" s="11"/>
      <c r="BJ57" s="11" t="s">
        <v>87</v>
      </c>
      <c r="BK57" s="10">
        <v>46303.805902777778</v>
      </c>
      <c r="BL57" s="11"/>
      <c r="BM57" s="11"/>
      <c r="BN57" s="10">
        <v>46303.625</v>
      </c>
      <c r="BO57" s="11"/>
      <c r="BP57" s="11"/>
      <c r="BQ57" s="11"/>
      <c r="BR57" s="11"/>
      <c r="BS57" s="11"/>
      <c r="BT57" s="11"/>
      <c r="BU57" s="11"/>
      <c r="BV57" s="2"/>
      <c r="BW57" s="11"/>
    </row>
    <row r="58" spans="1:75" ht="30" x14ac:dyDescent="0.25">
      <c r="A58" s="2">
        <v>6200056</v>
      </c>
      <c r="B58" s="10">
        <v>46303.805902777778</v>
      </c>
      <c r="C58" s="11" t="s">
        <v>82</v>
      </c>
      <c r="D58" s="11"/>
      <c r="E58" s="11" t="s">
        <v>92</v>
      </c>
      <c r="F58" s="11"/>
      <c r="G58" s="11" t="s">
        <v>89</v>
      </c>
      <c r="H58" s="3"/>
      <c r="I58" s="11" t="s">
        <v>90</v>
      </c>
      <c r="J58" s="11"/>
      <c r="K58" s="11"/>
      <c r="L58" s="11"/>
      <c r="M58" s="11"/>
      <c r="N58" s="2">
        <v>1.25</v>
      </c>
      <c r="O58" s="2"/>
      <c r="P58" s="2"/>
      <c r="Q58" s="2"/>
      <c r="R58" s="11"/>
      <c r="S58" s="11" t="s">
        <v>148</v>
      </c>
      <c r="T58" s="11" t="s">
        <v>85</v>
      </c>
      <c r="U58" s="11"/>
      <c r="V58" s="11"/>
      <c r="W58" s="11"/>
      <c r="X58" s="11"/>
      <c r="Y58" s="11"/>
      <c r="Z58" s="11"/>
      <c r="AA58" s="11"/>
      <c r="AB58" s="9"/>
      <c r="AC58" s="2"/>
      <c r="AD58" s="9"/>
      <c r="AE58" s="2"/>
      <c r="AF58" s="9"/>
      <c r="AG58" s="10"/>
      <c r="AH58" s="11"/>
      <c r="AI58" s="11" t="s">
        <v>86</v>
      </c>
      <c r="AJ58" s="11"/>
      <c r="AK58" s="2"/>
      <c r="AL58" s="11"/>
      <c r="AM58" s="11"/>
      <c r="AN58" s="11"/>
      <c r="AO58" s="2"/>
      <c r="AP58" s="3"/>
      <c r="AQ58" s="11"/>
      <c r="AR58" s="3"/>
      <c r="AS58" s="2"/>
      <c r="AT58" s="11"/>
      <c r="AU58" s="2"/>
      <c r="AV58" s="2"/>
      <c r="AW58" s="2"/>
      <c r="AX58" s="11"/>
      <c r="AY58" s="11"/>
      <c r="AZ58" s="9"/>
      <c r="BA58" s="2">
        <v>1875</v>
      </c>
      <c r="BB58" s="11"/>
      <c r="BC58" s="11"/>
      <c r="BD58" s="11"/>
      <c r="BE58" s="11"/>
      <c r="BF58" s="11"/>
      <c r="BG58" s="11"/>
      <c r="BH58" s="11"/>
      <c r="BI58" s="11"/>
      <c r="BJ58" s="11" t="s">
        <v>87</v>
      </c>
      <c r="BK58" s="10">
        <v>46303.805902777778</v>
      </c>
      <c r="BL58" s="11"/>
      <c r="BM58" s="11"/>
      <c r="BN58" s="10">
        <v>46303.625</v>
      </c>
      <c r="BO58" s="11"/>
      <c r="BP58" s="11"/>
      <c r="BQ58" s="11"/>
      <c r="BR58" s="11"/>
      <c r="BS58" s="11"/>
      <c r="BT58" s="11"/>
      <c r="BU58" s="11"/>
      <c r="BV58" s="2"/>
      <c r="BW58" s="11"/>
    </row>
    <row r="59" spans="1:75" ht="30" x14ac:dyDescent="0.25">
      <c r="A59" s="2">
        <v>6200057</v>
      </c>
      <c r="B59" s="10">
        <v>46303.805902777778</v>
      </c>
      <c r="C59" s="11" t="s">
        <v>82</v>
      </c>
      <c r="D59" s="11"/>
      <c r="E59" s="11" t="s">
        <v>83</v>
      </c>
      <c r="F59" s="11"/>
      <c r="G59" s="2">
        <v>470123456</v>
      </c>
      <c r="H59" s="3"/>
      <c r="I59" s="11" t="s">
        <v>75</v>
      </c>
      <c r="J59" s="11"/>
      <c r="K59" s="11"/>
      <c r="L59" s="11"/>
      <c r="M59" s="11"/>
      <c r="N59" s="2">
        <v>1.25</v>
      </c>
      <c r="O59" s="2"/>
      <c r="P59" s="2"/>
      <c r="Q59" s="2"/>
      <c r="R59" s="11"/>
      <c r="S59" s="11" t="s">
        <v>149</v>
      </c>
      <c r="T59" s="11" t="s">
        <v>85</v>
      </c>
      <c r="U59" s="11"/>
      <c r="V59" s="11"/>
      <c r="W59" s="11"/>
      <c r="X59" s="11"/>
      <c r="Y59" s="11"/>
      <c r="Z59" s="11"/>
      <c r="AA59" s="11"/>
      <c r="AB59" s="9"/>
      <c r="AC59" s="2"/>
      <c r="AD59" s="9"/>
      <c r="AE59" s="2"/>
      <c r="AF59" s="9"/>
      <c r="AG59" s="10"/>
      <c r="AH59" s="11"/>
      <c r="AI59" s="11" t="s">
        <v>86</v>
      </c>
      <c r="AJ59" s="11"/>
      <c r="AK59" s="2"/>
      <c r="AL59" s="11"/>
      <c r="AM59" s="11"/>
      <c r="AN59" s="11"/>
      <c r="AO59" s="2"/>
      <c r="AP59" s="3"/>
      <c r="AQ59" s="11"/>
      <c r="AR59" s="3"/>
      <c r="AS59" s="2"/>
      <c r="AT59" s="11"/>
      <c r="AU59" s="2"/>
      <c r="AV59" s="2"/>
      <c r="AW59" s="2"/>
      <c r="AX59" s="11"/>
      <c r="AY59" s="11"/>
      <c r="AZ59" s="9"/>
      <c r="BA59" s="2">
        <v>1875</v>
      </c>
      <c r="BB59" s="11"/>
      <c r="BC59" s="11"/>
      <c r="BD59" s="11"/>
      <c r="BE59" s="11"/>
      <c r="BF59" s="11"/>
      <c r="BG59" s="11"/>
      <c r="BH59" s="11"/>
      <c r="BI59" s="11"/>
      <c r="BJ59" s="11" t="s">
        <v>87</v>
      </c>
      <c r="BK59" s="10">
        <v>46303.805902777778</v>
      </c>
      <c r="BL59" s="11"/>
      <c r="BM59" s="11"/>
      <c r="BN59" s="10">
        <v>46303.625</v>
      </c>
      <c r="BO59" s="11"/>
      <c r="BP59" s="11"/>
      <c r="BQ59" s="11"/>
      <c r="BR59" s="11"/>
      <c r="BS59" s="11"/>
      <c r="BT59" s="11"/>
      <c r="BU59" s="11"/>
      <c r="BV59" s="2"/>
      <c r="BW59" s="11"/>
    </row>
    <row r="60" spans="1:75" ht="30" x14ac:dyDescent="0.25">
      <c r="A60" s="2">
        <v>6200058</v>
      </c>
      <c r="B60" s="10">
        <v>46303.805902777778</v>
      </c>
      <c r="C60" s="11" t="s">
        <v>82</v>
      </c>
      <c r="D60" s="11"/>
      <c r="E60" s="11" t="s">
        <v>88</v>
      </c>
      <c r="F60" s="11"/>
      <c r="G60" s="11" t="s">
        <v>94</v>
      </c>
      <c r="H60" s="3"/>
      <c r="I60" s="11" t="s">
        <v>90</v>
      </c>
      <c r="J60" s="11"/>
      <c r="K60" s="11"/>
      <c r="L60" s="11"/>
      <c r="M60" s="11"/>
      <c r="N60" s="2">
        <v>1.25</v>
      </c>
      <c r="O60" s="2"/>
      <c r="P60" s="2"/>
      <c r="Q60" s="2"/>
      <c r="R60" s="11"/>
      <c r="S60" s="11" t="s">
        <v>150</v>
      </c>
      <c r="T60" s="11" t="s">
        <v>85</v>
      </c>
      <c r="U60" s="11"/>
      <c r="V60" s="11"/>
      <c r="W60" s="11"/>
      <c r="X60" s="11"/>
      <c r="Y60" s="11"/>
      <c r="Z60" s="11"/>
      <c r="AA60" s="11"/>
      <c r="AB60" s="9"/>
      <c r="AC60" s="2"/>
      <c r="AD60" s="9"/>
      <c r="AE60" s="2"/>
      <c r="AF60" s="9"/>
      <c r="AG60" s="10"/>
      <c r="AH60" s="11"/>
      <c r="AI60" s="11" t="s">
        <v>86</v>
      </c>
      <c r="AJ60" s="11"/>
      <c r="AK60" s="2"/>
      <c r="AL60" s="11"/>
      <c r="AM60" s="11"/>
      <c r="AN60" s="11"/>
      <c r="AO60" s="2"/>
      <c r="AP60" s="3"/>
      <c r="AQ60" s="11"/>
      <c r="AR60" s="3"/>
      <c r="AS60" s="2"/>
      <c r="AT60" s="11"/>
      <c r="AU60" s="2"/>
      <c r="AV60" s="2"/>
      <c r="AW60" s="2"/>
      <c r="AX60" s="11"/>
      <c r="AY60" s="11"/>
      <c r="AZ60" s="9"/>
      <c r="BA60" s="2">
        <v>1875</v>
      </c>
      <c r="BB60" s="11"/>
      <c r="BC60" s="11"/>
      <c r="BD60" s="11"/>
      <c r="BE60" s="11"/>
      <c r="BF60" s="11"/>
      <c r="BG60" s="11"/>
      <c r="BH60" s="11"/>
      <c r="BI60" s="11"/>
      <c r="BJ60" s="11" t="s">
        <v>87</v>
      </c>
      <c r="BK60" s="10">
        <v>46303.805902777778</v>
      </c>
      <c r="BL60" s="11"/>
      <c r="BM60" s="11"/>
      <c r="BN60" s="10">
        <v>46303.625</v>
      </c>
      <c r="BO60" s="11"/>
      <c r="BP60" s="11"/>
      <c r="BQ60" s="11"/>
      <c r="BR60" s="11"/>
      <c r="BS60" s="11"/>
      <c r="BT60" s="11"/>
      <c r="BU60" s="11"/>
      <c r="BV60" s="2"/>
      <c r="BW60" s="11"/>
    </row>
    <row r="61" spans="1:75" ht="30" x14ac:dyDescent="0.25">
      <c r="A61" s="2">
        <v>6200059</v>
      </c>
      <c r="B61" s="10">
        <v>46303.805902777778</v>
      </c>
      <c r="C61" s="11" t="s">
        <v>82</v>
      </c>
      <c r="D61" s="11"/>
      <c r="E61" s="11" t="s">
        <v>92</v>
      </c>
      <c r="F61" s="11"/>
      <c r="G61" s="11" t="s">
        <v>593</v>
      </c>
      <c r="H61" s="3"/>
      <c r="I61" s="11" t="s">
        <v>75</v>
      </c>
      <c r="J61" s="11"/>
      <c r="K61" s="11"/>
      <c r="L61" s="11"/>
      <c r="M61" s="11"/>
      <c r="N61" s="2">
        <v>1.25</v>
      </c>
      <c r="O61" s="2"/>
      <c r="P61" s="2"/>
      <c r="Q61" s="2"/>
      <c r="R61" s="11"/>
      <c r="S61" s="11" t="s">
        <v>151</v>
      </c>
      <c r="T61" s="11" t="s">
        <v>85</v>
      </c>
      <c r="U61" s="11"/>
      <c r="V61" s="11"/>
      <c r="W61" s="11"/>
      <c r="X61" s="11"/>
      <c r="Y61" s="11"/>
      <c r="Z61" s="11"/>
      <c r="AA61" s="11"/>
      <c r="AB61" s="9"/>
      <c r="AC61" s="2"/>
      <c r="AD61" s="9"/>
      <c r="AE61" s="2"/>
      <c r="AF61" s="9"/>
      <c r="AG61" s="10"/>
      <c r="AH61" s="11"/>
      <c r="AI61" s="11" t="s">
        <v>86</v>
      </c>
      <c r="AJ61" s="11"/>
      <c r="AK61" s="2"/>
      <c r="AL61" s="11"/>
      <c r="AM61" s="11"/>
      <c r="AN61" s="11"/>
      <c r="AO61" s="2"/>
      <c r="AP61" s="3"/>
      <c r="AQ61" s="11"/>
      <c r="AR61" s="3"/>
      <c r="AS61" s="2"/>
      <c r="AT61" s="11"/>
      <c r="AU61" s="2"/>
      <c r="AV61" s="2"/>
      <c r="AW61" s="2"/>
      <c r="AX61" s="11"/>
      <c r="AY61" s="11"/>
      <c r="AZ61" s="9"/>
      <c r="BA61" s="2">
        <v>1875</v>
      </c>
      <c r="BB61" s="11"/>
      <c r="BC61" s="11"/>
      <c r="BD61" s="11"/>
      <c r="BE61" s="11"/>
      <c r="BF61" s="11"/>
      <c r="BG61" s="11"/>
      <c r="BH61" s="11"/>
      <c r="BI61" s="11"/>
      <c r="BJ61" s="11" t="s">
        <v>87</v>
      </c>
      <c r="BK61" s="10">
        <v>46303.805902777778</v>
      </c>
      <c r="BL61" s="11"/>
      <c r="BM61" s="11"/>
      <c r="BN61" s="10">
        <v>46303.625</v>
      </c>
      <c r="BO61" s="11"/>
      <c r="BP61" s="11"/>
      <c r="BQ61" s="11"/>
      <c r="BR61" s="11"/>
      <c r="BS61" s="11"/>
      <c r="BT61" s="11"/>
      <c r="BU61" s="11"/>
      <c r="BV61" s="2"/>
      <c r="BW61" s="11"/>
    </row>
    <row r="62" spans="1:75" ht="30" x14ac:dyDescent="0.25">
      <c r="A62" s="2">
        <v>6200060</v>
      </c>
      <c r="B62" s="10">
        <v>46303.805902777778</v>
      </c>
      <c r="C62" s="11" t="s">
        <v>82</v>
      </c>
      <c r="D62" s="11"/>
      <c r="E62" s="11" t="s">
        <v>83</v>
      </c>
      <c r="F62" s="11"/>
      <c r="G62" s="11" t="s">
        <v>592</v>
      </c>
      <c r="H62" s="3"/>
      <c r="I62" s="11" t="s">
        <v>75</v>
      </c>
      <c r="J62" s="11"/>
      <c r="K62" s="11"/>
      <c r="L62" s="11"/>
      <c r="M62" s="11"/>
      <c r="N62" s="2">
        <v>1.25</v>
      </c>
      <c r="O62" s="2"/>
      <c r="P62" s="2"/>
      <c r="Q62" s="2"/>
      <c r="R62" s="11"/>
      <c r="S62" s="11" t="s">
        <v>152</v>
      </c>
      <c r="T62" s="11" t="s">
        <v>85</v>
      </c>
      <c r="U62" s="11"/>
      <c r="V62" s="11"/>
      <c r="W62" s="11"/>
      <c r="X62" s="11"/>
      <c r="Y62" s="11"/>
      <c r="Z62" s="11"/>
      <c r="AA62" s="11"/>
      <c r="AB62" s="9"/>
      <c r="AC62" s="2"/>
      <c r="AD62" s="9"/>
      <c r="AE62" s="2"/>
      <c r="AF62" s="9"/>
      <c r="AG62" s="10"/>
      <c r="AH62" s="11"/>
      <c r="AI62" s="11" t="s">
        <v>86</v>
      </c>
      <c r="AJ62" s="11"/>
      <c r="AK62" s="2"/>
      <c r="AL62" s="11"/>
      <c r="AM62" s="11"/>
      <c r="AN62" s="11"/>
      <c r="AO62" s="2"/>
      <c r="AP62" s="3"/>
      <c r="AQ62" s="11"/>
      <c r="AR62" s="3"/>
      <c r="AS62" s="2"/>
      <c r="AT62" s="11"/>
      <c r="AU62" s="2"/>
      <c r="AV62" s="2"/>
      <c r="AW62" s="2"/>
      <c r="AX62" s="11"/>
      <c r="AY62" s="11"/>
      <c r="AZ62" s="9"/>
      <c r="BA62" s="2">
        <v>1875</v>
      </c>
      <c r="BB62" s="11"/>
      <c r="BC62" s="11"/>
      <c r="BD62" s="11"/>
      <c r="BE62" s="11"/>
      <c r="BF62" s="11"/>
      <c r="BG62" s="11"/>
      <c r="BH62" s="11"/>
      <c r="BI62" s="11"/>
      <c r="BJ62" s="11" t="s">
        <v>87</v>
      </c>
      <c r="BK62" s="10">
        <v>46303.805902777778</v>
      </c>
      <c r="BL62" s="11"/>
      <c r="BM62" s="11"/>
      <c r="BN62" s="10">
        <v>46303.625</v>
      </c>
      <c r="BO62" s="11"/>
      <c r="BP62" s="11"/>
      <c r="BQ62" s="11"/>
      <c r="BR62" s="11"/>
      <c r="BS62" s="11"/>
      <c r="BT62" s="11"/>
      <c r="BU62" s="11"/>
      <c r="BV62" s="2"/>
      <c r="BW62" s="11"/>
    </row>
    <row r="63" spans="1:75" ht="30" x14ac:dyDescent="0.25">
      <c r="A63" s="2">
        <v>6200061</v>
      </c>
      <c r="B63" s="10">
        <v>46303.805902777778</v>
      </c>
      <c r="C63" s="11" t="s">
        <v>82</v>
      </c>
      <c r="D63" s="11"/>
      <c r="E63" s="11" t="s">
        <v>88</v>
      </c>
      <c r="F63" s="11"/>
      <c r="G63" s="11" t="s">
        <v>89</v>
      </c>
      <c r="H63" s="3"/>
      <c r="I63" s="11" t="s">
        <v>90</v>
      </c>
      <c r="J63" s="11"/>
      <c r="K63" s="11"/>
      <c r="L63" s="11"/>
      <c r="M63" s="11"/>
      <c r="N63" s="2">
        <v>1.25</v>
      </c>
      <c r="O63" s="2"/>
      <c r="P63" s="2"/>
      <c r="Q63" s="2"/>
      <c r="R63" s="11"/>
      <c r="S63" s="11" t="s">
        <v>153</v>
      </c>
      <c r="T63" s="11" t="s">
        <v>85</v>
      </c>
      <c r="U63" s="11"/>
      <c r="V63" s="11"/>
      <c r="W63" s="11"/>
      <c r="X63" s="11"/>
      <c r="Y63" s="11"/>
      <c r="Z63" s="11"/>
      <c r="AA63" s="11"/>
      <c r="AB63" s="9"/>
      <c r="AC63" s="2"/>
      <c r="AD63" s="9"/>
      <c r="AE63" s="2"/>
      <c r="AF63" s="9"/>
      <c r="AG63" s="10"/>
      <c r="AH63" s="11"/>
      <c r="AI63" s="11" t="s">
        <v>86</v>
      </c>
      <c r="AJ63" s="11"/>
      <c r="AK63" s="2"/>
      <c r="AL63" s="11"/>
      <c r="AM63" s="11"/>
      <c r="AN63" s="11"/>
      <c r="AO63" s="2"/>
      <c r="AP63" s="3"/>
      <c r="AQ63" s="11"/>
      <c r="AR63" s="3"/>
      <c r="AS63" s="2"/>
      <c r="AT63" s="11"/>
      <c r="AU63" s="2"/>
      <c r="AV63" s="2"/>
      <c r="AW63" s="2"/>
      <c r="AX63" s="11"/>
      <c r="AY63" s="11"/>
      <c r="AZ63" s="9"/>
      <c r="BA63" s="2">
        <v>1875</v>
      </c>
      <c r="BB63" s="11"/>
      <c r="BC63" s="11"/>
      <c r="BD63" s="11"/>
      <c r="BE63" s="11"/>
      <c r="BF63" s="11"/>
      <c r="BG63" s="11"/>
      <c r="BH63" s="11"/>
      <c r="BI63" s="11"/>
      <c r="BJ63" s="11" t="s">
        <v>87</v>
      </c>
      <c r="BK63" s="10">
        <v>46303.805902777778</v>
      </c>
      <c r="BL63" s="11"/>
      <c r="BM63" s="11"/>
      <c r="BN63" s="10">
        <v>46303.625</v>
      </c>
      <c r="BO63" s="11"/>
      <c r="BP63" s="11"/>
      <c r="BQ63" s="11"/>
      <c r="BR63" s="11"/>
      <c r="BS63" s="11"/>
      <c r="BT63" s="11"/>
      <c r="BU63" s="11"/>
      <c r="BV63" s="2"/>
      <c r="BW63" s="11"/>
    </row>
    <row r="64" spans="1:75" ht="30" x14ac:dyDescent="0.25">
      <c r="A64" s="2">
        <v>6200062</v>
      </c>
      <c r="B64" s="10">
        <v>46303.805902777778</v>
      </c>
      <c r="C64" s="11" t="s">
        <v>82</v>
      </c>
      <c r="D64" s="11"/>
      <c r="E64" s="11" t="s">
        <v>92</v>
      </c>
      <c r="F64" s="11"/>
      <c r="G64" s="2">
        <v>470123456</v>
      </c>
      <c r="H64" s="3"/>
      <c r="I64" s="11" t="s">
        <v>75</v>
      </c>
      <c r="J64" s="11"/>
      <c r="K64" s="11"/>
      <c r="L64" s="11"/>
      <c r="M64" s="11"/>
      <c r="N64" s="2">
        <v>1.25</v>
      </c>
      <c r="O64" s="2"/>
      <c r="P64" s="2"/>
      <c r="Q64" s="2"/>
      <c r="R64" s="11"/>
      <c r="S64" s="11" t="s">
        <v>154</v>
      </c>
      <c r="T64" s="11" t="s">
        <v>85</v>
      </c>
      <c r="U64" s="11"/>
      <c r="V64" s="11"/>
      <c r="W64" s="11"/>
      <c r="X64" s="11"/>
      <c r="Y64" s="11"/>
      <c r="Z64" s="11"/>
      <c r="AA64" s="11"/>
      <c r="AB64" s="9"/>
      <c r="AC64" s="2"/>
      <c r="AD64" s="9"/>
      <c r="AE64" s="2"/>
      <c r="AF64" s="9"/>
      <c r="AG64" s="10"/>
      <c r="AH64" s="11"/>
      <c r="AI64" s="11" t="s">
        <v>86</v>
      </c>
      <c r="AJ64" s="11"/>
      <c r="AK64" s="2"/>
      <c r="AL64" s="11"/>
      <c r="AM64" s="11"/>
      <c r="AN64" s="11"/>
      <c r="AO64" s="2"/>
      <c r="AP64" s="3"/>
      <c r="AQ64" s="11"/>
      <c r="AR64" s="3"/>
      <c r="AS64" s="2"/>
      <c r="AT64" s="11"/>
      <c r="AU64" s="2"/>
      <c r="AV64" s="2"/>
      <c r="AW64" s="2"/>
      <c r="AX64" s="11"/>
      <c r="AY64" s="11"/>
      <c r="AZ64" s="9"/>
      <c r="BA64" s="2">
        <v>1875</v>
      </c>
      <c r="BB64" s="11"/>
      <c r="BC64" s="11"/>
      <c r="BD64" s="11"/>
      <c r="BE64" s="11"/>
      <c r="BF64" s="11"/>
      <c r="BG64" s="11"/>
      <c r="BH64" s="11"/>
      <c r="BI64" s="11"/>
      <c r="BJ64" s="11" t="s">
        <v>87</v>
      </c>
      <c r="BK64" s="10">
        <v>46303.805902777778</v>
      </c>
      <c r="BL64" s="11"/>
      <c r="BM64" s="11"/>
      <c r="BN64" s="10">
        <v>46303.625</v>
      </c>
      <c r="BO64" s="11"/>
      <c r="BP64" s="11"/>
      <c r="BQ64" s="11"/>
      <c r="BR64" s="11"/>
      <c r="BS64" s="11"/>
      <c r="BT64" s="11"/>
      <c r="BU64" s="11"/>
      <c r="BV64" s="2"/>
      <c r="BW64" s="11"/>
    </row>
    <row r="65" spans="1:75" ht="30" x14ac:dyDescent="0.25">
      <c r="A65" s="2">
        <v>6200063</v>
      </c>
      <c r="B65" s="10">
        <v>46303.805902777778</v>
      </c>
      <c r="C65" s="11" t="s">
        <v>82</v>
      </c>
      <c r="D65" s="11"/>
      <c r="E65" s="11" t="s">
        <v>83</v>
      </c>
      <c r="F65" s="11"/>
      <c r="G65" s="11" t="s">
        <v>94</v>
      </c>
      <c r="H65" s="3"/>
      <c r="I65" s="11" t="s">
        <v>90</v>
      </c>
      <c r="J65" s="11"/>
      <c r="K65" s="11"/>
      <c r="L65" s="11"/>
      <c r="M65" s="11"/>
      <c r="N65" s="2">
        <v>1.25</v>
      </c>
      <c r="O65" s="2"/>
      <c r="P65" s="2"/>
      <c r="Q65" s="2"/>
      <c r="R65" s="11"/>
      <c r="S65" s="11" t="s">
        <v>155</v>
      </c>
      <c r="T65" s="11" t="s">
        <v>85</v>
      </c>
      <c r="U65" s="11"/>
      <c r="V65" s="11"/>
      <c r="W65" s="11"/>
      <c r="X65" s="11"/>
      <c r="Y65" s="11"/>
      <c r="Z65" s="11"/>
      <c r="AA65" s="11"/>
      <c r="AB65" s="9"/>
      <c r="AC65" s="2"/>
      <c r="AD65" s="9"/>
      <c r="AE65" s="2"/>
      <c r="AF65" s="9"/>
      <c r="AG65" s="10"/>
      <c r="AH65" s="11"/>
      <c r="AI65" s="11" t="s">
        <v>86</v>
      </c>
      <c r="AJ65" s="11"/>
      <c r="AK65" s="2"/>
      <c r="AL65" s="11"/>
      <c r="AM65" s="11"/>
      <c r="AN65" s="11"/>
      <c r="AO65" s="2"/>
      <c r="AP65" s="3"/>
      <c r="AQ65" s="11"/>
      <c r="AR65" s="3"/>
      <c r="AS65" s="2"/>
      <c r="AT65" s="11"/>
      <c r="AU65" s="2"/>
      <c r="AV65" s="2"/>
      <c r="AW65" s="2"/>
      <c r="AX65" s="11"/>
      <c r="AY65" s="11"/>
      <c r="AZ65" s="9"/>
      <c r="BA65" s="2">
        <v>1875</v>
      </c>
      <c r="BB65" s="11"/>
      <c r="BC65" s="11"/>
      <c r="BD65" s="11"/>
      <c r="BE65" s="11"/>
      <c r="BF65" s="11"/>
      <c r="BG65" s="11"/>
      <c r="BH65" s="11"/>
      <c r="BI65" s="11"/>
      <c r="BJ65" s="11" t="s">
        <v>87</v>
      </c>
      <c r="BK65" s="10">
        <v>46303.805902777778</v>
      </c>
      <c r="BL65" s="11"/>
      <c r="BM65" s="11"/>
      <c r="BN65" s="10">
        <v>46303.625</v>
      </c>
      <c r="BO65" s="11"/>
      <c r="BP65" s="11"/>
      <c r="BQ65" s="11"/>
      <c r="BR65" s="11"/>
      <c r="BS65" s="11"/>
      <c r="BT65" s="11"/>
      <c r="BU65" s="11"/>
      <c r="BV65" s="2"/>
      <c r="BW65" s="11"/>
    </row>
    <row r="66" spans="1:75" ht="30" x14ac:dyDescent="0.25">
      <c r="A66" s="2">
        <v>6200064</v>
      </c>
      <c r="B66" s="10">
        <v>46303.805902777778</v>
      </c>
      <c r="C66" s="11" t="s">
        <v>82</v>
      </c>
      <c r="D66" s="11"/>
      <c r="E66" s="11" t="s">
        <v>88</v>
      </c>
      <c r="F66" s="11"/>
      <c r="G66" s="11" t="s">
        <v>593</v>
      </c>
      <c r="H66" s="3"/>
      <c r="I66" s="11" t="s">
        <v>75</v>
      </c>
      <c r="J66" s="11"/>
      <c r="K66" s="11"/>
      <c r="L66" s="11"/>
      <c r="M66" s="11"/>
      <c r="N66" s="2">
        <v>1.25</v>
      </c>
      <c r="O66" s="2"/>
      <c r="P66" s="2"/>
      <c r="Q66" s="2"/>
      <c r="R66" s="11"/>
      <c r="S66" s="11" t="s">
        <v>156</v>
      </c>
      <c r="T66" s="11" t="s">
        <v>85</v>
      </c>
      <c r="U66" s="11"/>
      <c r="V66" s="11"/>
      <c r="W66" s="11"/>
      <c r="X66" s="11"/>
      <c r="Y66" s="11"/>
      <c r="Z66" s="11"/>
      <c r="AA66" s="11"/>
      <c r="AB66" s="9"/>
      <c r="AC66" s="2"/>
      <c r="AD66" s="9"/>
      <c r="AE66" s="2"/>
      <c r="AF66" s="9"/>
      <c r="AG66" s="10"/>
      <c r="AH66" s="11"/>
      <c r="AI66" s="11" t="s">
        <v>86</v>
      </c>
      <c r="AJ66" s="11"/>
      <c r="AK66" s="2"/>
      <c r="AL66" s="11"/>
      <c r="AM66" s="11"/>
      <c r="AN66" s="11"/>
      <c r="AO66" s="2"/>
      <c r="AP66" s="3"/>
      <c r="AQ66" s="11"/>
      <c r="AR66" s="3"/>
      <c r="AS66" s="2"/>
      <c r="AT66" s="11"/>
      <c r="AU66" s="2"/>
      <c r="AV66" s="2"/>
      <c r="AW66" s="2"/>
      <c r="AX66" s="11"/>
      <c r="AY66" s="11"/>
      <c r="AZ66" s="9"/>
      <c r="BA66" s="2">
        <v>1875</v>
      </c>
      <c r="BB66" s="11"/>
      <c r="BC66" s="11"/>
      <c r="BD66" s="11"/>
      <c r="BE66" s="11"/>
      <c r="BF66" s="11"/>
      <c r="BG66" s="11"/>
      <c r="BH66" s="11"/>
      <c r="BI66" s="11"/>
      <c r="BJ66" s="11" t="s">
        <v>87</v>
      </c>
      <c r="BK66" s="10">
        <v>46303.805902777778</v>
      </c>
      <c r="BL66" s="11"/>
      <c r="BM66" s="11"/>
      <c r="BN66" s="10">
        <v>46303.625</v>
      </c>
      <c r="BO66" s="11"/>
      <c r="BP66" s="11"/>
      <c r="BQ66" s="11"/>
      <c r="BR66" s="11"/>
      <c r="BS66" s="11"/>
      <c r="BT66" s="11"/>
      <c r="BU66" s="11"/>
      <c r="BV66" s="2"/>
      <c r="BW66" s="11"/>
    </row>
    <row r="67" spans="1:75" ht="30" x14ac:dyDescent="0.25">
      <c r="A67" s="2">
        <v>6200065</v>
      </c>
      <c r="B67" s="10">
        <v>46303.805902777778</v>
      </c>
      <c r="C67" s="11" t="s">
        <v>82</v>
      </c>
      <c r="D67" s="11"/>
      <c r="E67" s="11" t="s">
        <v>92</v>
      </c>
      <c r="F67" s="11"/>
      <c r="G67" s="11" t="s">
        <v>592</v>
      </c>
      <c r="H67" s="3"/>
      <c r="I67" s="11" t="s">
        <v>75</v>
      </c>
      <c r="J67" s="11"/>
      <c r="K67" s="11"/>
      <c r="L67" s="11"/>
      <c r="M67" s="11"/>
      <c r="N67" s="2">
        <v>1.25</v>
      </c>
      <c r="O67" s="2"/>
      <c r="P67" s="2"/>
      <c r="Q67" s="2"/>
      <c r="R67" s="11"/>
      <c r="S67" s="11" t="s">
        <v>157</v>
      </c>
      <c r="T67" s="11" t="s">
        <v>85</v>
      </c>
      <c r="U67" s="11"/>
      <c r="V67" s="11"/>
      <c r="W67" s="11"/>
      <c r="X67" s="11"/>
      <c r="Y67" s="11"/>
      <c r="Z67" s="11"/>
      <c r="AA67" s="11"/>
      <c r="AB67" s="9"/>
      <c r="AC67" s="2"/>
      <c r="AD67" s="9"/>
      <c r="AE67" s="2"/>
      <c r="AF67" s="9"/>
      <c r="AG67" s="10"/>
      <c r="AH67" s="11"/>
      <c r="AI67" s="11" t="s">
        <v>86</v>
      </c>
      <c r="AJ67" s="11"/>
      <c r="AK67" s="2"/>
      <c r="AL67" s="11"/>
      <c r="AM67" s="11"/>
      <c r="AN67" s="11"/>
      <c r="AO67" s="2"/>
      <c r="AP67" s="3"/>
      <c r="AQ67" s="11"/>
      <c r="AR67" s="3"/>
      <c r="AS67" s="2"/>
      <c r="AT67" s="11"/>
      <c r="AU67" s="2"/>
      <c r="AV67" s="2"/>
      <c r="AW67" s="2"/>
      <c r="AX67" s="11"/>
      <c r="AY67" s="11"/>
      <c r="AZ67" s="9"/>
      <c r="BA67" s="2">
        <v>1875</v>
      </c>
      <c r="BB67" s="11"/>
      <c r="BC67" s="11"/>
      <c r="BD67" s="11"/>
      <c r="BE67" s="11"/>
      <c r="BF67" s="11"/>
      <c r="BG67" s="11"/>
      <c r="BH67" s="11"/>
      <c r="BI67" s="11"/>
      <c r="BJ67" s="11" t="s">
        <v>87</v>
      </c>
      <c r="BK67" s="10">
        <v>46303.805902777778</v>
      </c>
      <c r="BL67" s="11"/>
      <c r="BM67" s="11"/>
      <c r="BN67" s="10">
        <v>46303.625</v>
      </c>
      <c r="BO67" s="11"/>
      <c r="BP67" s="11"/>
      <c r="BQ67" s="11"/>
      <c r="BR67" s="11"/>
      <c r="BS67" s="11"/>
      <c r="BT67" s="11"/>
      <c r="BU67" s="11"/>
      <c r="BV67" s="2"/>
      <c r="BW67" s="11"/>
    </row>
    <row r="68" spans="1:75" ht="30" x14ac:dyDescent="0.25">
      <c r="A68" s="2">
        <v>6200066</v>
      </c>
      <c r="B68" s="10">
        <v>46303.805902777778</v>
      </c>
      <c r="C68" s="11" t="s">
        <v>82</v>
      </c>
      <c r="D68" s="11"/>
      <c r="E68" s="11" t="s">
        <v>83</v>
      </c>
      <c r="F68" s="11"/>
      <c r="G68" s="11" t="s">
        <v>89</v>
      </c>
      <c r="H68" s="3"/>
      <c r="I68" s="11" t="s">
        <v>90</v>
      </c>
      <c r="J68" s="11"/>
      <c r="K68" s="11"/>
      <c r="L68" s="11"/>
      <c r="M68" s="11"/>
      <c r="N68" s="2">
        <v>1.25</v>
      </c>
      <c r="O68" s="2"/>
      <c r="P68" s="2"/>
      <c r="Q68" s="2"/>
      <c r="R68" s="11"/>
      <c r="S68" s="11" t="s">
        <v>158</v>
      </c>
      <c r="T68" s="11" t="s">
        <v>85</v>
      </c>
      <c r="U68" s="11"/>
      <c r="V68" s="11"/>
      <c r="W68" s="11"/>
      <c r="X68" s="11"/>
      <c r="Y68" s="11"/>
      <c r="Z68" s="11"/>
      <c r="AA68" s="11"/>
      <c r="AB68" s="9"/>
      <c r="AC68" s="2"/>
      <c r="AD68" s="9"/>
      <c r="AE68" s="2"/>
      <c r="AF68" s="9"/>
      <c r="AG68" s="10"/>
      <c r="AH68" s="11"/>
      <c r="AI68" s="11" t="s">
        <v>86</v>
      </c>
      <c r="AJ68" s="11"/>
      <c r="AK68" s="2"/>
      <c r="AL68" s="11"/>
      <c r="AM68" s="11"/>
      <c r="AN68" s="11"/>
      <c r="AO68" s="2"/>
      <c r="AP68" s="3"/>
      <c r="AQ68" s="11"/>
      <c r="AR68" s="3"/>
      <c r="AS68" s="2"/>
      <c r="AT68" s="11"/>
      <c r="AU68" s="2"/>
      <c r="AV68" s="2"/>
      <c r="AW68" s="2"/>
      <c r="AX68" s="11"/>
      <c r="AY68" s="11"/>
      <c r="AZ68" s="9"/>
      <c r="BA68" s="2">
        <v>1875</v>
      </c>
      <c r="BB68" s="11"/>
      <c r="BC68" s="11"/>
      <c r="BD68" s="11"/>
      <c r="BE68" s="11"/>
      <c r="BF68" s="11"/>
      <c r="BG68" s="11"/>
      <c r="BH68" s="11"/>
      <c r="BI68" s="11"/>
      <c r="BJ68" s="11" t="s">
        <v>87</v>
      </c>
      <c r="BK68" s="10">
        <v>46303.805902777778</v>
      </c>
      <c r="BL68" s="11"/>
      <c r="BM68" s="11"/>
      <c r="BN68" s="10">
        <v>46303.625</v>
      </c>
      <c r="BO68" s="11"/>
      <c r="BP68" s="11"/>
      <c r="BQ68" s="11"/>
      <c r="BR68" s="11"/>
      <c r="BS68" s="11"/>
      <c r="BT68" s="11"/>
      <c r="BU68" s="11"/>
      <c r="BV68" s="2"/>
      <c r="BW68" s="11"/>
    </row>
    <row r="69" spans="1:75" ht="30" x14ac:dyDescent="0.25">
      <c r="A69" s="2">
        <v>6200067</v>
      </c>
      <c r="B69" s="10">
        <v>46303.805902777778</v>
      </c>
      <c r="C69" s="11" t="s">
        <v>82</v>
      </c>
      <c r="D69" s="11"/>
      <c r="E69" s="11" t="s">
        <v>88</v>
      </c>
      <c r="F69" s="11"/>
      <c r="G69" s="2">
        <v>470123456</v>
      </c>
      <c r="H69" s="3"/>
      <c r="I69" s="11" t="s">
        <v>75</v>
      </c>
      <c r="J69" s="11"/>
      <c r="K69" s="11"/>
      <c r="L69" s="11"/>
      <c r="M69" s="11"/>
      <c r="N69" s="2">
        <v>1.25</v>
      </c>
      <c r="O69" s="2"/>
      <c r="P69" s="2"/>
      <c r="Q69" s="2"/>
      <c r="R69" s="11"/>
      <c r="S69" s="11" t="s">
        <v>159</v>
      </c>
      <c r="T69" s="11" t="s">
        <v>85</v>
      </c>
      <c r="U69" s="11"/>
      <c r="V69" s="11"/>
      <c r="W69" s="11"/>
      <c r="X69" s="11"/>
      <c r="Y69" s="11"/>
      <c r="Z69" s="11"/>
      <c r="AA69" s="11"/>
      <c r="AB69" s="9"/>
      <c r="AC69" s="2"/>
      <c r="AD69" s="9"/>
      <c r="AE69" s="2"/>
      <c r="AF69" s="9"/>
      <c r="AG69" s="10"/>
      <c r="AH69" s="11"/>
      <c r="AI69" s="11" t="s">
        <v>86</v>
      </c>
      <c r="AJ69" s="11"/>
      <c r="AK69" s="2"/>
      <c r="AL69" s="11"/>
      <c r="AM69" s="11"/>
      <c r="AN69" s="11"/>
      <c r="AO69" s="2"/>
      <c r="AP69" s="3"/>
      <c r="AQ69" s="11"/>
      <c r="AR69" s="3"/>
      <c r="AS69" s="2"/>
      <c r="AT69" s="11"/>
      <c r="AU69" s="2"/>
      <c r="AV69" s="2"/>
      <c r="AW69" s="2"/>
      <c r="AX69" s="11"/>
      <c r="AY69" s="11"/>
      <c r="AZ69" s="9"/>
      <c r="BA69" s="2">
        <v>1875</v>
      </c>
      <c r="BB69" s="11"/>
      <c r="BC69" s="11"/>
      <c r="BD69" s="11"/>
      <c r="BE69" s="11"/>
      <c r="BF69" s="11"/>
      <c r="BG69" s="11"/>
      <c r="BH69" s="11"/>
      <c r="BI69" s="11"/>
      <c r="BJ69" s="11" t="s">
        <v>87</v>
      </c>
      <c r="BK69" s="10">
        <v>46303.805902777778</v>
      </c>
      <c r="BL69" s="11"/>
      <c r="BM69" s="11"/>
      <c r="BN69" s="10">
        <v>46303.625</v>
      </c>
      <c r="BO69" s="11"/>
      <c r="BP69" s="11"/>
      <c r="BQ69" s="11"/>
      <c r="BR69" s="11"/>
      <c r="BS69" s="11"/>
      <c r="BT69" s="11"/>
      <c r="BU69" s="11"/>
      <c r="BV69" s="2"/>
      <c r="BW69" s="11"/>
    </row>
    <row r="70" spans="1:75" ht="30" x14ac:dyDescent="0.25">
      <c r="A70" s="2">
        <v>6200068</v>
      </c>
      <c r="B70" s="10">
        <v>46303.805902777778</v>
      </c>
      <c r="C70" s="11" t="s">
        <v>82</v>
      </c>
      <c r="D70" s="11"/>
      <c r="E70" s="11" t="s">
        <v>92</v>
      </c>
      <c r="F70" s="11"/>
      <c r="G70" s="11" t="s">
        <v>94</v>
      </c>
      <c r="H70" s="3"/>
      <c r="I70" s="11" t="s">
        <v>90</v>
      </c>
      <c r="J70" s="11"/>
      <c r="K70" s="11"/>
      <c r="L70" s="11"/>
      <c r="M70" s="11"/>
      <c r="N70" s="2">
        <v>1.25</v>
      </c>
      <c r="O70" s="2"/>
      <c r="P70" s="2"/>
      <c r="Q70" s="2"/>
      <c r="R70" s="11"/>
      <c r="S70" s="11" t="s">
        <v>160</v>
      </c>
      <c r="T70" s="11" t="s">
        <v>85</v>
      </c>
      <c r="U70" s="11"/>
      <c r="V70" s="11"/>
      <c r="W70" s="11"/>
      <c r="X70" s="11"/>
      <c r="Y70" s="11"/>
      <c r="Z70" s="11"/>
      <c r="AA70" s="11"/>
      <c r="AB70" s="9"/>
      <c r="AC70" s="2"/>
      <c r="AD70" s="9"/>
      <c r="AE70" s="2"/>
      <c r="AF70" s="9"/>
      <c r="AG70" s="10"/>
      <c r="AH70" s="11"/>
      <c r="AI70" s="11" t="s">
        <v>86</v>
      </c>
      <c r="AJ70" s="11"/>
      <c r="AK70" s="2"/>
      <c r="AL70" s="11"/>
      <c r="AM70" s="11"/>
      <c r="AN70" s="11"/>
      <c r="AO70" s="2"/>
      <c r="AP70" s="3"/>
      <c r="AQ70" s="11"/>
      <c r="AR70" s="3"/>
      <c r="AS70" s="2"/>
      <c r="AT70" s="11"/>
      <c r="AU70" s="2"/>
      <c r="AV70" s="2"/>
      <c r="AW70" s="2"/>
      <c r="AX70" s="11"/>
      <c r="AY70" s="11"/>
      <c r="AZ70" s="9"/>
      <c r="BA70" s="2">
        <v>1875</v>
      </c>
      <c r="BB70" s="11"/>
      <c r="BC70" s="11"/>
      <c r="BD70" s="11"/>
      <c r="BE70" s="11"/>
      <c r="BF70" s="11"/>
      <c r="BG70" s="11"/>
      <c r="BH70" s="11"/>
      <c r="BI70" s="11"/>
      <c r="BJ70" s="11" t="s">
        <v>87</v>
      </c>
      <c r="BK70" s="10">
        <v>46303.805902777778</v>
      </c>
      <c r="BL70" s="11"/>
      <c r="BM70" s="11"/>
      <c r="BN70" s="10">
        <v>46303.625</v>
      </c>
      <c r="BO70" s="11"/>
      <c r="BP70" s="11"/>
      <c r="BQ70" s="11"/>
      <c r="BR70" s="11"/>
      <c r="BS70" s="11"/>
      <c r="BT70" s="11"/>
      <c r="BU70" s="11"/>
      <c r="BV70" s="2"/>
      <c r="BW70" s="11"/>
    </row>
    <row r="71" spans="1:75" ht="30" x14ac:dyDescent="0.25">
      <c r="A71" s="2">
        <v>6200069</v>
      </c>
      <c r="B71" s="10">
        <v>46303.805902777778</v>
      </c>
      <c r="C71" s="11" t="s">
        <v>82</v>
      </c>
      <c r="D71" s="11"/>
      <c r="E71" s="11" t="s">
        <v>83</v>
      </c>
      <c r="F71" s="11"/>
      <c r="G71" s="11" t="s">
        <v>593</v>
      </c>
      <c r="H71" s="3"/>
      <c r="I71" s="11" t="s">
        <v>75</v>
      </c>
      <c r="J71" s="11"/>
      <c r="K71" s="11"/>
      <c r="L71" s="11"/>
      <c r="M71" s="11"/>
      <c r="N71" s="2">
        <v>1.25</v>
      </c>
      <c r="O71" s="2"/>
      <c r="P71" s="2"/>
      <c r="Q71" s="2"/>
      <c r="R71" s="11"/>
      <c r="S71" s="11" t="s">
        <v>161</v>
      </c>
      <c r="T71" s="11" t="s">
        <v>85</v>
      </c>
      <c r="U71" s="11"/>
      <c r="V71" s="11"/>
      <c r="W71" s="11"/>
      <c r="X71" s="11"/>
      <c r="Y71" s="11"/>
      <c r="Z71" s="11"/>
      <c r="AA71" s="11"/>
      <c r="AB71" s="9"/>
      <c r="AC71" s="2"/>
      <c r="AD71" s="9"/>
      <c r="AE71" s="2"/>
      <c r="AF71" s="9"/>
      <c r="AG71" s="10"/>
      <c r="AH71" s="11"/>
      <c r="AI71" s="11" t="s">
        <v>86</v>
      </c>
      <c r="AJ71" s="11"/>
      <c r="AK71" s="2"/>
      <c r="AL71" s="11"/>
      <c r="AM71" s="11"/>
      <c r="AN71" s="11"/>
      <c r="AO71" s="2"/>
      <c r="AP71" s="3"/>
      <c r="AQ71" s="11"/>
      <c r="AR71" s="3"/>
      <c r="AS71" s="2"/>
      <c r="AT71" s="11"/>
      <c r="AU71" s="2"/>
      <c r="AV71" s="2"/>
      <c r="AW71" s="2"/>
      <c r="AX71" s="11"/>
      <c r="AY71" s="11"/>
      <c r="AZ71" s="9"/>
      <c r="BA71" s="2">
        <v>1875</v>
      </c>
      <c r="BB71" s="11"/>
      <c r="BC71" s="11"/>
      <c r="BD71" s="11"/>
      <c r="BE71" s="11"/>
      <c r="BF71" s="11"/>
      <c r="BG71" s="11"/>
      <c r="BH71" s="11"/>
      <c r="BI71" s="11"/>
      <c r="BJ71" s="11" t="s">
        <v>87</v>
      </c>
      <c r="BK71" s="10">
        <v>46303.805902777778</v>
      </c>
      <c r="BL71" s="11"/>
      <c r="BM71" s="11"/>
      <c r="BN71" s="10">
        <v>46303.625</v>
      </c>
      <c r="BO71" s="11"/>
      <c r="BP71" s="11"/>
      <c r="BQ71" s="11"/>
      <c r="BR71" s="11"/>
      <c r="BS71" s="11"/>
      <c r="BT71" s="11"/>
      <c r="BU71" s="11"/>
      <c r="BV71" s="2"/>
      <c r="BW71" s="11"/>
    </row>
    <row r="72" spans="1:75" ht="30" x14ac:dyDescent="0.25">
      <c r="A72" s="2">
        <v>6200070</v>
      </c>
      <c r="B72" s="10">
        <v>46303.805902777778</v>
      </c>
      <c r="C72" s="11" t="s">
        <v>82</v>
      </c>
      <c r="D72" s="11"/>
      <c r="E72" s="11" t="s">
        <v>88</v>
      </c>
      <c r="F72" s="11"/>
      <c r="G72" s="11" t="s">
        <v>592</v>
      </c>
      <c r="H72" s="3"/>
      <c r="I72" s="11" t="s">
        <v>75</v>
      </c>
      <c r="J72" s="11"/>
      <c r="K72" s="11"/>
      <c r="L72" s="11"/>
      <c r="M72" s="11"/>
      <c r="N72" s="2">
        <v>1.25</v>
      </c>
      <c r="O72" s="2"/>
      <c r="P72" s="2"/>
      <c r="Q72" s="2"/>
      <c r="R72" s="11"/>
      <c r="S72" s="11" t="s">
        <v>162</v>
      </c>
      <c r="T72" s="11" t="s">
        <v>85</v>
      </c>
      <c r="U72" s="11"/>
      <c r="V72" s="11"/>
      <c r="W72" s="11"/>
      <c r="X72" s="11"/>
      <c r="Y72" s="11"/>
      <c r="Z72" s="11"/>
      <c r="AA72" s="11"/>
      <c r="AB72" s="9"/>
      <c r="AC72" s="2"/>
      <c r="AD72" s="9"/>
      <c r="AE72" s="2"/>
      <c r="AF72" s="9"/>
      <c r="AG72" s="10"/>
      <c r="AH72" s="11"/>
      <c r="AI72" s="11" t="s">
        <v>86</v>
      </c>
      <c r="AJ72" s="11"/>
      <c r="AK72" s="2"/>
      <c r="AL72" s="11"/>
      <c r="AM72" s="11"/>
      <c r="AN72" s="11"/>
      <c r="AO72" s="2"/>
      <c r="AP72" s="3"/>
      <c r="AQ72" s="11"/>
      <c r="AR72" s="3"/>
      <c r="AS72" s="2"/>
      <c r="AT72" s="11"/>
      <c r="AU72" s="2"/>
      <c r="AV72" s="2"/>
      <c r="AW72" s="2"/>
      <c r="AX72" s="11"/>
      <c r="AY72" s="11"/>
      <c r="AZ72" s="9"/>
      <c r="BA72" s="2">
        <v>1875</v>
      </c>
      <c r="BB72" s="11"/>
      <c r="BC72" s="11"/>
      <c r="BD72" s="11"/>
      <c r="BE72" s="11"/>
      <c r="BF72" s="11"/>
      <c r="BG72" s="11"/>
      <c r="BH72" s="11"/>
      <c r="BI72" s="11"/>
      <c r="BJ72" s="11" t="s">
        <v>87</v>
      </c>
      <c r="BK72" s="10">
        <v>46303.805902777778</v>
      </c>
      <c r="BL72" s="11"/>
      <c r="BM72" s="11"/>
      <c r="BN72" s="10">
        <v>46303.625</v>
      </c>
      <c r="BO72" s="11"/>
      <c r="BP72" s="11"/>
      <c r="BQ72" s="11"/>
      <c r="BR72" s="11"/>
      <c r="BS72" s="11"/>
      <c r="BT72" s="11"/>
      <c r="BU72" s="11"/>
      <c r="BV72" s="2"/>
      <c r="BW72" s="11"/>
    </row>
    <row r="73" spans="1:75" ht="30" x14ac:dyDescent="0.25">
      <c r="A73" s="2">
        <v>6200071</v>
      </c>
      <c r="B73" s="10">
        <v>46303.805902777778</v>
      </c>
      <c r="C73" s="11" t="s">
        <v>82</v>
      </c>
      <c r="D73" s="11"/>
      <c r="E73" s="11" t="s">
        <v>92</v>
      </c>
      <c r="F73" s="11"/>
      <c r="G73" s="11" t="s">
        <v>89</v>
      </c>
      <c r="H73" s="3"/>
      <c r="I73" s="11" t="s">
        <v>90</v>
      </c>
      <c r="J73" s="11"/>
      <c r="K73" s="11"/>
      <c r="L73" s="11"/>
      <c r="M73" s="11"/>
      <c r="N73" s="2">
        <v>1.25</v>
      </c>
      <c r="O73" s="2"/>
      <c r="P73" s="2"/>
      <c r="Q73" s="2"/>
      <c r="R73" s="11"/>
      <c r="S73" s="11" t="s">
        <v>163</v>
      </c>
      <c r="T73" s="11" t="s">
        <v>85</v>
      </c>
      <c r="U73" s="11"/>
      <c r="V73" s="11"/>
      <c r="W73" s="11"/>
      <c r="X73" s="11"/>
      <c r="Y73" s="11"/>
      <c r="Z73" s="11"/>
      <c r="AA73" s="11"/>
      <c r="AB73" s="9"/>
      <c r="AC73" s="2"/>
      <c r="AD73" s="9"/>
      <c r="AE73" s="2"/>
      <c r="AF73" s="9"/>
      <c r="AG73" s="10"/>
      <c r="AH73" s="11"/>
      <c r="AI73" s="11" t="s">
        <v>86</v>
      </c>
      <c r="AJ73" s="11"/>
      <c r="AK73" s="2"/>
      <c r="AL73" s="11"/>
      <c r="AM73" s="11"/>
      <c r="AN73" s="11"/>
      <c r="AO73" s="2"/>
      <c r="AP73" s="3"/>
      <c r="AQ73" s="11"/>
      <c r="AR73" s="3"/>
      <c r="AS73" s="2"/>
      <c r="AT73" s="11"/>
      <c r="AU73" s="2"/>
      <c r="AV73" s="2"/>
      <c r="AW73" s="2"/>
      <c r="AX73" s="11"/>
      <c r="AY73" s="11"/>
      <c r="AZ73" s="9"/>
      <c r="BA73" s="2">
        <v>1875</v>
      </c>
      <c r="BB73" s="11"/>
      <c r="BC73" s="11"/>
      <c r="BD73" s="11"/>
      <c r="BE73" s="11"/>
      <c r="BF73" s="11"/>
      <c r="BG73" s="11"/>
      <c r="BH73" s="11"/>
      <c r="BI73" s="11"/>
      <c r="BJ73" s="11" t="s">
        <v>87</v>
      </c>
      <c r="BK73" s="10">
        <v>46303.805902777778</v>
      </c>
      <c r="BL73" s="11"/>
      <c r="BM73" s="11"/>
      <c r="BN73" s="10">
        <v>46303.625</v>
      </c>
      <c r="BO73" s="11"/>
      <c r="BP73" s="11"/>
      <c r="BQ73" s="11"/>
      <c r="BR73" s="11"/>
      <c r="BS73" s="11"/>
      <c r="BT73" s="11"/>
      <c r="BU73" s="11"/>
      <c r="BV73" s="2"/>
      <c r="BW73" s="11"/>
    </row>
    <row r="74" spans="1:75" ht="30" x14ac:dyDescent="0.25">
      <c r="A74" s="2">
        <v>6200072</v>
      </c>
      <c r="B74" s="10">
        <v>46303.805902777778</v>
      </c>
      <c r="C74" s="11" t="s">
        <v>82</v>
      </c>
      <c r="D74" s="11"/>
      <c r="E74" s="11" t="s">
        <v>83</v>
      </c>
      <c r="F74" s="11"/>
      <c r="G74" s="2">
        <v>470123456</v>
      </c>
      <c r="H74" s="3"/>
      <c r="I74" s="11" t="s">
        <v>75</v>
      </c>
      <c r="J74" s="11"/>
      <c r="K74" s="11"/>
      <c r="L74" s="11"/>
      <c r="M74" s="11"/>
      <c r="N74" s="2">
        <v>1.25</v>
      </c>
      <c r="O74" s="2"/>
      <c r="P74" s="2"/>
      <c r="Q74" s="2"/>
      <c r="R74" s="11"/>
      <c r="S74" s="11" t="s">
        <v>164</v>
      </c>
      <c r="T74" s="11" t="s">
        <v>85</v>
      </c>
      <c r="U74" s="11"/>
      <c r="V74" s="11"/>
      <c r="W74" s="11"/>
      <c r="X74" s="11"/>
      <c r="Y74" s="11"/>
      <c r="Z74" s="11"/>
      <c r="AA74" s="11"/>
      <c r="AB74" s="9"/>
      <c r="AC74" s="2"/>
      <c r="AD74" s="9"/>
      <c r="AE74" s="2"/>
      <c r="AF74" s="9"/>
      <c r="AG74" s="10"/>
      <c r="AH74" s="11"/>
      <c r="AI74" s="11" t="s">
        <v>86</v>
      </c>
      <c r="AJ74" s="11"/>
      <c r="AK74" s="2"/>
      <c r="AL74" s="11"/>
      <c r="AM74" s="11"/>
      <c r="AN74" s="11"/>
      <c r="AO74" s="2"/>
      <c r="AP74" s="3"/>
      <c r="AQ74" s="11"/>
      <c r="AR74" s="3"/>
      <c r="AS74" s="2"/>
      <c r="AT74" s="11"/>
      <c r="AU74" s="2"/>
      <c r="AV74" s="2"/>
      <c r="AW74" s="2"/>
      <c r="AX74" s="11"/>
      <c r="AY74" s="11"/>
      <c r="AZ74" s="9"/>
      <c r="BA74" s="2">
        <v>1875</v>
      </c>
      <c r="BB74" s="11"/>
      <c r="BC74" s="11"/>
      <c r="BD74" s="11"/>
      <c r="BE74" s="11"/>
      <c r="BF74" s="11"/>
      <c r="BG74" s="11"/>
      <c r="BH74" s="11"/>
      <c r="BI74" s="11"/>
      <c r="BJ74" s="11" t="s">
        <v>87</v>
      </c>
      <c r="BK74" s="10">
        <v>46303.805902777778</v>
      </c>
      <c r="BL74" s="11"/>
      <c r="BM74" s="11"/>
      <c r="BN74" s="10">
        <v>46303.625</v>
      </c>
      <c r="BO74" s="11"/>
      <c r="BP74" s="11"/>
      <c r="BQ74" s="11"/>
      <c r="BR74" s="11"/>
      <c r="BS74" s="11"/>
      <c r="BT74" s="11"/>
      <c r="BU74" s="11"/>
      <c r="BV74" s="2"/>
      <c r="BW74" s="11"/>
    </row>
    <row r="75" spans="1:75" ht="30" x14ac:dyDescent="0.25">
      <c r="A75" s="2">
        <v>6200073</v>
      </c>
      <c r="B75" s="10">
        <v>46303.805902777778</v>
      </c>
      <c r="C75" s="11" t="s">
        <v>82</v>
      </c>
      <c r="D75" s="11"/>
      <c r="E75" s="11" t="s">
        <v>88</v>
      </c>
      <c r="F75" s="11"/>
      <c r="G75" s="11" t="s">
        <v>94</v>
      </c>
      <c r="H75" s="3"/>
      <c r="I75" s="11" t="s">
        <v>90</v>
      </c>
      <c r="J75" s="11"/>
      <c r="K75" s="11"/>
      <c r="L75" s="11"/>
      <c r="M75" s="11"/>
      <c r="N75" s="2">
        <v>1.25</v>
      </c>
      <c r="O75" s="2"/>
      <c r="P75" s="2"/>
      <c r="Q75" s="2"/>
      <c r="R75" s="11"/>
      <c r="S75" s="11" t="s">
        <v>165</v>
      </c>
      <c r="T75" s="11" t="s">
        <v>85</v>
      </c>
      <c r="U75" s="11"/>
      <c r="V75" s="11"/>
      <c r="W75" s="11"/>
      <c r="X75" s="11"/>
      <c r="Y75" s="11"/>
      <c r="Z75" s="11"/>
      <c r="AA75" s="11"/>
      <c r="AB75" s="9"/>
      <c r="AC75" s="2"/>
      <c r="AD75" s="9"/>
      <c r="AE75" s="2"/>
      <c r="AF75" s="9"/>
      <c r="AG75" s="10"/>
      <c r="AH75" s="11"/>
      <c r="AI75" s="11" t="s">
        <v>86</v>
      </c>
      <c r="AJ75" s="11"/>
      <c r="AK75" s="2"/>
      <c r="AL75" s="11"/>
      <c r="AM75" s="11"/>
      <c r="AN75" s="11"/>
      <c r="AO75" s="2"/>
      <c r="AP75" s="3"/>
      <c r="AQ75" s="11"/>
      <c r="AR75" s="3"/>
      <c r="AS75" s="2"/>
      <c r="AT75" s="11"/>
      <c r="AU75" s="2"/>
      <c r="AV75" s="2"/>
      <c r="AW75" s="2"/>
      <c r="AX75" s="11"/>
      <c r="AY75" s="11"/>
      <c r="AZ75" s="9"/>
      <c r="BA75" s="2">
        <v>1875</v>
      </c>
      <c r="BB75" s="11"/>
      <c r="BC75" s="11"/>
      <c r="BD75" s="11"/>
      <c r="BE75" s="11"/>
      <c r="BF75" s="11"/>
      <c r="BG75" s="11"/>
      <c r="BH75" s="11"/>
      <c r="BI75" s="11"/>
      <c r="BJ75" s="11" t="s">
        <v>87</v>
      </c>
      <c r="BK75" s="10">
        <v>46303.805902777778</v>
      </c>
      <c r="BL75" s="11"/>
      <c r="BM75" s="11"/>
      <c r="BN75" s="10">
        <v>46303.625</v>
      </c>
      <c r="BO75" s="11"/>
      <c r="BP75" s="11"/>
      <c r="BQ75" s="11"/>
      <c r="BR75" s="11"/>
      <c r="BS75" s="11"/>
      <c r="BT75" s="11"/>
      <c r="BU75" s="11"/>
      <c r="BV75" s="2"/>
      <c r="BW75" s="11"/>
    </row>
    <row r="76" spans="1:75" ht="30" x14ac:dyDescent="0.25">
      <c r="A76" s="2">
        <v>6200074</v>
      </c>
      <c r="B76" s="10">
        <v>46303.805902777778</v>
      </c>
      <c r="C76" s="11" t="s">
        <v>82</v>
      </c>
      <c r="D76" s="11"/>
      <c r="E76" s="11" t="s">
        <v>92</v>
      </c>
      <c r="F76" s="11"/>
      <c r="G76" s="11" t="s">
        <v>593</v>
      </c>
      <c r="H76" s="3"/>
      <c r="I76" s="11" t="s">
        <v>75</v>
      </c>
      <c r="J76" s="11"/>
      <c r="K76" s="11"/>
      <c r="L76" s="11"/>
      <c r="M76" s="11"/>
      <c r="N76" s="2">
        <v>1.25</v>
      </c>
      <c r="O76" s="2"/>
      <c r="P76" s="2"/>
      <c r="Q76" s="2"/>
      <c r="R76" s="11"/>
      <c r="S76" s="11" t="s">
        <v>166</v>
      </c>
      <c r="T76" s="11" t="s">
        <v>85</v>
      </c>
      <c r="U76" s="11"/>
      <c r="V76" s="11"/>
      <c r="W76" s="11"/>
      <c r="X76" s="11"/>
      <c r="Y76" s="11"/>
      <c r="Z76" s="11"/>
      <c r="AA76" s="11"/>
      <c r="AB76" s="9"/>
      <c r="AC76" s="2"/>
      <c r="AD76" s="9"/>
      <c r="AE76" s="2"/>
      <c r="AF76" s="9"/>
      <c r="AG76" s="10"/>
      <c r="AH76" s="11"/>
      <c r="AI76" s="11" t="s">
        <v>86</v>
      </c>
      <c r="AJ76" s="11"/>
      <c r="AK76" s="2"/>
      <c r="AL76" s="11"/>
      <c r="AM76" s="11"/>
      <c r="AN76" s="11"/>
      <c r="AO76" s="2"/>
      <c r="AP76" s="3"/>
      <c r="AQ76" s="11"/>
      <c r="AR76" s="3"/>
      <c r="AS76" s="2"/>
      <c r="AT76" s="11"/>
      <c r="AU76" s="2"/>
      <c r="AV76" s="2"/>
      <c r="AW76" s="2"/>
      <c r="AX76" s="11"/>
      <c r="AY76" s="11"/>
      <c r="AZ76" s="9"/>
      <c r="BA76" s="2">
        <v>1875</v>
      </c>
      <c r="BB76" s="11"/>
      <c r="BC76" s="11"/>
      <c r="BD76" s="11"/>
      <c r="BE76" s="11"/>
      <c r="BF76" s="11"/>
      <c r="BG76" s="11"/>
      <c r="BH76" s="11"/>
      <c r="BI76" s="11"/>
      <c r="BJ76" s="11" t="s">
        <v>87</v>
      </c>
      <c r="BK76" s="10">
        <v>46303.805902777778</v>
      </c>
      <c r="BL76" s="11"/>
      <c r="BM76" s="11"/>
      <c r="BN76" s="10">
        <v>46303.625</v>
      </c>
      <c r="BO76" s="11"/>
      <c r="BP76" s="11"/>
      <c r="BQ76" s="11"/>
      <c r="BR76" s="11"/>
      <c r="BS76" s="11"/>
      <c r="BT76" s="11"/>
      <c r="BU76" s="11"/>
      <c r="BV76" s="2"/>
      <c r="BW76" s="11"/>
    </row>
    <row r="77" spans="1:75" ht="30" x14ac:dyDescent="0.25">
      <c r="A77" s="2">
        <v>6200075</v>
      </c>
      <c r="B77" s="10">
        <v>46303.805902777778</v>
      </c>
      <c r="C77" s="11" t="s">
        <v>82</v>
      </c>
      <c r="D77" s="11"/>
      <c r="E77" s="11" t="s">
        <v>83</v>
      </c>
      <c r="F77" s="11"/>
      <c r="G77" s="11" t="s">
        <v>592</v>
      </c>
      <c r="H77" s="3"/>
      <c r="I77" s="11" t="s">
        <v>75</v>
      </c>
      <c r="J77" s="11"/>
      <c r="K77" s="11"/>
      <c r="L77" s="11"/>
      <c r="M77" s="11"/>
      <c r="N77" s="2">
        <v>1.25</v>
      </c>
      <c r="O77" s="2"/>
      <c r="P77" s="2"/>
      <c r="Q77" s="2"/>
      <c r="R77" s="11"/>
      <c r="S77" s="11" t="s">
        <v>167</v>
      </c>
      <c r="T77" s="11" t="s">
        <v>85</v>
      </c>
      <c r="U77" s="11"/>
      <c r="V77" s="11"/>
      <c r="W77" s="11"/>
      <c r="X77" s="11"/>
      <c r="Y77" s="11"/>
      <c r="Z77" s="11"/>
      <c r="AA77" s="11"/>
      <c r="AB77" s="9"/>
      <c r="AC77" s="2"/>
      <c r="AD77" s="9"/>
      <c r="AE77" s="2"/>
      <c r="AF77" s="9"/>
      <c r="AG77" s="10"/>
      <c r="AH77" s="11"/>
      <c r="AI77" s="11" t="s">
        <v>86</v>
      </c>
      <c r="AJ77" s="11"/>
      <c r="AK77" s="2"/>
      <c r="AL77" s="11"/>
      <c r="AM77" s="11"/>
      <c r="AN77" s="11"/>
      <c r="AO77" s="2"/>
      <c r="AP77" s="3"/>
      <c r="AQ77" s="11"/>
      <c r="AR77" s="3"/>
      <c r="AS77" s="2"/>
      <c r="AT77" s="11"/>
      <c r="AU77" s="2"/>
      <c r="AV77" s="2"/>
      <c r="AW77" s="2"/>
      <c r="AX77" s="11"/>
      <c r="AY77" s="11"/>
      <c r="AZ77" s="9"/>
      <c r="BA77" s="2">
        <v>1875</v>
      </c>
      <c r="BB77" s="11"/>
      <c r="BC77" s="11"/>
      <c r="BD77" s="11"/>
      <c r="BE77" s="11"/>
      <c r="BF77" s="11"/>
      <c r="BG77" s="11"/>
      <c r="BH77" s="11"/>
      <c r="BI77" s="11"/>
      <c r="BJ77" s="11" t="s">
        <v>87</v>
      </c>
      <c r="BK77" s="10">
        <v>46303.805902777778</v>
      </c>
      <c r="BL77" s="11"/>
      <c r="BM77" s="11"/>
      <c r="BN77" s="10">
        <v>46303.625</v>
      </c>
      <c r="BO77" s="11"/>
      <c r="BP77" s="11"/>
      <c r="BQ77" s="11"/>
      <c r="BR77" s="11"/>
      <c r="BS77" s="11"/>
      <c r="BT77" s="11"/>
      <c r="BU77" s="11"/>
      <c r="BV77" s="2"/>
      <c r="BW77" s="11"/>
    </row>
    <row r="78" spans="1:75" ht="30" x14ac:dyDescent="0.25">
      <c r="A78" s="2">
        <v>6200076</v>
      </c>
      <c r="B78" s="10">
        <v>46303.805902777778</v>
      </c>
      <c r="C78" s="11" t="s">
        <v>82</v>
      </c>
      <c r="D78" s="11"/>
      <c r="E78" s="11" t="s">
        <v>88</v>
      </c>
      <c r="F78" s="11"/>
      <c r="G78" s="11" t="s">
        <v>89</v>
      </c>
      <c r="H78" s="3"/>
      <c r="I78" s="11" t="s">
        <v>90</v>
      </c>
      <c r="J78" s="11"/>
      <c r="K78" s="11"/>
      <c r="L78" s="11"/>
      <c r="M78" s="11"/>
      <c r="N78" s="2">
        <v>1.25</v>
      </c>
      <c r="O78" s="2"/>
      <c r="P78" s="2"/>
      <c r="Q78" s="2"/>
      <c r="R78" s="11"/>
      <c r="S78" s="11" t="s">
        <v>168</v>
      </c>
      <c r="T78" s="11" t="s">
        <v>85</v>
      </c>
      <c r="U78" s="11"/>
      <c r="V78" s="11"/>
      <c r="W78" s="11"/>
      <c r="X78" s="11"/>
      <c r="Y78" s="11"/>
      <c r="Z78" s="11"/>
      <c r="AA78" s="11"/>
      <c r="AB78" s="9"/>
      <c r="AC78" s="2"/>
      <c r="AD78" s="9"/>
      <c r="AE78" s="2"/>
      <c r="AF78" s="9"/>
      <c r="AG78" s="10"/>
      <c r="AH78" s="11"/>
      <c r="AI78" s="11" t="s">
        <v>86</v>
      </c>
      <c r="AJ78" s="11"/>
      <c r="AK78" s="2"/>
      <c r="AL78" s="11"/>
      <c r="AM78" s="11"/>
      <c r="AN78" s="11"/>
      <c r="AO78" s="2"/>
      <c r="AP78" s="3"/>
      <c r="AQ78" s="11"/>
      <c r="AR78" s="3"/>
      <c r="AS78" s="2"/>
      <c r="AT78" s="11"/>
      <c r="AU78" s="2"/>
      <c r="AV78" s="2"/>
      <c r="AW78" s="2"/>
      <c r="AX78" s="11"/>
      <c r="AY78" s="11"/>
      <c r="AZ78" s="9"/>
      <c r="BA78" s="2">
        <v>1875</v>
      </c>
      <c r="BB78" s="11"/>
      <c r="BC78" s="11"/>
      <c r="BD78" s="11"/>
      <c r="BE78" s="11"/>
      <c r="BF78" s="11"/>
      <c r="BG78" s="11"/>
      <c r="BH78" s="11"/>
      <c r="BI78" s="11"/>
      <c r="BJ78" s="11" t="s">
        <v>87</v>
      </c>
      <c r="BK78" s="10">
        <v>46303.805902777778</v>
      </c>
      <c r="BL78" s="11"/>
      <c r="BM78" s="11"/>
      <c r="BN78" s="10">
        <v>46303.625</v>
      </c>
      <c r="BO78" s="11"/>
      <c r="BP78" s="11"/>
      <c r="BQ78" s="11"/>
      <c r="BR78" s="11"/>
      <c r="BS78" s="11"/>
      <c r="BT78" s="11"/>
      <c r="BU78" s="11"/>
      <c r="BV78" s="2"/>
      <c r="BW78" s="11"/>
    </row>
    <row r="79" spans="1:75" ht="30" x14ac:dyDescent="0.25">
      <c r="A79" s="2">
        <v>6200077</v>
      </c>
      <c r="B79" s="10">
        <v>46303.805902777778</v>
      </c>
      <c r="C79" s="11" t="s">
        <v>82</v>
      </c>
      <c r="D79" s="11"/>
      <c r="E79" s="11" t="s">
        <v>92</v>
      </c>
      <c r="F79" s="11"/>
      <c r="G79" s="2">
        <v>470123456</v>
      </c>
      <c r="H79" s="3"/>
      <c r="I79" s="11" t="s">
        <v>75</v>
      </c>
      <c r="J79" s="11"/>
      <c r="K79" s="11"/>
      <c r="L79" s="11"/>
      <c r="M79" s="11"/>
      <c r="N79" s="2">
        <v>1.25</v>
      </c>
      <c r="O79" s="2"/>
      <c r="P79" s="2"/>
      <c r="Q79" s="2"/>
      <c r="R79" s="11"/>
      <c r="S79" s="11" t="s">
        <v>169</v>
      </c>
      <c r="T79" s="11" t="s">
        <v>85</v>
      </c>
      <c r="U79" s="11"/>
      <c r="V79" s="11"/>
      <c r="W79" s="11"/>
      <c r="X79" s="11"/>
      <c r="Y79" s="11"/>
      <c r="Z79" s="11"/>
      <c r="AA79" s="11"/>
      <c r="AB79" s="9"/>
      <c r="AC79" s="2"/>
      <c r="AD79" s="9"/>
      <c r="AE79" s="2"/>
      <c r="AF79" s="9"/>
      <c r="AG79" s="10"/>
      <c r="AH79" s="11"/>
      <c r="AI79" s="11" t="s">
        <v>86</v>
      </c>
      <c r="AJ79" s="11"/>
      <c r="AK79" s="2"/>
      <c r="AL79" s="11"/>
      <c r="AM79" s="11"/>
      <c r="AN79" s="11"/>
      <c r="AO79" s="2"/>
      <c r="AP79" s="3"/>
      <c r="AQ79" s="11"/>
      <c r="AR79" s="3"/>
      <c r="AS79" s="2"/>
      <c r="AT79" s="11"/>
      <c r="AU79" s="2"/>
      <c r="AV79" s="2"/>
      <c r="AW79" s="2"/>
      <c r="AX79" s="11"/>
      <c r="AY79" s="11"/>
      <c r="AZ79" s="9"/>
      <c r="BA79" s="2">
        <v>1875</v>
      </c>
      <c r="BB79" s="11"/>
      <c r="BC79" s="11"/>
      <c r="BD79" s="11"/>
      <c r="BE79" s="11"/>
      <c r="BF79" s="11"/>
      <c r="BG79" s="11"/>
      <c r="BH79" s="11"/>
      <c r="BI79" s="11"/>
      <c r="BJ79" s="11" t="s">
        <v>87</v>
      </c>
      <c r="BK79" s="10">
        <v>46303.805902777778</v>
      </c>
      <c r="BL79" s="11"/>
      <c r="BM79" s="11"/>
      <c r="BN79" s="10">
        <v>46303.625</v>
      </c>
      <c r="BO79" s="11"/>
      <c r="BP79" s="11"/>
      <c r="BQ79" s="11"/>
      <c r="BR79" s="11"/>
      <c r="BS79" s="11"/>
      <c r="BT79" s="11"/>
      <c r="BU79" s="11"/>
      <c r="BV79" s="2"/>
      <c r="BW79" s="11"/>
    </row>
    <row r="80" spans="1:75" ht="30" x14ac:dyDescent="0.25">
      <c r="A80" s="2">
        <v>6200078</v>
      </c>
      <c r="B80" s="10">
        <v>46303.805902777778</v>
      </c>
      <c r="C80" s="11" t="s">
        <v>82</v>
      </c>
      <c r="D80" s="11"/>
      <c r="E80" s="11" t="s">
        <v>83</v>
      </c>
      <c r="F80" s="11"/>
      <c r="G80" s="11" t="s">
        <v>94</v>
      </c>
      <c r="H80" s="3"/>
      <c r="I80" s="11" t="s">
        <v>90</v>
      </c>
      <c r="J80" s="11"/>
      <c r="K80" s="11"/>
      <c r="L80" s="11"/>
      <c r="M80" s="11"/>
      <c r="N80" s="2">
        <v>1.25</v>
      </c>
      <c r="O80" s="2"/>
      <c r="P80" s="2"/>
      <c r="Q80" s="2"/>
      <c r="R80" s="11"/>
      <c r="S80" s="11" t="s">
        <v>170</v>
      </c>
      <c r="T80" s="11" t="s">
        <v>85</v>
      </c>
      <c r="U80" s="11"/>
      <c r="V80" s="11"/>
      <c r="W80" s="11"/>
      <c r="X80" s="11"/>
      <c r="Y80" s="11"/>
      <c r="Z80" s="11"/>
      <c r="AA80" s="11"/>
      <c r="AB80" s="9"/>
      <c r="AC80" s="2"/>
      <c r="AD80" s="9"/>
      <c r="AE80" s="2"/>
      <c r="AF80" s="9"/>
      <c r="AG80" s="10"/>
      <c r="AH80" s="11"/>
      <c r="AI80" s="11" t="s">
        <v>86</v>
      </c>
      <c r="AJ80" s="11"/>
      <c r="AK80" s="2"/>
      <c r="AL80" s="11"/>
      <c r="AM80" s="11"/>
      <c r="AN80" s="11"/>
      <c r="AO80" s="2"/>
      <c r="AP80" s="3"/>
      <c r="AQ80" s="11"/>
      <c r="AR80" s="3"/>
      <c r="AS80" s="2"/>
      <c r="AT80" s="11"/>
      <c r="AU80" s="2"/>
      <c r="AV80" s="2"/>
      <c r="AW80" s="2"/>
      <c r="AX80" s="11"/>
      <c r="AY80" s="11"/>
      <c r="AZ80" s="9"/>
      <c r="BA80" s="2">
        <v>1875</v>
      </c>
      <c r="BB80" s="11"/>
      <c r="BC80" s="11"/>
      <c r="BD80" s="11"/>
      <c r="BE80" s="11"/>
      <c r="BF80" s="11"/>
      <c r="BG80" s="11"/>
      <c r="BH80" s="11"/>
      <c r="BI80" s="11"/>
      <c r="BJ80" s="11" t="s">
        <v>87</v>
      </c>
      <c r="BK80" s="10">
        <v>46303.805902777778</v>
      </c>
      <c r="BL80" s="11"/>
      <c r="BM80" s="11"/>
      <c r="BN80" s="10">
        <v>46303.625</v>
      </c>
      <c r="BO80" s="11"/>
      <c r="BP80" s="11"/>
      <c r="BQ80" s="11"/>
      <c r="BR80" s="11"/>
      <c r="BS80" s="11"/>
      <c r="BT80" s="11"/>
      <c r="BU80" s="11"/>
      <c r="BV80" s="2"/>
      <c r="BW80" s="11"/>
    </row>
    <row r="81" spans="1:75" ht="30" x14ac:dyDescent="0.25">
      <c r="A81" s="2">
        <v>6200079</v>
      </c>
      <c r="B81" s="10">
        <v>46303.805902777778</v>
      </c>
      <c r="C81" s="11" t="s">
        <v>82</v>
      </c>
      <c r="D81" s="11"/>
      <c r="E81" s="11" t="s">
        <v>88</v>
      </c>
      <c r="F81" s="11"/>
      <c r="G81" s="11" t="s">
        <v>593</v>
      </c>
      <c r="H81" s="3"/>
      <c r="I81" s="11" t="s">
        <v>75</v>
      </c>
      <c r="J81" s="11"/>
      <c r="K81" s="11"/>
      <c r="L81" s="11"/>
      <c r="M81" s="11"/>
      <c r="N81" s="2">
        <v>1.25</v>
      </c>
      <c r="O81" s="2"/>
      <c r="P81" s="2"/>
      <c r="Q81" s="2"/>
      <c r="R81" s="11"/>
      <c r="S81" s="11" t="s">
        <v>171</v>
      </c>
      <c r="T81" s="11" t="s">
        <v>85</v>
      </c>
      <c r="U81" s="11"/>
      <c r="V81" s="11"/>
      <c r="W81" s="11"/>
      <c r="X81" s="11"/>
      <c r="Y81" s="11"/>
      <c r="Z81" s="11"/>
      <c r="AA81" s="11"/>
      <c r="AB81" s="9"/>
      <c r="AC81" s="2"/>
      <c r="AD81" s="9"/>
      <c r="AE81" s="2"/>
      <c r="AF81" s="9"/>
      <c r="AG81" s="10"/>
      <c r="AH81" s="11"/>
      <c r="AI81" s="11" t="s">
        <v>86</v>
      </c>
      <c r="AJ81" s="11"/>
      <c r="AK81" s="2"/>
      <c r="AL81" s="11"/>
      <c r="AM81" s="11"/>
      <c r="AN81" s="11"/>
      <c r="AO81" s="2"/>
      <c r="AP81" s="3"/>
      <c r="AQ81" s="11"/>
      <c r="AR81" s="3"/>
      <c r="AS81" s="2"/>
      <c r="AT81" s="11"/>
      <c r="AU81" s="2"/>
      <c r="AV81" s="2"/>
      <c r="AW81" s="2"/>
      <c r="AX81" s="11"/>
      <c r="AY81" s="11"/>
      <c r="AZ81" s="9"/>
      <c r="BA81" s="2">
        <v>1875</v>
      </c>
      <c r="BB81" s="11"/>
      <c r="BC81" s="11"/>
      <c r="BD81" s="11"/>
      <c r="BE81" s="11"/>
      <c r="BF81" s="11"/>
      <c r="BG81" s="11"/>
      <c r="BH81" s="11"/>
      <c r="BI81" s="11"/>
      <c r="BJ81" s="11" t="s">
        <v>87</v>
      </c>
      <c r="BK81" s="10">
        <v>46303.805902777778</v>
      </c>
      <c r="BL81" s="11"/>
      <c r="BM81" s="11"/>
      <c r="BN81" s="10">
        <v>46303.625</v>
      </c>
      <c r="BO81" s="11"/>
      <c r="BP81" s="11"/>
      <c r="BQ81" s="11"/>
      <c r="BR81" s="11"/>
      <c r="BS81" s="11"/>
      <c r="BT81" s="11"/>
      <c r="BU81" s="11"/>
      <c r="BV81" s="2"/>
      <c r="BW81" s="11"/>
    </row>
    <row r="82" spans="1:75" ht="30" x14ac:dyDescent="0.25">
      <c r="A82" s="2">
        <v>6200080</v>
      </c>
      <c r="B82" s="10">
        <v>46303.805902777778</v>
      </c>
      <c r="C82" s="11" t="s">
        <v>82</v>
      </c>
      <c r="D82" s="11"/>
      <c r="E82" s="11" t="s">
        <v>92</v>
      </c>
      <c r="F82" s="11"/>
      <c r="G82" s="11" t="s">
        <v>592</v>
      </c>
      <c r="H82" s="3"/>
      <c r="I82" s="11" t="s">
        <v>75</v>
      </c>
      <c r="J82" s="11"/>
      <c r="K82" s="11"/>
      <c r="L82" s="11"/>
      <c r="M82" s="11"/>
      <c r="N82" s="2">
        <v>1.25</v>
      </c>
      <c r="O82" s="2"/>
      <c r="P82" s="2"/>
      <c r="Q82" s="2"/>
      <c r="R82" s="11"/>
      <c r="S82" s="11" t="s">
        <v>172</v>
      </c>
      <c r="T82" s="11" t="s">
        <v>85</v>
      </c>
      <c r="U82" s="11"/>
      <c r="V82" s="11"/>
      <c r="W82" s="11"/>
      <c r="X82" s="11"/>
      <c r="Y82" s="11"/>
      <c r="Z82" s="11"/>
      <c r="AA82" s="11"/>
      <c r="AB82" s="9"/>
      <c r="AC82" s="2"/>
      <c r="AD82" s="9"/>
      <c r="AE82" s="2"/>
      <c r="AF82" s="9"/>
      <c r="AG82" s="10"/>
      <c r="AH82" s="11"/>
      <c r="AI82" s="11" t="s">
        <v>86</v>
      </c>
      <c r="AJ82" s="11"/>
      <c r="AK82" s="2"/>
      <c r="AL82" s="11"/>
      <c r="AM82" s="11"/>
      <c r="AN82" s="11"/>
      <c r="AO82" s="2"/>
      <c r="AP82" s="3"/>
      <c r="AQ82" s="11"/>
      <c r="AR82" s="3"/>
      <c r="AS82" s="2"/>
      <c r="AT82" s="11"/>
      <c r="AU82" s="2"/>
      <c r="AV82" s="2"/>
      <c r="AW82" s="2"/>
      <c r="AX82" s="11"/>
      <c r="AY82" s="11"/>
      <c r="AZ82" s="9"/>
      <c r="BA82" s="2">
        <v>1875</v>
      </c>
      <c r="BB82" s="11"/>
      <c r="BC82" s="11"/>
      <c r="BD82" s="11"/>
      <c r="BE82" s="11"/>
      <c r="BF82" s="11"/>
      <c r="BG82" s="11"/>
      <c r="BH82" s="11"/>
      <c r="BI82" s="11"/>
      <c r="BJ82" s="11" t="s">
        <v>87</v>
      </c>
      <c r="BK82" s="10">
        <v>46303.805902777778</v>
      </c>
      <c r="BL82" s="11"/>
      <c r="BM82" s="11"/>
      <c r="BN82" s="10">
        <v>46303.625</v>
      </c>
      <c r="BO82" s="11"/>
      <c r="BP82" s="11"/>
      <c r="BQ82" s="11"/>
      <c r="BR82" s="11"/>
      <c r="BS82" s="11"/>
      <c r="BT82" s="11"/>
      <c r="BU82" s="11"/>
      <c r="BV82" s="2"/>
      <c r="BW82" s="11"/>
    </row>
    <row r="83" spans="1:75" ht="30" x14ac:dyDescent="0.25">
      <c r="A83" s="2">
        <v>6200081</v>
      </c>
      <c r="B83" s="10">
        <v>46303.805902777778</v>
      </c>
      <c r="C83" s="11" t="s">
        <v>82</v>
      </c>
      <c r="D83" s="11"/>
      <c r="E83" s="11" t="s">
        <v>83</v>
      </c>
      <c r="F83" s="11"/>
      <c r="G83" s="11" t="s">
        <v>89</v>
      </c>
      <c r="H83" s="3"/>
      <c r="I83" s="11" t="s">
        <v>90</v>
      </c>
      <c r="J83" s="11"/>
      <c r="K83" s="11"/>
      <c r="L83" s="11"/>
      <c r="M83" s="11"/>
      <c r="N83" s="2">
        <v>1.25</v>
      </c>
      <c r="O83" s="2"/>
      <c r="P83" s="2"/>
      <c r="Q83" s="2"/>
      <c r="R83" s="11"/>
      <c r="S83" s="11" t="s">
        <v>173</v>
      </c>
      <c r="T83" s="11" t="s">
        <v>85</v>
      </c>
      <c r="U83" s="11"/>
      <c r="V83" s="11"/>
      <c r="W83" s="11"/>
      <c r="X83" s="11"/>
      <c r="Y83" s="11"/>
      <c r="Z83" s="11"/>
      <c r="AA83" s="11"/>
      <c r="AB83" s="9"/>
      <c r="AC83" s="2"/>
      <c r="AD83" s="9"/>
      <c r="AE83" s="2"/>
      <c r="AF83" s="9"/>
      <c r="AG83" s="10"/>
      <c r="AH83" s="11"/>
      <c r="AI83" s="11" t="s">
        <v>86</v>
      </c>
      <c r="AJ83" s="11"/>
      <c r="AK83" s="2"/>
      <c r="AL83" s="11"/>
      <c r="AM83" s="11"/>
      <c r="AN83" s="11"/>
      <c r="AO83" s="2"/>
      <c r="AP83" s="3"/>
      <c r="AQ83" s="11"/>
      <c r="AR83" s="3"/>
      <c r="AS83" s="2"/>
      <c r="AT83" s="11"/>
      <c r="AU83" s="2"/>
      <c r="AV83" s="2"/>
      <c r="AW83" s="2"/>
      <c r="AX83" s="11"/>
      <c r="AY83" s="11"/>
      <c r="AZ83" s="9"/>
      <c r="BA83" s="2">
        <v>1875</v>
      </c>
      <c r="BB83" s="11"/>
      <c r="BC83" s="11"/>
      <c r="BD83" s="11"/>
      <c r="BE83" s="11"/>
      <c r="BF83" s="11"/>
      <c r="BG83" s="11"/>
      <c r="BH83" s="11"/>
      <c r="BI83" s="11"/>
      <c r="BJ83" s="11" t="s">
        <v>87</v>
      </c>
      <c r="BK83" s="10">
        <v>46303.805902777778</v>
      </c>
      <c r="BL83" s="11"/>
      <c r="BM83" s="11"/>
      <c r="BN83" s="10">
        <v>46303.625</v>
      </c>
      <c r="BO83" s="11"/>
      <c r="BP83" s="11"/>
      <c r="BQ83" s="11"/>
      <c r="BR83" s="11"/>
      <c r="BS83" s="11"/>
      <c r="BT83" s="11"/>
      <c r="BU83" s="11"/>
      <c r="BV83" s="2"/>
      <c r="BW83" s="11"/>
    </row>
    <row r="84" spans="1:75" ht="30" x14ac:dyDescent="0.25">
      <c r="A84" s="2">
        <v>6200082</v>
      </c>
      <c r="B84" s="10">
        <v>46303.805902777778</v>
      </c>
      <c r="C84" s="11" t="s">
        <v>82</v>
      </c>
      <c r="D84" s="11"/>
      <c r="E84" s="11" t="s">
        <v>88</v>
      </c>
      <c r="F84" s="11"/>
      <c r="G84" s="2">
        <v>470123456</v>
      </c>
      <c r="H84" s="3"/>
      <c r="I84" s="11" t="s">
        <v>75</v>
      </c>
      <c r="J84" s="11"/>
      <c r="K84" s="11"/>
      <c r="L84" s="11"/>
      <c r="M84" s="11"/>
      <c r="N84" s="2">
        <v>1.25</v>
      </c>
      <c r="O84" s="2"/>
      <c r="P84" s="2"/>
      <c r="Q84" s="2"/>
      <c r="R84" s="11"/>
      <c r="S84" s="11" t="s">
        <v>174</v>
      </c>
      <c r="T84" s="11" t="s">
        <v>85</v>
      </c>
      <c r="U84" s="11"/>
      <c r="V84" s="11"/>
      <c r="W84" s="11"/>
      <c r="X84" s="11"/>
      <c r="Y84" s="11"/>
      <c r="Z84" s="11"/>
      <c r="AA84" s="11"/>
      <c r="AB84" s="9"/>
      <c r="AC84" s="2"/>
      <c r="AD84" s="9"/>
      <c r="AE84" s="2"/>
      <c r="AF84" s="9"/>
      <c r="AG84" s="10"/>
      <c r="AH84" s="11"/>
      <c r="AI84" s="11" t="s">
        <v>86</v>
      </c>
      <c r="AJ84" s="11"/>
      <c r="AK84" s="2"/>
      <c r="AL84" s="11"/>
      <c r="AM84" s="11"/>
      <c r="AN84" s="11"/>
      <c r="AO84" s="2"/>
      <c r="AP84" s="3"/>
      <c r="AQ84" s="11"/>
      <c r="AR84" s="3"/>
      <c r="AS84" s="2"/>
      <c r="AT84" s="11"/>
      <c r="AU84" s="2"/>
      <c r="AV84" s="2"/>
      <c r="AW84" s="2"/>
      <c r="AX84" s="11"/>
      <c r="AY84" s="11"/>
      <c r="AZ84" s="9"/>
      <c r="BA84" s="2">
        <v>1875</v>
      </c>
      <c r="BB84" s="11"/>
      <c r="BC84" s="11"/>
      <c r="BD84" s="11"/>
      <c r="BE84" s="11"/>
      <c r="BF84" s="11"/>
      <c r="BG84" s="11"/>
      <c r="BH84" s="11"/>
      <c r="BI84" s="11"/>
      <c r="BJ84" s="11" t="s">
        <v>87</v>
      </c>
      <c r="BK84" s="10">
        <v>46303.805902777778</v>
      </c>
      <c r="BL84" s="11"/>
      <c r="BM84" s="11"/>
      <c r="BN84" s="10">
        <v>46303.625</v>
      </c>
      <c r="BO84" s="11"/>
      <c r="BP84" s="11"/>
      <c r="BQ84" s="11"/>
      <c r="BR84" s="11"/>
      <c r="BS84" s="11"/>
      <c r="BT84" s="11"/>
      <c r="BU84" s="11"/>
      <c r="BV84" s="2"/>
      <c r="BW84" s="11"/>
    </row>
    <row r="85" spans="1:75" ht="30" x14ac:dyDescent="0.25">
      <c r="A85" s="2">
        <v>6200083</v>
      </c>
      <c r="B85" s="10">
        <v>46303.805902777778</v>
      </c>
      <c r="C85" s="11" t="s">
        <v>82</v>
      </c>
      <c r="D85" s="11"/>
      <c r="E85" s="11" t="s">
        <v>92</v>
      </c>
      <c r="F85" s="11"/>
      <c r="G85" s="11" t="s">
        <v>94</v>
      </c>
      <c r="H85" s="3"/>
      <c r="I85" s="11" t="s">
        <v>90</v>
      </c>
      <c r="J85" s="11"/>
      <c r="K85" s="11"/>
      <c r="L85" s="11"/>
      <c r="M85" s="11"/>
      <c r="N85" s="2">
        <v>1.25</v>
      </c>
      <c r="O85" s="2"/>
      <c r="P85" s="2"/>
      <c r="Q85" s="2"/>
      <c r="R85" s="11"/>
      <c r="S85" s="11" t="s">
        <v>175</v>
      </c>
      <c r="T85" s="11" t="s">
        <v>85</v>
      </c>
      <c r="U85" s="11"/>
      <c r="V85" s="11"/>
      <c r="W85" s="11"/>
      <c r="X85" s="11"/>
      <c r="Y85" s="11"/>
      <c r="Z85" s="11"/>
      <c r="AA85" s="11"/>
      <c r="AB85" s="9"/>
      <c r="AC85" s="2"/>
      <c r="AD85" s="9"/>
      <c r="AE85" s="2"/>
      <c r="AF85" s="9"/>
      <c r="AG85" s="10"/>
      <c r="AH85" s="11"/>
      <c r="AI85" s="11" t="s">
        <v>86</v>
      </c>
      <c r="AJ85" s="11"/>
      <c r="AK85" s="2"/>
      <c r="AL85" s="11"/>
      <c r="AM85" s="11"/>
      <c r="AN85" s="11"/>
      <c r="AO85" s="2"/>
      <c r="AP85" s="3"/>
      <c r="AQ85" s="11"/>
      <c r="AR85" s="3"/>
      <c r="AS85" s="2"/>
      <c r="AT85" s="11"/>
      <c r="AU85" s="2"/>
      <c r="AV85" s="2"/>
      <c r="AW85" s="2"/>
      <c r="AX85" s="11"/>
      <c r="AY85" s="11"/>
      <c r="AZ85" s="9"/>
      <c r="BA85" s="2">
        <v>1875</v>
      </c>
      <c r="BB85" s="11"/>
      <c r="BC85" s="11"/>
      <c r="BD85" s="11"/>
      <c r="BE85" s="11"/>
      <c r="BF85" s="11"/>
      <c r="BG85" s="11"/>
      <c r="BH85" s="11"/>
      <c r="BI85" s="11"/>
      <c r="BJ85" s="11" t="s">
        <v>87</v>
      </c>
      <c r="BK85" s="10">
        <v>46303.805902777778</v>
      </c>
      <c r="BL85" s="11"/>
      <c r="BM85" s="11"/>
      <c r="BN85" s="10">
        <v>46303.625</v>
      </c>
      <c r="BO85" s="11"/>
      <c r="BP85" s="11"/>
      <c r="BQ85" s="11"/>
      <c r="BR85" s="11"/>
      <c r="BS85" s="11"/>
      <c r="BT85" s="11"/>
      <c r="BU85" s="11"/>
      <c r="BV85" s="2"/>
      <c r="BW85" s="11"/>
    </row>
    <row r="86" spans="1:75" ht="30" x14ac:dyDescent="0.25">
      <c r="A86" s="2">
        <v>6200084</v>
      </c>
      <c r="B86" s="10">
        <v>46303.805902777778</v>
      </c>
      <c r="C86" s="11" t="s">
        <v>82</v>
      </c>
      <c r="D86" s="11"/>
      <c r="E86" s="11" t="s">
        <v>83</v>
      </c>
      <c r="F86" s="11"/>
      <c r="G86" s="11" t="s">
        <v>593</v>
      </c>
      <c r="H86" s="3"/>
      <c r="I86" s="11" t="s">
        <v>75</v>
      </c>
      <c r="J86" s="11"/>
      <c r="K86" s="11"/>
      <c r="L86" s="11"/>
      <c r="M86" s="11"/>
      <c r="N86" s="2">
        <v>1.25</v>
      </c>
      <c r="O86" s="2"/>
      <c r="P86" s="2"/>
      <c r="Q86" s="2"/>
      <c r="R86" s="11"/>
      <c r="S86" s="11" t="s">
        <v>176</v>
      </c>
      <c r="T86" s="11" t="s">
        <v>85</v>
      </c>
      <c r="U86" s="11"/>
      <c r="V86" s="11"/>
      <c r="W86" s="11"/>
      <c r="X86" s="11"/>
      <c r="Y86" s="11"/>
      <c r="Z86" s="11"/>
      <c r="AA86" s="11"/>
      <c r="AB86" s="9"/>
      <c r="AC86" s="2"/>
      <c r="AD86" s="9"/>
      <c r="AE86" s="2"/>
      <c r="AF86" s="9"/>
      <c r="AG86" s="10"/>
      <c r="AH86" s="11"/>
      <c r="AI86" s="11" t="s">
        <v>86</v>
      </c>
      <c r="AJ86" s="11"/>
      <c r="AK86" s="2"/>
      <c r="AL86" s="11"/>
      <c r="AM86" s="11"/>
      <c r="AN86" s="11"/>
      <c r="AO86" s="2"/>
      <c r="AP86" s="3"/>
      <c r="AQ86" s="11"/>
      <c r="AR86" s="3"/>
      <c r="AS86" s="2"/>
      <c r="AT86" s="11"/>
      <c r="AU86" s="2"/>
      <c r="AV86" s="2"/>
      <c r="AW86" s="2"/>
      <c r="AX86" s="11"/>
      <c r="AY86" s="11"/>
      <c r="AZ86" s="9"/>
      <c r="BA86" s="2">
        <v>1875</v>
      </c>
      <c r="BB86" s="11"/>
      <c r="BC86" s="11"/>
      <c r="BD86" s="11"/>
      <c r="BE86" s="11"/>
      <c r="BF86" s="11"/>
      <c r="BG86" s="11"/>
      <c r="BH86" s="11"/>
      <c r="BI86" s="11"/>
      <c r="BJ86" s="11" t="s">
        <v>87</v>
      </c>
      <c r="BK86" s="10">
        <v>46303.805902777778</v>
      </c>
      <c r="BL86" s="11"/>
      <c r="BM86" s="11"/>
      <c r="BN86" s="10">
        <v>46303.625</v>
      </c>
      <c r="BO86" s="11"/>
      <c r="BP86" s="11"/>
      <c r="BQ86" s="11"/>
      <c r="BR86" s="11"/>
      <c r="BS86" s="11"/>
      <c r="BT86" s="11"/>
      <c r="BU86" s="11"/>
      <c r="BV86" s="2"/>
      <c r="BW86" s="11"/>
    </row>
    <row r="87" spans="1:75" ht="30" x14ac:dyDescent="0.25">
      <c r="A87" s="2">
        <v>6200085</v>
      </c>
      <c r="B87" s="10">
        <v>46303.805902777778</v>
      </c>
      <c r="C87" s="11" t="s">
        <v>82</v>
      </c>
      <c r="D87" s="11"/>
      <c r="E87" s="11" t="s">
        <v>88</v>
      </c>
      <c r="F87" s="11"/>
      <c r="G87" s="11" t="s">
        <v>592</v>
      </c>
      <c r="H87" s="3"/>
      <c r="I87" s="11" t="s">
        <v>75</v>
      </c>
      <c r="J87" s="11"/>
      <c r="K87" s="11"/>
      <c r="L87" s="11"/>
      <c r="M87" s="11"/>
      <c r="N87" s="2">
        <v>1.25</v>
      </c>
      <c r="O87" s="2"/>
      <c r="P87" s="2"/>
      <c r="Q87" s="2"/>
      <c r="R87" s="11"/>
      <c r="S87" s="11" t="s">
        <v>177</v>
      </c>
      <c r="T87" s="11" t="s">
        <v>85</v>
      </c>
      <c r="U87" s="11"/>
      <c r="V87" s="11"/>
      <c r="W87" s="11"/>
      <c r="X87" s="11"/>
      <c r="Y87" s="11"/>
      <c r="Z87" s="11"/>
      <c r="AA87" s="11"/>
      <c r="AB87" s="9"/>
      <c r="AC87" s="2"/>
      <c r="AD87" s="9"/>
      <c r="AE87" s="2"/>
      <c r="AF87" s="9"/>
      <c r="AG87" s="10"/>
      <c r="AH87" s="11"/>
      <c r="AI87" s="11" t="s">
        <v>86</v>
      </c>
      <c r="AJ87" s="11"/>
      <c r="AK87" s="2"/>
      <c r="AL87" s="11"/>
      <c r="AM87" s="11"/>
      <c r="AN87" s="11"/>
      <c r="AO87" s="2"/>
      <c r="AP87" s="3"/>
      <c r="AQ87" s="11"/>
      <c r="AR87" s="3"/>
      <c r="AS87" s="2"/>
      <c r="AT87" s="11"/>
      <c r="AU87" s="2"/>
      <c r="AV87" s="2"/>
      <c r="AW87" s="2"/>
      <c r="AX87" s="11"/>
      <c r="AY87" s="11"/>
      <c r="AZ87" s="9"/>
      <c r="BA87" s="2">
        <v>1875</v>
      </c>
      <c r="BB87" s="11"/>
      <c r="BC87" s="11"/>
      <c r="BD87" s="11"/>
      <c r="BE87" s="11"/>
      <c r="BF87" s="11"/>
      <c r="BG87" s="11"/>
      <c r="BH87" s="11"/>
      <c r="BI87" s="11"/>
      <c r="BJ87" s="11" t="s">
        <v>87</v>
      </c>
      <c r="BK87" s="10">
        <v>46303.805902777778</v>
      </c>
      <c r="BL87" s="11"/>
      <c r="BM87" s="11"/>
      <c r="BN87" s="10">
        <v>46303.625</v>
      </c>
      <c r="BO87" s="11"/>
      <c r="BP87" s="11"/>
      <c r="BQ87" s="11"/>
      <c r="BR87" s="11"/>
      <c r="BS87" s="11"/>
      <c r="BT87" s="11"/>
      <c r="BU87" s="11"/>
      <c r="BV87" s="2"/>
      <c r="BW87" s="11"/>
    </row>
    <row r="88" spans="1:75" ht="30" x14ac:dyDescent="0.25">
      <c r="A88" s="2">
        <v>6200086</v>
      </c>
      <c r="B88" s="10">
        <v>46303.805902777778</v>
      </c>
      <c r="C88" s="11" t="s">
        <v>82</v>
      </c>
      <c r="D88" s="11"/>
      <c r="E88" s="11" t="s">
        <v>92</v>
      </c>
      <c r="F88" s="11"/>
      <c r="G88" s="11" t="s">
        <v>89</v>
      </c>
      <c r="H88" s="3"/>
      <c r="I88" s="11" t="s">
        <v>90</v>
      </c>
      <c r="J88" s="11"/>
      <c r="K88" s="11"/>
      <c r="L88" s="11"/>
      <c r="M88" s="11"/>
      <c r="N88" s="2">
        <v>1.25</v>
      </c>
      <c r="O88" s="2"/>
      <c r="P88" s="2"/>
      <c r="Q88" s="2"/>
      <c r="R88" s="11"/>
      <c r="S88" s="11" t="s">
        <v>178</v>
      </c>
      <c r="T88" s="11" t="s">
        <v>85</v>
      </c>
      <c r="U88" s="11"/>
      <c r="V88" s="11"/>
      <c r="W88" s="11"/>
      <c r="X88" s="11"/>
      <c r="Y88" s="11"/>
      <c r="Z88" s="11"/>
      <c r="AA88" s="11"/>
      <c r="AB88" s="9"/>
      <c r="AC88" s="2"/>
      <c r="AD88" s="9"/>
      <c r="AE88" s="2"/>
      <c r="AF88" s="9"/>
      <c r="AG88" s="10"/>
      <c r="AH88" s="11"/>
      <c r="AI88" s="11" t="s">
        <v>86</v>
      </c>
      <c r="AJ88" s="11"/>
      <c r="AK88" s="2"/>
      <c r="AL88" s="11"/>
      <c r="AM88" s="11"/>
      <c r="AN88" s="11"/>
      <c r="AO88" s="2"/>
      <c r="AP88" s="3"/>
      <c r="AQ88" s="11"/>
      <c r="AR88" s="3"/>
      <c r="AS88" s="2"/>
      <c r="AT88" s="11"/>
      <c r="AU88" s="2"/>
      <c r="AV88" s="2"/>
      <c r="AW88" s="2"/>
      <c r="AX88" s="11"/>
      <c r="AY88" s="11"/>
      <c r="AZ88" s="9"/>
      <c r="BA88" s="2">
        <v>1875</v>
      </c>
      <c r="BB88" s="11"/>
      <c r="BC88" s="11"/>
      <c r="BD88" s="11"/>
      <c r="BE88" s="11"/>
      <c r="BF88" s="11"/>
      <c r="BG88" s="11"/>
      <c r="BH88" s="11"/>
      <c r="BI88" s="11"/>
      <c r="BJ88" s="11" t="s">
        <v>87</v>
      </c>
      <c r="BK88" s="10">
        <v>46303.805902777778</v>
      </c>
      <c r="BL88" s="11"/>
      <c r="BM88" s="11"/>
      <c r="BN88" s="10">
        <v>46303.625</v>
      </c>
      <c r="BO88" s="11"/>
      <c r="BP88" s="11"/>
      <c r="BQ88" s="11"/>
      <c r="BR88" s="11"/>
      <c r="BS88" s="11"/>
      <c r="BT88" s="11"/>
      <c r="BU88" s="11"/>
      <c r="BV88" s="2"/>
      <c r="BW88" s="11"/>
    </row>
    <row r="89" spans="1:75" ht="30" x14ac:dyDescent="0.25">
      <c r="A89" s="2">
        <v>6200087</v>
      </c>
      <c r="B89" s="10">
        <v>46303.805902777778</v>
      </c>
      <c r="C89" s="11" t="s">
        <v>82</v>
      </c>
      <c r="D89" s="11"/>
      <c r="E89" s="11" t="s">
        <v>83</v>
      </c>
      <c r="F89" s="11"/>
      <c r="G89" s="2">
        <v>470123456</v>
      </c>
      <c r="H89" s="3"/>
      <c r="I89" s="11" t="s">
        <v>75</v>
      </c>
      <c r="J89" s="11"/>
      <c r="K89" s="11"/>
      <c r="L89" s="11"/>
      <c r="M89" s="11"/>
      <c r="N89" s="2">
        <v>1.25</v>
      </c>
      <c r="O89" s="2"/>
      <c r="P89" s="2"/>
      <c r="Q89" s="2"/>
      <c r="R89" s="11"/>
      <c r="S89" s="11" t="s">
        <v>179</v>
      </c>
      <c r="T89" s="11" t="s">
        <v>85</v>
      </c>
      <c r="U89" s="11"/>
      <c r="V89" s="11"/>
      <c r="W89" s="11"/>
      <c r="X89" s="11"/>
      <c r="Y89" s="11"/>
      <c r="Z89" s="11"/>
      <c r="AA89" s="11"/>
      <c r="AB89" s="9"/>
      <c r="AC89" s="2"/>
      <c r="AD89" s="9"/>
      <c r="AE89" s="2"/>
      <c r="AF89" s="9"/>
      <c r="AG89" s="10"/>
      <c r="AH89" s="11"/>
      <c r="AI89" s="11" t="s">
        <v>86</v>
      </c>
      <c r="AJ89" s="11"/>
      <c r="AK89" s="2"/>
      <c r="AL89" s="11"/>
      <c r="AM89" s="11"/>
      <c r="AN89" s="11"/>
      <c r="AO89" s="2"/>
      <c r="AP89" s="3"/>
      <c r="AQ89" s="11"/>
      <c r="AR89" s="3"/>
      <c r="AS89" s="2"/>
      <c r="AT89" s="11"/>
      <c r="AU89" s="2"/>
      <c r="AV89" s="2"/>
      <c r="AW89" s="2"/>
      <c r="AX89" s="11"/>
      <c r="AY89" s="11"/>
      <c r="AZ89" s="9"/>
      <c r="BA89" s="2">
        <v>1875</v>
      </c>
      <c r="BB89" s="11"/>
      <c r="BC89" s="11"/>
      <c r="BD89" s="11"/>
      <c r="BE89" s="11"/>
      <c r="BF89" s="11"/>
      <c r="BG89" s="11"/>
      <c r="BH89" s="11"/>
      <c r="BI89" s="11"/>
      <c r="BJ89" s="11" t="s">
        <v>87</v>
      </c>
      <c r="BK89" s="10">
        <v>46303.805902777778</v>
      </c>
      <c r="BL89" s="11"/>
      <c r="BM89" s="11"/>
      <c r="BN89" s="10">
        <v>46303.625</v>
      </c>
      <c r="BO89" s="11"/>
      <c r="BP89" s="11"/>
      <c r="BQ89" s="11"/>
      <c r="BR89" s="11"/>
      <c r="BS89" s="11"/>
      <c r="BT89" s="11"/>
      <c r="BU89" s="11"/>
      <c r="BV89" s="2"/>
      <c r="BW89" s="11"/>
    </row>
    <row r="90" spans="1:75" ht="30" x14ac:dyDescent="0.25">
      <c r="A90" s="2">
        <v>6200088</v>
      </c>
      <c r="B90" s="10">
        <v>46303.805902777778</v>
      </c>
      <c r="C90" s="11" t="s">
        <v>82</v>
      </c>
      <c r="D90" s="11"/>
      <c r="E90" s="11" t="s">
        <v>88</v>
      </c>
      <c r="F90" s="11"/>
      <c r="G90" s="11" t="s">
        <v>94</v>
      </c>
      <c r="H90" s="3"/>
      <c r="I90" s="11" t="s">
        <v>90</v>
      </c>
      <c r="J90" s="11"/>
      <c r="K90" s="11"/>
      <c r="L90" s="11"/>
      <c r="M90" s="11"/>
      <c r="N90" s="2">
        <v>1.25</v>
      </c>
      <c r="O90" s="2"/>
      <c r="P90" s="2"/>
      <c r="Q90" s="2"/>
      <c r="R90" s="11"/>
      <c r="S90" s="11" t="s">
        <v>180</v>
      </c>
      <c r="T90" s="11" t="s">
        <v>85</v>
      </c>
      <c r="U90" s="11"/>
      <c r="V90" s="11"/>
      <c r="W90" s="11"/>
      <c r="X90" s="11"/>
      <c r="Y90" s="11"/>
      <c r="Z90" s="11"/>
      <c r="AA90" s="11"/>
      <c r="AB90" s="9"/>
      <c r="AC90" s="2"/>
      <c r="AD90" s="9"/>
      <c r="AE90" s="2"/>
      <c r="AF90" s="9"/>
      <c r="AG90" s="10"/>
      <c r="AH90" s="11"/>
      <c r="AI90" s="11" t="s">
        <v>86</v>
      </c>
      <c r="AJ90" s="11"/>
      <c r="AK90" s="2"/>
      <c r="AL90" s="11"/>
      <c r="AM90" s="11"/>
      <c r="AN90" s="11"/>
      <c r="AO90" s="2"/>
      <c r="AP90" s="3"/>
      <c r="AQ90" s="11"/>
      <c r="AR90" s="3"/>
      <c r="AS90" s="2"/>
      <c r="AT90" s="11"/>
      <c r="AU90" s="2"/>
      <c r="AV90" s="2"/>
      <c r="AW90" s="2"/>
      <c r="AX90" s="11"/>
      <c r="AY90" s="11"/>
      <c r="AZ90" s="9"/>
      <c r="BA90" s="2">
        <v>1875</v>
      </c>
      <c r="BB90" s="11"/>
      <c r="BC90" s="11"/>
      <c r="BD90" s="11"/>
      <c r="BE90" s="11"/>
      <c r="BF90" s="11"/>
      <c r="BG90" s="11"/>
      <c r="BH90" s="11"/>
      <c r="BI90" s="11"/>
      <c r="BJ90" s="11" t="s">
        <v>87</v>
      </c>
      <c r="BK90" s="10">
        <v>46303.805902777778</v>
      </c>
      <c r="BL90" s="11"/>
      <c r="BM90" s="11"/>
      <c r="BN90" s="10">
        <v>46303.625</v>
      </c>
      <c r="BO90" s="11"/>
      <c r="BP90" s="11"/>
      <c r="BQ90" s="11"/>
      <c r="BR90" s="11"/>
      <c r="BS90" s="11"/>
      <c r="BT90" s="11"/>
      <c r="BU90" s="11"/>
      <c r="BV90" s="2"/>
      <c r="BW90" s="11"/>
    </row>
    <row r="91" spans="1:75" ht="30" x14ac:dyDescent="0.25">
      <c r="A91" s="2">
        <v>6200089</v>
      </c>
      <c r="B91" s="10">
        <v>46303.805902777778</v>
      </c>
      <c r="C91" s="11" t="s">
        <v>82</v>
      </c>
      <c r="D91" s="11"/>
      <c r="E91" s="11" t="s">
        <v>92</v>
      </c>
      <c r="F91" s="11"/>
      <c r="G91" s="11" t="s">
        <v>593</v>
      </c>
      <c r="H91" s="3"/>
      <c r="I91" s="11" t="s">
        <v>75</v>
      </c>
      <c r="J91" s="11"/>
      <c r="K91" s="11"/>
      <c r="L91" s="11"/>
      <c r="M91" s="11"/>
      <c r="N91" s="2">
        <v>1.25</v>
      </c>
      <c r="O91" s="2"/>
      <c r="P91" s="2"/>
      <c r="Q91" s="2"/>
      <c r="R91" s="11"/>
      <c r="S91" s="11" t="s">
        <v>181</v>
      </c>
      <c r="T91" s="11" t="s">
        <v>85</v>
      </c>
      <c r="U91" s="11"/>
      <c r="V91" s="11"/>
      <c r="W91" s="11"/>
      <c r="X91" s="11"/>
      <c r="Y91" s="11"/>
      <c r="Z91" s="11"/>
      <c r="AA91" s="11"/>
      <c r="AB91" s="9"/>
      <c r="AC91" s="2"/>
      <c r="AD91" s="9"/>
      <c r="AE91" s="2"/>
      <c r="AF91" s="9"/>
      <c r="AG91" s="10"/>
      <c r="AH91" s="11"/>
      <c r="AI91" s="11" t="s">
        <v>86</v>
      </c>
      <c r="AJ91" s="11"/>
      <c r="AK91" s="2"/>
      <c r="AL91" s="11"/>
      <c r="AM91" s="11"/>
      <c r="AN91" s="11"/>
      <c r="AO91" s="2"/>
      <c r="AP91" s="3"/>
      <c r="AQ91" s="11"/>
      <c r="AR91" s="3"/>
      <c r="AS91" s="2"/>
      <c r="AT91" s="11"/>
      <c r="AU91" s="2"/>
      <c r="AV91" s="2"/>
      <c r="AW91" s="2"/>
      <c r="AX91" s="11"/>
      <c r="AY91" s="11"/>
      <c r="AZ91" s="9"/>
      <c r="BA91" s="2">
        <v>1875</v>
      </c>
      <c r="BB91" s="11"/>
      <c r="BC91" s="11"/>
      <c r="BD91" s="11"/>
      <c r="BE91" s="11"/>
      <c r="BF91" s="11"/>
      <c r="BG91" s="11"/>
      <c r="BH91" s="11"/>
      <c r="BI91" s="11"/>
      <c r="BJ91" s="11" t="s">
        <v>87</v>
      </c>
      <c r="BK91" s="10">
        <v>46303.805902777778</v>
      </c>
      <c r="BL91" s="11"/>
      <c r="BM91" s="11"/>
      <c r="BN91" s="10">
        <v>46303.625</v>
      </c>
      <c r="BO91" s="11"/>
      <c r="BP91" s="11"/>
      <c r="BQ91" s="11"/>
      <c r="BR91" s="11"/>
      <c r="BS91" s="11"/>
      <c r="BT91" s="11"/>
      <c r="BU91" s="11"/>
      <c r="BV91" s="2"/>
      <c r="BW91" s="11"/>
    </row>
    <row r="92" spans="1:75" ht="30" x14ac:dyDescent="0.25">
      <c r="A92" s="2">
        <v>6200090</v>
      </c>
      <c r="B92" s="10">
        <v>46303.805902777778</v>
      </c>
      <c r="C92" s="11" t="s">
        <v>82</v>
      </c>
      <c r="D92" s="11"/>
      <c r="E92" s="11" t="s">
        <v>83</v>
      </c>
      <c r="F92" s="11"/>
      <c r="G92" s="11" t="s">
        <v>592</v>
      </c>
      <c r="H92" s="3"/>
      <c r="I92" s="11" t="s">
        <v>75</v>
      </c>
      <c r="J92" s="11"/>
      <c r="K92" s="11"/>
      <c r="L92" s="11"/>
      <c r="M92" s="11"/>
      <c r="N92" s="2">
        <v>1.25</v>
      </c>
      <c r="O92" s="2"/>
      <c r="P92" s="2"/>
      <c r="Q92" s="2"/>
      <c r="R92" s="11"/>
      <c r="S92" s="11" t="s">
        <v>182</v>
      </c>
      <c r="T92" s="11" t="s">
        <v>85</v>
      </c>
      <c r="U92" s="11"/>
      <c r="V92" s="11"/>
      <c r="W92" s="11"/>
      <c r="X92" s="11"/>
      <c r="Y92" s="11"/>
      <c r="Z92" s="11"/>
      <c r="AA92" s="11"/>
      <c r="AB92" s="9"/>
      <c r="AC92" s="2"/>
      <c r="AD92" s="9"/>
      <c r="AE92" s="2"/>
      <c r="AF92" s="9"/>
      <c r="AG92" s="10"/>
      <c r="AH92" s="11"/>
      <c r="AI92" s="11" t="s">
        <v>86</v>
      </c>
      <c r="AJ92" s="11"/>
      <c r="AK92" s="2"/>
      <c r="AL92" s="11"/>
      <c r="AM92" s="11"/>
      <c r="AN92" s="11"/>
      <c r="AO92" s="2"/>
      <c r="AP92" s="3"/>
      <c r="AQ92" s="11"/>
      <c r="AR92" s="3"/>
      <c r="AS92" s="2"/>
      <c r="AT92" s="11"/>
      <c r="AU92" s="2"/>
      <c r="AV92" s="2"/>
      <c r="AW92" s="2"/>
      <c r="AX92" s="11"/>
      <c r="AY92" s="11"/>
      <c r="AZ92" s="9"/>
      <c r="BA92" s="2">
        <v>1875</v>
      </c>
      <c r="BB92" s="11"/>
      <c r="BC92" s="11"/>
      <c r="BD92" s="11"/>
      <c r="BE92" s="11"/>
      <c r="BF92" s="11"/>
      <c r="BG92" s="11"/>
      <c r="BH92" s="11"/>
      <c r="BI92" s="11"/>
      <c r="BJ92" s="11" t="s">
        <v>87</v>
      </c>
      <c r="BK92" s="10">
        <v>46303.805902777778</v>
      </c>
      <c r="BL92" s="11"/>
      <c r="BM92" s="11"/>
      <c r="BN92" s="10">
        <v>46303.625</v>
      </c>
      <c r="BO92" s="11"/>
      <c r="BP92" s="11"/>
      <c r="BQ92" s="11"/>
      <c r="BR92" s="11"/>
      <c r="BS92" s="11"/>
      <c r="BT92" s="11"/>
      <c r="BU92" s="11"/>
      <c r="BV92" s="2"/>
      <c r="BW92" s="11"/>
    </row>
    <row r="93" spans="1:75" ht="30" x14ac:dyDescent="0.25">
      <c r="A93" s="2">
        <v>6200091</v>
      </c>
      <c r="B93" s="10">
        <v>46303.805902777778</v>
      </c>
      <c r="C93" s="11" t="s">
        <v>82</v>
      </c>
      <c r="D93" s="11"/>
      <c r="E93" s="11" t="s">
        <v>88</v>
      </c>
      <c r="F93" s="11"/>
      <c r="G93" s="11" t="s">
        <v>89</v>
      </c>
      <c r="H93" s="3"/>
      <c r="I93" s="11" t="s">
        <v>90</v>
      </c>
      <c r="J93" s="11"/>
      <c r="K93" s="11"/>
      <c r="L93" s="11"/>
      <c r="M93" s="11"/>
      <c r="N93" s="2">
        <v>1.25</v>
      </c>
      <c r="O93" s="2"/>
      <c r="P93" s="2"/>
      <c r="Q93" s="2"/>
      <c r="R93" s="11"/>
      <c r="S93" s="11" t="s">
        <v>183</v>
      </c>
      <c r="T93" s="11" t="s">
        <v>85</v>
      </c>
      <c r="U93" s="11"/>
      <c r="V93" s="11"/>
      <c r="W93" s="11"/>
      <c r="X93" s="11"/>
      <c r="Y93" s="11"/>
      <c r="Z93" s="11"/>
      <c r="AA93" s="11"/>
      <c r="AB93" s="9"/>
      <c r="AC93" s="2"/>
      <c r="AD93" s="9"/>
      <c r="AE93" s="2"/>
      <c r="AF93" s="9"/>
      <c r="AG93" s="10"/>
      <c r="AH93" s="11"/>
      <c r="AI93" s="11" t="s">
        <v>86</v>
      </c>
      <c r="AJ93" s="11"/>
      <c r="AK93" s="2"/>
      <c r="AL93" s="11"/>
      <c r="AM93" s="11"/>
      <c r="AN93" s="11"/>
      <c r="AO93" s="2"/>
      <c r="AP93" s="3"/>
      <c r="AQ93" s="11"/>
      <c r="AR93" s="3"/>
      <c r="AS93" s="2"/>
      <c r="AT93" s="11"/>
      <c r="AU93" s="2"/>
      <c r="AV93" s="2"/>
      <c r="AW93" s="2"/>
      <c r="AX93" s="11"/>
      <c r="AY93" s="11"/>
      <c r="AZ93" s="9"/>
      <c r="BA93" s="2">
        <v>1875</v>
      </c>
      <c r="BB93" s="11"/>
      <c r="BC93" s="11"/>
      <c r="BD93" s="11"/>
      <c r="BE93" s="11"/>
      <c r="BF93" s="11"/>
      <c r="BG93" s="11"/>
      <c r="BH93" s="11"/>
      <c r="BI93" s="11"/>
      <c r="BJ93" s="11" t="s">
        <v>87</v>
      </c>
      <c r="BK93" s="10">
        <v>46303.805902777778</v>
      </c>
      <c r="BL93" s="11"/>
      <c r="BM93" s="11"/>
      <c r="BN93" s="10">
        <v>46303.625</v>
      </c>
      <c r="BO93" s="11"/>
      <c r="BP93" s="11"/>
      <c r="BQ93" s="11"/>
      <c r="BR93" s="11"/>
      <c r="BS93" s="11"/>
      <c r="BT93" s="11"/>
      <c r="BU93" s="11"/>
      <c r="BV93" s="2"/>
      <c r="BW93" s="11"/>
    </row>
    <row r="94" spans="1:75" ht="30" x14ac:dyDescent="0.25">
      <c r="A94" s="2">
        <v>6200092</v>
      </c>
      <c r="B94" s="10">
        <v>46303.805902777778</v>
      </c>
      <c r="C94" s="11" t="s">
        <v>82</v>
      </c>
      <c r="D94" s="11"/>
      <c r="E94" s="11" t="s">
        <v>92</v>
      </c>
      <c r="F94" s="11"/>
      <c r="G94" s="2">
        <v>470123456</v>
      </c>
      <c r="H94" s="3"/>
      <c r="I94" s="11" t="s">
        <v>75</v>
      </c>
      <c r="J94" s="11"/>
      <c r="K94" s="11"/>
      <c r="L94" s="11"/>
      <c r="M94" s="11"/>
      <c r="N94" s="2">
        <v>1.25</v>
      </c>
      <c r="O94" s="2"/>
      <c r="P94" s="2"/>
      <c r="Q94" s="2"/>
      <c r="R94" s="11"/>
      <c r="S94" s="11" t="s">
        <v>184</v>
      </c>
      <c r="T94" s="11" t="s">
        <v>85</v>
      </c>
      <c r="U94" s="11"/>
      <c r="V94" s="11"/>
      <c r="W94" s="11"/>
      <c r="X94" s="11"/>
      <c r="Y94" s="11"/>
      <c r="Z94" s="11"/>
      <c r="AA94" s="11"/>
      <c r="AB94" s="9"/>
      <c r="AC94" s="2"/>
      <c r="AD94" s="9"/>
      <c r="AE94" s="2"/>
      <c r="AF94" s="9"/>
      <c r="AG94" s="10"/>
      <c r="AH94" s="11"/>
      <c r="AI94" s="11" t="s">
        <v>86</v>
      </c>
      <c r="AJ94" s="11"/>
      <c r="AK94" s="2"/>
      <c r="AL94" s="11"/>
      <c r="AM94" s="11"/>
      <c r="AN94" s="11"/>
      <c r="AO94" s="2"/>
      <c r="AP94" s="3"/>
      <c r="AQ94" s="11"/>
      <c r="AR94" s="3"/>
      <c r="AS94" s="2"/>
      <c r="AT94" s="11"/>
      <c r="AU94" s="2"/>
      <c r="AV94" s="2"/>
      <c r="AW94" s="2"/>
      <c r="AX94" s="11"/>
      <c r="AY94" s="11"/>
      <c r="AZ94" s="9"/>
      <c r="BA94" s="2">
        <v>1875</v>
      </c>
      <c r="BB94" s="11"/>
      <c r="BC94" s="11"/>
      <c r="BD94" s="11"/>
      <c r="BE94" s="11"/>
      <c r="BF94" s="11"/>
      <c r="BG94" s="11"/>
      <c r="BH94" s="11"/>
      <c r="BI94" s="11"/>
      <c r="BJ94" s="11" t="s">
        <v>87</v>
      </c>
      <c r="BK94" s="10">
        <v>46303.805902777778</v>
      </c>
      <c r="BL94" s="11"/>
      <c r="BM94" s="11"/>
      <c r="BN94" s="10">
        <v>46303.625</v>
      </c>
      <c r="BO94" s="11"/>
      <c r="BP94" s="11"/>
      <c r="BQ94" s="11"/>
      <c r="BR94" s="11"/>
      <c r="BS94" s="11"/>
      <c r="BT94" s="11"/>
      <c r="BU94" s="11"/>
      <c r="BV94" s="2"/>
      <c r="BW94" s="11"/>
    </row>
    <row r="95" spans="1:75" ht="30" x14ac:dyDescent="0.25">
      <c r="A95" s="2">
        <v>6200093</v>
      </c>
      <c r="B95" s="10">
        <v>46303.805902777778</v>
      </c>
      <c r="C95" s="11" t="s">
        <v>82</v>
      </c>
      <c r="D95" s="11"/>
      <c r="E95" s="11" t="s">
        <v>83</v>
      </c>
      <c r="F95" s="11"/>
      <c r="G95" s="11" t="s">
        <v>94</v>
      </c>
      <c r="H95" s="3"/>
      <c r="I95" s="11" t="s">
        <v>90</v>
      </c>
      <c r="J95" s="11"/>
      <c r="K95" s="11"/>
      <c r="L95" s="11"/>
      <c r="M95" s="11"/>
      <c r="N95" s="2">
        <v>1.25</v>
      </c>
      <c r="O95" s="2"/>
      <c r="P95" s="2"/>
      <c r="Q95" s="2"/>
      <c r="R95" s="11"/>
      <c r="S95" s="11" t="s">
        <v>185</v>
      </c>
      <c r="T95" s="11" t="s">
        <v>85</v>
      </c>
      <c r="U95" s="11"/>
      <c r="V95" s="11"/>
      <c r="W95" s="11"/>
      <c r="X95" s="11"/>
      <c r="Y95" s="11"/>
      <c r="Z95" s="11"/>
      <c r="AA95" s="11"/>
      <c r="AB95" s="9"/>
      <c r="AC95" s="2"/>
      <c r="AD95" s="9"/>
      <c r="AE95" s="2"/>
      <c r="AF95" s="9"/>
      <c r="AG95" s="10"/>
      <c r="AH95" s="11"/>
      <c r="AI95" s="11" t="s">
        <v>86</v>
      </c>
      <c r="AJ95" s="11"/>
      <c r="AK95" s="2"/>
      <c r="AL95" s="11"/>
      <c r="AM95" s="11"/>
      <c r="AN95" s="11"/>
      <c r="AO95" s="2"/>
      <c r="AP95" s="3"/>
      <c r="AQ95" s="11"/>
      <c r="AR95" s="3"/>
      <c r="AS95" s="2"/>
      <c r="AT95" s="11"/>
      <c r="AU95" s="2"/>
      <c r="AV95" s="2"/>
      <c r="AW95" s="2"/>
      <c r="AX95" s="11"/>
      <c r="AY95" s="11"/>
      <c r="AZ95" s="9"/>
      <c r="BA95" s="2">
        <v>1875</v>
      </c>
      <c r="BB95" s="11"/>
      <c r="BC95" s="11"/>
      <c r="BD95" s="11"/>
      <c r="BE95" s="11"/>
      <c r="BF95" s="11"/>
      <c r="BG95" s="11"/>
      <c r="BH95" s="11"/>
      <c r="BI95" s="11"/>
      <c r="BJ95" s="11" t="s">
        <v>87</v>
      </c>
      <c r="BK95" s="10">
        <v>46303.805902777778</v>
      </c>
      <c r="BL95" s="11"/>
      <c r="BM95" s="11"/>
      <c r="BN95" s="10">
        <v>46303.625</v>
      </c>
      <c r="BO95" s="11"/>
      <c r="BP95" s="11"/>
      <c r="BQ95" s="11"/>
      <c r="BR95" s="11"/>
      <c r="BS95" s="11"/>
      <c r="BT95" s="11"/>
      <c r="BU95" s="11"/>
      <c r="BV95" s="2"/>
      <c r="BW95" s="11"/>
    </row>
    <row r="96" spans="1:75" ht="30" x14ac:dyDescent="0.25">
      <c r="A96" s="2">
        <v>6200094</v>
      </c>
      <c r="B96" s="10">
        <v>46303.805902777778</v>
      </c>
      <c r="C96" s="11" t="s">
        <v>82</v>
      </c>
      <c r="D96" s="11"/>
      <c r="E96" s="11" t="s">
        <v>88</v>
      </c>
      <c r="F96" s="11"/>
      <c r="G96" s="11" t="s">
        <v>593</v>
      </c>
      <c r="H96" s="3"/>
      <c r="I96" s="11" t="s">
        <v>75</v>
      </c>
      <c r="J96" s="11"/>
      <c r="K96" s="11"/>
      <c r="L96" s="11"/>
      <c r="M96" s="11"/>
      <c r="N96" s="2">
        <v>1.25</v>
      </c>
      <c r="O96" s="2"/>
      <c r="P96" s="2"/>
      <c r="Q96" s="2"/>
      <c r="R96" s="11"/>
      <c r="S96" s="11" t="s">
        <v>186</v>
      </c>
      <c r="T96" s="11" t="s">
        <v>85</v>
      </c>
      <c r="U96" s="11"/>
      <c r="V96" s="11"/>
      <c r="W96" s="11"/>
      <c r="X96" s="11"/>
      <c r="Y96" s="11"/>
      <c r="Z96" s="11"/>
      <c r="AA96" s="11"/>
      <c r="AB96" s="9"/>
      <c r="AC96" s="2"/>
      <c r="AD96" s="9"/>
      <c r="AE96" s="2"/>
      <c r="AF96" s="9"/>
      <c r="AG96" s="10"/>
      <c r="AH96" s="11"/>
      <c r="AI96" s="11" t="s">
        <v>86</v>
      </c>
      <c r="AJ96" s="11"/>
      <c r="AK96" s="2"/>
      <c r="AL96" s="11"/>
      <c r="AM96" s="11"/>
      <c r="AN96" s="11"/>
      <c r="AO96" s="2"/>
      <c r="AP96" s="3"/>
      <c r="AQ96" s="11"/>
      <c r="AR96" s="3"/>
      <c r="AS96" s="2"/>
      <c r="AT96" s="11"/>
      <c r="AU96" s="2"/>
      <c r="AV96" s="2"/>
      <c r="AW96" s="2"/>
      <c r="AX96" s="11"/>
      <c r="AY96" s="11"/>
      <c r="AZ96" s="9"/>
      <c r="BA96" s="2">
        <v>1875</v>
      </c>
      <c r="BB96" s="11"/>
      <c r="BC96" s="11"/>
      <c r="BD96" s="11"/>
      <c r="BE96" s="11"/>
      <c r="BF96" s="11"/>
      <c r="BG96" s="11"/>
      <c r="BH96" s="11"/>
      <c r="BI96" s="11"/>
      <c r="BJ96" s="11" t="s">
        <v>87</v>
      </c>
      <c r="BK96" s="10">
        <v>46303.805902777778</v>
      </c>
      <c r="BL96" s="11"/>
      <c r="BM96" s="11"/>
      <c r="BN96" s="10">
        <v>46303.625</v>
      </c>
      <c r="BO96" s="11"/>
      <c r="BP96" s="11"/>
      <c r="BQ96" s="11"/>
      <c r="BR96" s="11"/>
      <c r="BS96" s="11"/>
      <c r="BT96" s="11"/>
      <c r="BU96" s="11"/>
      <c r="BV96" s="2"/>
      <c r="BW96" s="11"/>
    </row>
    <row r="97" spans="1:75" ht="30" x14ac:dyDescent="0.25">
      <c r="A97" s="2">
        <v>6200095</v>
      </c>
      <c r="B97" s="10">
        <v>46303.805902777778</v>
      </c>
      <c r="C97" s="11" t="s">
        <v>82</v>
      </c>
      <c r="D97" s="11"/>
      <c r="E97" s="11" t="s">
        <v>92</v>
      </c>
      <c r="F97" s="11"/>
      <c r="G97" s="11" t="s">
        <v>592</v>
      </c>
      <c r="H97" s="3"/>
      <c r="I97" s="11" t="s">
        <v>75</v>
      </c>
      <c r="J97" s="11"/>
      <c r="K97" s="11"/>
      <c r="L97" s="11"/>
      <c r="M97" s="11"/>
      <c r="N97" s="2">
        <v>1.25</v>
      </c>
      <c r="O97" s="2"/>
      <c r="P97" s="2"/>
      <c r="Q97" s="2"/>
      <c r="R97" s="11"/>
      <c r="S97" s="11" t="s">
        <v>187</v>
      </c>
      <c r="T97" s="11" t="s">
        <v>85</v>
      </c>
      <c r="U97" s="11"/>
      <c r="V97" s="11"/>
      <c r="W97" s="11"/>
      <c r="X97" s="11"/>
      <c r="Y97" s="11"/>
      <c r="Z97" s="11"/>
      <c r="AA97" s="11"/>
      <c r="AB97" s="9"/>
      <c r="AC97" s="2"/>
      <c r="AD97" s="9"/>
      <c r="AE97" s="2"/>
      <c r="AF97" s="9"/>
      <c r="AG97" s="10"/>
      <c r="AH97" s="11"/>
      <c r="AI97" s="11" t="s">
        <v>86</v>
      </c>
      <c r="AJ97" s="11"/>
      <c r="AK97" s="2"/>
      <c r="AL97" s="11"/>
      <c r="AM97" s="11"/>
      <c r="AN97" s="11"/>
      <c r="AO97" s="2"/>
      <c r="AP97" s="3"/>
      <c r="AQ97" s="11"/>
      <c r="AR97" s="3"/>
      <c r="AS97" s="2"/>
      <c r="AT97" s="11"/>
      <c r="AU97" s="2"/>
      <c r="AV97" s="2"/>
      <c r="AW97" s="2"/>
      <c r="AX97" s="11"/>
      <c r="AY97" s="11"/>
      <c r="AZ97" s="9"/>
      <c r="BA97" s="2">
        <v>1875</v>
      </c>
      <c r="BB97" s="11"/>
      <c r="BC97" s="11"/>
      <c r="BD97" s="11"/>
      <c r="BE97" s="11"/>
      <c r="BF97" s="11"/>
      <c r="BG97" s="11"/>
      <c r="BH97" s="11"/>
      <c r="BI97" s="11"/>
      <c r="BJ97" s="11" t="s">
        <v>87</v>
      </c>
      <c r="BK97" s="10">
        <v>46303.805902777778</v>
      </c>
      <c r="BL97" s="11"/>
      <c r="BM97" s="11"/>
      <c r="BN97" s="10">
        <v>46303.625</v>
      </c>
      <c r="BO97" s="11"/>
      <c r="BP97" s="11"/>
      <c r="BQ97" s="11"/>
      <c r="BR97" s="11"/>
      <c r="BS97" s="11"/>
      <c r="BT97" s="11"/>
      <c r="BU97" s="11"/>
      <c r="BV97" s="2"/>
      <c r="BW97" s="11"/>
    </row>
    <row r="98" spans="1:75" ht="30" x14ac:dyDescent="0.25">
      <c r="A98" s="2">
        <v>6200096</v>
      </c>
      <c r="B98" s="10">
        <v>46303.805902777778</v>
      </c>
      <c r="C98" s="11" t="s">
        <v>82</v>
      </c>
      <c r="D98" s="11"/>
      <c r="E98" s="11" t="s">
        <v>83</v>
      </c>
      <c r="F98" s="11"/>
      <c r="G98" s="11" t="s">
        <v>89</v>
      </c>
      <c r="H98" s="3"/>
      <c r="I98" s="11" t="s">
        <v>90</v>
      </c>
      <c r="J98" s="11"/>
      <c r="K98" s="11"/>
      <c r="L98" s="11"/>
      <c r="M98" s="11"/>
      <c r="N98" s="2">
        <v>1.25</v>
      </c>
      <c r="O98" s="2"/>
      <c r="P98" s="2"/>
      <c r="Q98" s="2"/>
      <c r="R98" s="11"/>
      <c r="S98" s="11" t="s">
        <v>188</v>
      </c>
      <c r="T98" s="11" t="s">
        <v>85</v>
      </c>
      <c r="U98" s="11"/>
      <c r="V98" s="11"/>
      <c r="W98" s="11"/>
      <c r="X98" s="11"/>
      <c r="Y98" s="11"/>
      <c r="Z98" s="11"/>
      <c r="AA98" s="11"/>
      <c r="AB98" s="9"/>
      <c r="AC98" s="2"/>
      <c r="AD98" s="9"/>
      <c r="AE98" s="2"/>
      <c r="AF98" s="9"/>
      <c r="AG98" s="10"/>
      <c r="AH98" s="11"/>
      <c r="AI98" s="11" t="s">
        <v>86</v>
      </c>
      <c r="AJ98" s="11"/>
      <c r="AK98" s="2"/>
      <c r="AL98" s="11"/>
      <c r="AM98" s="11"/>
      <c r="AN98" s="11"/>
      <c r="AO98" s="2"/>
      <c r="AP98" s="3"/>
      <c r="AQ98" s="11"/>
      <c r="AR98" s="3"/>
      <c r="AS98" s="2"/>
      <c r="AT98" s="11"/>
      <c r="AU98" s="2"/>
      <c r="AV98" s="2"/>
      <c r="AW98" s="2"/>
      <c r="AX98" s="11"/>
      <c r="AY98" s="11"/>
      <c r="AZ98" s="9"/>
      <c r="BA98" s="2">
        <v>1875</v>
      </c>
      <c r="BB98" s="11"/>
      <c r="BC98" s="11"/>
      <c r="BD98" s="11"/>
      <c r="BE98" s="11"/>
      <c r="BF98" s="11"/>
      <c r="BG98" s="11"/>
      <c r="BH98" s="11"/>
      <c r="BI98" s="11"/>
      <c r="BJ98" s="11" t="s">
        <v>87</v>
      </c>
      <c r="BK98" s="10">
        <v>46303.805902777778</v>
      </c>
      <c r="BL98" s="11"/>
      <c r="BM98" s="11"/>
      <c r="BN98" s="10">
        <v>46303.625</v>
      </c>
      <c r="BO98" s="11"/>
      <c r="BP98" s="11"/>
      <c r="BQ98" s="11"/>
      <c r="BR98" s="11"/>
      <c r="BS98" s="11"/>
      <c r="BT98" s="11"/>
      <c r="BU98" s="11"/>
      <c r="BV98" s="2"/>
      <c r="BW98" s="11"/>
    </row>
    <row r="99" spans="1:75" ht="30" x14ac:dyDescent="0.25">
      <c r="A99" s="2">
        <v>6200097</v>
      </c>
      <c r="B99" s="10">
        <v>46303.805902777778</v>
      </c>
      <c r="C99" s="11" t="s">
        <v>82</v>
      </c>
      <c r="D99" s="11"/>
      <c r="E99" s="11" t="s">
        <v>88</v>
      </c>
      <c r="F99" s="11"/>
      <c r="G99" s="2">
        <v>470123456</v>
      </c>
      <c r="H99" s="3"/>
      <c r="I99" s="11" t="s">
        <v>75</v>
      </c>
      <c r="J99" s="11"/>
      <c r="K99" s="11"/>
      <c r="L99" s="11"/>
      <c r="M99" s="11"/>
      <c r="N99" s="2">
        <v>1.25</v>
      </c>
      <c r="O99" s="2"/>
      <c r="P99" s="2"/>
      <c r="Q99" s="2"/>
      <c r="R99" s="11"/>
      <c r="S99" s="11" t="s">
        <v>189</v>
      </c>
      <c r="T99" s="11" t="s">
        <v>85</v>
      </c>
      <c r="U99" s="11"/>
      <c r="V99" s="11"/>
      <c r="W99" s="11"/>
      <c r="X99" s="11"/>
      <c r="Y99" s="11"/>
      <c r="Z99" s="11"/>
      <c r="AA99" s="11"/>
      <c r="AB99" s="9"/>
      <c r="AC99" s="2"/>
      <c r="AD99" s="9"/>
      <c r="AE99" s="2"/>
      <c r="AF99" s="9"/>
      <c r="AG99" s="10"/>
      <c r="AH99" s="11"/>
      <c r="AI99" s="11" t="s">
        <v>86</v>
      </c>
      <c r="AJ99" s="11"/>
      <c r="AK99" s="2"/>
      <c r="AL99" s="11"/>
      <c r="AM99" s="11"/>
      <c r="AN99" s="11"/>
      <c r="AO99" s="2"/>
      <c r="AP99" s="3"/>
      <c r="AQ99" s="11"/>
      <c r="AR99" s="3"/>
      <c r="AS99" s="2"/>
      <c r="AT99" s="11"/>
      <c r="AU99" s="2"/>
      <c r="AV99" s="2"/>
      <c r="AW99" s="2"/>
      <c r="AX99" s="11"/>
      <c r="AY99" s="11"/>
      <c r="AZ99" s="9"/>
      <c r="BA99" s="2">
        <v>1875</v>
      </c>
      <c r="BB99" s="11"/>
      <c r="BC99" s="11"/>
      <c r="BD99" s="11"/>
      <c r="BE99" s="11"/>
      <c r="BF99" s="11"/>
      <c r="BG99" s="11"/>
      <c r="BH99" s="11"/>
      <c r="BI99" s="11"/>
      <c r="BJ99" s="11" t="s">
        <v>87</v>
      </c>
      <c r="BK99" s="10">
        <v>46303.805902777778</v>
      </c>
      <c r="BL99" s="11"/>
      <c r="BM99" s="11"/>
      <c r="BN99" s="10">
        <v>46303.625</v>
      </c>
      <c r="BO99" s="11"/>
      <c r="BP99" s="11"/>
      <c r="BQ99" s="11"/>
      <c r="BR99" s="11"/>
      <c r="BS99" s="11"/>
      <c r="BT99" s="11"/>
      <c r="BU99" s="11"/>
      <c r="BV99" s="2"/>
      <c r="BW99" s="11"/>
    </row>
    <row r="100" spans="1:75" ht="30" x14ac:dyDescent="0.25">
      <c r="A100" s="2">
        <v>6200098</v>
      </c>
      <c r="B100" s="10">
        <v>46303.805902777778</v>
      </c>
      <c r="C100" s="11" t="s">
        <v>82</v>
      </c>
      <c r="D100" s="11"/>
      <c r="E100" s="11" t="s">
        <v>92</v>
      </c>
      <c r="F100" s="11"/>
      <c r="G100" s="11" t="s">
        <v>94</v>
      </c>
      <c r="H100" s="3"/>
      <c r="I100" s="11" t="s">
        <v>90</v>
      </c>
      <c r="J100" s="11"/>
      <c r="K100" s="11"/>
      <c r="L100" s="11"/>
      <c r="M100" s="11"/>
      <c r="N100" s="2">
        <v>1.25</v>
      </c>
      <c r="O100" s="2"/>
      <c r="P100" s="2"/>
      <c r="Q100" s="2"/>
      <c r="R100" s="11"/>
      <c r="S100" s="11" t="s">
        <v>190</v>
      </c>
      <c r="T100" s="11" t="s">
        <v>85</v>
      </c>
      <c r="U100" s="11"/>
      <c r="V100" s="11"/>
      <c r="W100" s="11"/>
      <c r="X100" s="11"/>
      <c r="Y100" s="11"/>
      <c r="Z100" s="11"/>
      <c r="AA100" s="11"/>
      <c r="AB100" s="9"/>
      <c r="AC100" s="2"/>
      <c r="AD100" s="9"/>
      <c r="AE100" s="2"/>
      <c r="AF100" s="9"/>
      <c r="AG100" s="10"/>
      <c r="AH100" s="11"/>
      <c r="AI100" s="11" t="s">
        <v>86</v>
      </c>
      <c r="AJ100" s="11"/>
      <c r="AK100" s="2"/>
      <c r="AL100" s="11"/>
      <c r="AM100" s="11"/>
      <c r="AN100" s="11"/>
      <c r="AO100" s="2"/>
      <c r="AP100" s="3"/>
      <c r="AQ100" s="11"/>
      <c r="AR100" s="3"/>
      <c r="AS100" s="2"/>
      <c r="AT100" s="11"/>
      <c r="AU100" s="2"/>
      <c r="AV100" s="2"/>
      <c r="AW100" s="2"/>
      <c r="AX100" s="11"/>
      <c r="AY100" s="11"/>
      <c r="AZ100" s="9"/>
      <c r="BA100" s="2">
        <v>1875</v>
      </c>
      <c r="BB100" s="11"/>
      <c r="BC100" s="11"/>
      <c r="BD100" s="11"/>
      <c r="BE100" s="11"/>
      <c r="BF100" s="11"/>
      <c r="BG100" s="11"/>
      <c r="BH100" s="11"/>
      <c r="BI100" s="11"/>
      <c r="BJ100" s="11" t="s">
        <v>87</v>
      </c>
      <c r="BK100" s="10">
        <v>46303.805902777778</v>
      </c>
      <c r="BL100" s="11"/>
      <c r="BM100" s="11"/>
      <c r="BN100" s="10">
        <v>46303.625</v>
      </c>
      <c r="BO100" s="11"/>
      <c r="BP100" s="11"/>
      <c r="BQ100" s="11"/>
      <c r="BR100" s="11"/>
      <c r="BS100" s="11"/>
      <c r="BT100" s="11"/>
      <c r="BU100" s="11"/>
      <c r="BV100" s="2"/>
      <c r="BW100" s="11"/>
    </row>
    <row r="101" spans="1:75" ht="30" x14ac:dyDescent="0.25">
      <c r="A101" s="2">
        <v>6200099</v>
      </c>
      <c r="B101" s="10">
        <v>46303.805902777778</v>
      </c>
      <c r="C101" s="11" t="s">
        <v>82</v>
      </c>
      <c r="D101" s="11"/>
      <c r="E101" s="11" t="s">
        <v>83</v>
      </c>
      <c r="F101" s="11"/>
      <c r="G101" s="11" t="s">
        <v>593</v>
      </c>
      <c r="H101" s="3"/>
      <c r="I101" s="11" t="s">
        <v>75</v>
      </c>
      <c r="J101" s="11"/>
      <c r="K101" s="11"/>
      <c r="L101" s="11"/>
      <c r="M101" s="11"/>
      <c r="N101" s="2">
        <v>1.25</v>
      </c>
      <c r="O101" s="2"/>
      <c r="P101" s="2"/>
      <c r="Q101" s="2"/>
      <c r="R101" s="11"/>
      <c r="S101" s="11" t="s">
        <v>191</v>
      </c>
      <c r="T101" s="11" t="s">
        <v>85</v>
      </c>
      <c r="U101" s="11"/>
      <c r="V101" s="11"/>
      <c r="W101" s="11"/>
      <c r="X101" s="11"/>
      <c r="Y101" s="11"/>
      <c r="Z101" s="11"/>
      <c r="AA101" s="11"/>
      <c r="AB101" s="9"/>
      <c r="AC101" s="2"/>
      <c r="AD101" s="9"/>
      <c r="AE101" s="2"/>
      <c r="AF101" s="9"/>
      <c r="AG101" s="10"/>
      <c r="AH101" s="11"/>
      <c r="AI101" s="11" t="s">
        <v>86</v>
      </c>
      <c r="AJ101" s="11"/>
      <c r="AK101" s="2"/>
      <c r="AL101" s="11"/>
      <c r="AM101" s="11"/>
      <c r="AN101" s="11"/>
      <c r="AO101" s="2"/>
      <c r="AP101" s="3"/>
      <c r="AQ101" s="11"/>
      <c r="AR101" s="3"/>
      <c r="AS101" s="2"/>
      <c r="AT101" s="11"/>
      <c r="AU101" s="2"/>
      <c r="AV101" s="2"/>
      <c r="AW101" s="2"/>
      <c r="AX101" s="11"/>
      <c r="AY101" s="11"/>
      <c r="AZ101" s="9"/>
      <c r="BA101" s="2">
        <v>1875</v>
      </c>
      <c r="BB101" s="11"/>
      <c r="BC101" s="11"/>
      <c r="BD101" s="11"/>
      <c r="BE101" s="11"/>
      <c r="BF101" s="11"/>
      <c r="BG101" s="11"/>
      <c r="BH101" s="11"/>
      <c r="BI101" s="11"/>
      <c r="BJ101" s="11" t="s">
        <v>87</v>
      </c>
      <c r="BK101" s="10">
        <v>46303.805902777778</v>
      </c>
      <c r="BL101" s="11"/>
      <c r="BM101" s="11"/>
      <c r="BN101" s="10">
        <v>46303.625</v>
      </c>
      <c r="BO101" s="11"/>
      <c r="BP101" s="11"/>
      <c r="BQ101" s="11"/>
      <c r="BR101" s="11"/>
      <c r="BS101" s="11"/>
      <c r="BT101" s="11"/>
      <c r="BU101" s="11"/>
      <c r="BV101" s="2"/>
      <c r="BW101" s="11"/>
    </row>
    <row r="102" spans="1:75" ht="30" x14ac:dyDescent="0.25">
      <c r="A102" s="2">
        <v>6200100</v>
      </c>
      <c r="B102" s="10">
        <v>46303.805902777778</v>
      </c>
      <c r="C102" s="11" t="s">
        <v>82</v>
      </c>
      <c r="D102" s="11"/>
      <c r="E102" s="11" t="s">
        <v>88</v>
      </c>
      <c r="F102" s="11"/>
      <c r="G102" s="11" t="s">
        <v>592</v>
      </c>
      <c r="H102" s="3"/>
      <c r="I102" s="11" t="s">
        <v>75</v>
      </c>
      <c r="J102" s="11"/>
      <c r="K102" s="11"/>
      <c r="L102" s="11"/>
      <c r="M102" s="11"/>
      <c r="N102" s="2">
        <v>1.25</v>
      </c>
      <c r="O102" s="2"/>
      <c r="P102" s="2"/>
      <c r="Q102" s="2"/>
      <c r="R102" s="11"/>
      <c r="S102" s="11" t="s">
        <v>192</v>
      </c>
      <c r="T102" s="11" t="s">
        <v>85</v>
      </c>
      <c r="U102" s="11"/>
      <c r="V102" s="11"/>
      <c r="W102" s="11"/>
      <c r="X102" s="11"/>
      <c r="Y102" s="11"/>
      <c r="Z102" s="11"/>
      <c r="AA102" s="11"/>
      <c r="AB102" s="9"/>
      <c r="AC102" s="2"/>
      <c r="AD102" s="9"/>
      <c r="AE102" s="2"/>
      <c r="AF102" s="9"/>
      <c r="AG102" s="10"/>
      <c r="AH102" s="11"/>
      <c r="AI102" s="11" t="s">
        <v>86</v>
      </c>
      <c r="AJ102" s="11"/>
      <c r="AK102" s="2"/>
      <c r="AL102" s="11"/>
      <c r="AM102" s="11"/>
      <c r="AN102" s="11"/>
      <c r="AO102" s="2"/>
      <c r="AP102" s="3"/>
      <c r="AQ102" s="11"/>
      <c r="AR102" s="3"/>
      <c r="AS102" s="2"/>
      <c r="AT102" s="11"/>
      <c r="AU102" s="2"/>
      <c r="AV102" s="2"/>
      <c r="AW102" s="2"/>
      <c r="AX102" s="11"/>
      <c r="AY102" s="11"/>
      <c r="AZ102" s="9"/>
      <c r="BA102" s="2">
        <v>1875</v>
      </c>
      <c r="BB102" s="11"/>
      <c r="BC102" s="11"/>
      <c r="BD102" s="11"/>
      <c r="BE102" s="11"/>
      <c r="BF102" s="11"/>
      <c r="BG102" s="11"/>
      <c r="BH102" s="11"/>
      <c r="BI102" s="11"/>
      <c r="BJ102" s="11" t="s">
        <v>87</v>
      </c>
      <c r="BK102" s="10">
        <v>46303.805902777778</v>
      </c>
      <c r="BL102" s="11"/>
      <c r="BM102" s="11"/>
      <c r="BN102" s="10">
        <v>46303.625</v>
      </c>
      <c r="BO102" s="11"/>
      <c r="BP102" s="11"/>
      <c r="BQ102" s="11"/>
      <c r="BR102" s="11"/>
      <c r="BS102" s="11"/>
      <c r="BT102" s="11"/>
      <c r="BU102" s="11"/>
      <c r="BV102" s="2"/>
      <c r="BW102" s="11"/>
    </row>
    <row r="103" spans="1:75" ht="30" x14ac:dyDescent="0.25">
      <c r="A103" s="2">
        <v>6200101</v>
      </c>
      <c r="B103" s="10">
        <v>46303.805902777778</v>
      </c>
      <c r="C103" s="11" t="s">
        <v>82</v>
      </c>
      <c r="D103" s="11"/>
      <c r="E103" s="11" t="s">
        <v>92</v>
      </c>
      <c r="F103" s="11"/>
      <c r="G103" s="11" t="s">
        <v>89</v>
      </c>
      <c r="H103" s="3"/>
      <c r="I103" s="11" t="s">
        <v>90</v>
      </c>
      <c r="J103" s="11"/>
      <c r="K103" s="11"/>
      <c r="L103" s="11"/>
      <c r="M103" s="11"/>
      <c r="N103" s="2">
        <v>1.25</v>
      </c>
      <c r="O103" s="2"/>
      <c r="P103" s="2"/>
      <c r="Q103" s="2"/>
      <c r="R103" s="11"/>
      <c r="S103" s="11" t="s">
        <v>193</v>
      </c>
      <c r="T103" s="11" t="s">
        <v>85</v>
      </c>
      <c r="U103" s="11"/>
      <c r="V103" s="11"/>
      <c r="W103" s="11"/>
      <c r="X103" s="11"/>
      <c r="Y103" s="11"/>
      <c r="Z103" s="11"/>
      <c r="AA103" s="11"/>
      <c r="AB103" s="9"/>
      <c r="AC103" s="2"/>
      <c r="AD103" s="9"/>
      <c r="AE103" s="2"/>
      <c r="AF103" s="9"/>
      <c r="AG103" s="10"/>
      <c r="AH103" s="11"/>
      <c r="AI103" s="11" t="s">
        <v>86</v>
      </c>
      <c r="AJ103" s="11"/>
      <c r="AK103" s="2"/>
      <c r="AL103" s="11"/>
      <c r="AM103" s="11"/>
      <c r="AN103" s="11"/>
      <c r="AO103" s="2"/>
      <c r="AP103" s="3"/>
      <c r="AQ103" s="11"/>
      <c r="AR103" s="3"/>
      <c r="AS103" s="2"/>
      <c r="AT103" s="11"/>
      <c r="AU103" s="2"/>
      <c r="AV103" s="2"/>
      <c r="AW103" s="2"/>
      <c r="AX103" s="11"/>
      <c r="AY103" s="11"/>
      <c r="AZ103" s="9"/>
      <c r="BA103" s="2">
        <v>1875</v>
      </c>
      <c r="BB103" s="11"/>
      <c r="BC103" s="11"/>
      <c r="BD103" s="11"/>
      <c r="BE103" s="11"/>
      <c r="BF103" s="11"/>
      <c r="BG103" s="11"/>
      <c r="BH103" s="11"/>
      <c r="BI103" s="11"/>
      <c r="BJ103" s="11" t="s">
        <v>87</v>
      </c>
      <c r="BK103" s="10">
        <v>46303.805902777778</v>
      </c>
      <c r="BL103" s="11"/>
      <c r="BM103" s="11"/>
      <c r="BN103" s="10">
        <v>46303.625</v>
      </c>
      <c r="BO103" s="11"/>
      <c r="BP103" s="11"/>
      <c r="BQ103" s="11"/>
      <c r="BR103" s="11"/>
      <c r="BS103" s="11"/>
      <c r="BT103" s="11"/>
      <c r="BU103" s="11"/>
      <c r="BV103" s="2"/>
      <c r="BW103" s="11"/>
    </row>
    <row r="104" spans="1:75" ht="30" x14ac:dyDescent="0.25">
      <c r="A104" s="2">
        <v>6200102</v>
      </c>
      <c r="B104" s="10">
        <v>46303.805902777778</v>
      </c>
      <c r="C104" s="11" t="s">
        <v>82</v>
      </c>
      <c r="D104" s="11"/>
      <c r="E104" s="11" t="s">
        <v>83</v>
      </c>
      <c r="F104" s="11"/>
      <c r="G104" s="2">
        <v>470123456</v>
      </c>
      <c r="H104" s="3"/>
      <c r="I104" s="11" t="s">
        <v>75</v>
      </c>
      <c r="J104" s="11"/>
      <c r="K104" s="11"/>
      <c r="L104" s="11"/>
      <c r="M104" s="11"/>
      <c r="N104" s="2">
        <v>1.25</v>
      </c>
      <c r="O104" s="2"/>
      <c r="P104" s="2"/>
      <c r="Q104" s="2"/>
      <c r="R104" s="11"/>
      <c r="S104" s="11" t="s">
        <v>194</v>
      </c>
      <c r="T104" s="11" t="s">
        <v>85</v>
      </c>
      <c r="U104" s="11"/>
      <c r="V104" s="11"/>
      <c r="W104" s="11"/>
      <c r="X104" s="11"/>
      <c r="Y104" s="11"/>
      <c r="Z104" s="11"/>
      <c r="AA104" s="11"/>
      <c r="AB104" s="9"/>
      <c r="AC104" s="2"/>
      <c r="AD104" s="9"/>
      <c r="AE104" s="2"/>
      <c r="AF104" s="9"/>
      <c r="AG104" s="10"/>
      <c r="AH104" s="11"/>
      <c r="AI104" s="11" t="s">
        <v>86</v>
      </c>
      <c r="AJ104" s="11"/>
      <c r="AK104" s="2"/>
      <c r="AL104" s="11"/>
      <c r="AM104" s="11"/>
      <c r="AN104" s="11"/>
      <c r="AO104" s="2"/>
      <c r="AP104" s="3"/>
      <c r="AQ104" s="11"/>
      <c r="AR104" s="3"/>
      <c r="AS104" s="2"/>
      <c r="AT104" s="11"/>
      <c r="AU104" s="2"/>
      <c r="AV104" s="2"/>
      <c r="AW104" s="2"/>
      <c r="AX104" s="11"/>
      <c r="AY104" s="11"/>
      <c r="AZ104" s="9"/>
      <c r="BA104" s="2">
        <v>1875</v>
      </c>
      <c r="BB104" s="11"/>
      <c r="BC104" s="11"/>
      <c r="BD104" s="11"/>
      <c r="BE104" s="11"/>
      <c r="BF104" s="11"/>
      <c r="BG104" s="11"/>
      <c r="BH104" s="11"/>
      <c r="BI104" s="11"/>
      <c r="BJ104" s="11" t="s">
        <v>87</v>
      </c>
      <c r="BK104" s="10">
        <v>46303.805902777778</v>
      </c>
      <c r="BL104" s="11"/>
      <c r="BM104" s="11"/>
      <c r="BN104" s="10">
        <v>46303.625</v>
      </c>
      <c r="BO104" s="11"/>
      <c r="BP104" s="11"/>
      <c r="BQ104" s="11"/>
      <c r="BR104" s="11"/>
      <c r="BS104" s="11"/>
      <c r="BT104" s="11"/>
      <c r="BU104" s="11"/>
      <c r="BV104" s="2"/>
      <c r="BW104" s="11"/>
    </row>
    <row r="105" spans="1:75" ht="30" x14ac:dyDescent="0.25">
      <c r="A105" s="2">
        <v>6200103</v>
      </c>
      <c r="B105" s="10">
        <v>46303.805902777778</v>
      </c>
      <c r="C105" s="11" t="s">
        <v>82</v>
      </c>
      <c r="D105" s="11"/>
      <c r="E105" s="11" t="s">
        <v>88</v>
      </c>
      <c r="F105" s="11"/>
      <c r="G105" s="11" t="s">
        <v>94</v>
      </c>
      <c r="H105" s="3"/>
      <c r="I105" s="11" t="s">
        <v>90</v>
      </c>
      <c r="J105" s="11"/>
      <c r="K105" s="11"/>
      <c r="L105" s="11"/>
      <c r="M105" s="11"/>
      <c r="N105" s="2">
        <v>1.25</v>
      </c>
      <c r="O105" s="2"/>
      <c r="P105" s="2"/>
      <c r="Q105" s="2"/>
      <c r="R105" s="11"/>
      <c r="S105" s="11" t="s">
        <v>195</v>
      </c>
      <c r="T105" s="11" t="s">
        <v>85</v>
      </c>
      <c r="U105" s="11"/>
      <c r="V105" s="11"/>
      <c r="W105" s="11"/>
      <c r="X105" s="11"/>
      <c r="Y105" s="11"/>
      <c r="Z105" s="11"/>
      <c r="AA105" s="11"/>
      <c r="AB105" s="9"/>
      <c r="AC105" s="2"/>
      <c r="AD105" s="9"/>
      <c r="AE105" s="2"/>
      <c r="AF105" s="9"/>
      <c r="AG105" s="10"/>
      <c r="AH105" s="11"/>
      <c r="AI105" s="11" t="s">
        <v>86</v>
      </c>
      <c r="AJ105" s="11"/>
      <c r="AK105" s="2"/>
      <c r="AL105" s="11"/>
      <c r="AM105" s="11"/>
      <c r="AN105" s="11"/>
      <c r="AO105" s="2"/>
      <c r="AP105" s="3"/>
      <c r="AQ105" s="11"/>
      <c r="AR105" s="3"/>
      <c r="AS105" s="2"/>
      <c r="AT105" s="11"/>
      <c r="AU105" s="2"/>
      <c r="AV105" s="2"/>
      <c r="AW105" s="2"/>
      <c r="AX105" s="11"/>
      <c r="AY105" s="11"/>
      <c r="AZ105" s="9"/>
      <c r="BA105" s="2">
        <v>1875</v>
      </c>
      <c r="BB105" s="11"/>
      <c r="BC105" s="11"/>
      <c r="BD105" s="11"/>
      <c r="BE105" s="11"/>
      <c r="BF105" s="11"/>
      <c r="BG105" s="11"/>
      <c r="BH105" s="11"/>
      <c r="BI105" s="11"/>
      <c r="BJ105" s="11" t="s">
        <v>87</v>
      </c>
      <c r="BK105" s="10">
        <v>46303.805902777778</v>
      </c>
      <c r="BL105" s="11"/>
      <c r="BM105" s="11"/>
      <c r="BN105" s="10">
        <v>46303.625</v>
      </c>
      <c r="BO105" s="11"/>
      <c r="BP105" s="11"/>
      <c r="BQ105" s="11"/>
      <c r="BR105" s="11"/>
      <c r="BS105" s="11"/>
      <c r="BT105" s="11"/>
      <c r="BU105" s="11"/>
      <c r="BV105" s="2"/>
      <c r="BW105" s="11"/>
    </row>
    <row r="106" spans="1:75" ht="30" x14ac:dyDescent="0.25">
      <c r="A106" s="2">
        <v>6200104</v>
      </c>
      <c r="B106" s="10">
        <v>46303.805902777778</v>
      </c>
      <c r="C106" s="11" t="s">
        <v>82</v>
      </c>
      <c r="D106" s="11"/>
      <c r="E106" s="11" t="s">
        <v>92</v>
      </c>
      <c r="F106" s="11"/>
      <c r="G106" s="11" t="s">
        <v>593</v>
      </c>
      <c r="H106" s="3"/>
      <c r="I106" s="11" t="s">
        <v>75</v>
      </c>
      <c r="J106" s="11"/>
      <c r="K106" s="11"/>
      <c r="L106" s="11"/>
      <c r="M106" s="11"/>
      <c r="N106" s="2">
        <v>1.25</v>
      </c>
      <c r="O106" s="2"/>
      <c r="P106" s="2"/>
      <c r="Q106" s="2"/>
      <c r="R106" s="11"/>
      <c r="S106" s="11" t="s">
        <v>196</v>
      </c>
      <c r="T106" s="11" t="s">
        <v>85</v>
      </c>
      <c r="U106" s="11"/>
      <c r="V106" s="11"/>
      <c r="W106" s="11"/>
      <c r="X106" s="11"/>
      <c r="Y106" s="11"/>
      <c r="Z106" s="11"/>
      <c r="AA106" s="11"/>
      <c r="AB106" s="9"/>
      <c r="AC106" s="2"/>
      <c r="AD106" s="9"/>
      <c r="AE106" s="2"/>
      <c r="AF106" s="9"/>
      <c r="AG106" s="10"/>
      <c r="AH106" s="11"/>
      <c r="AI106" s="11" t="s">
        <v>86</v>
      </c>
      <c r="AJ106" s="11"/>
      <c r="AK106" s="2"/>
      <c r="AL106" s="11"/>
      <c r="AM106" s="11"/>
      <c r="AN106" s="11"/>
      <c r="AO106" s="2"/>
      <c r="AP106" s="3"/>
      <c r="AQ106" s="11"/>
      <c r="AR106" s="3"/>
      <c r="AS106" s="2"/>
      <c r="AT106" s="11"/>
      <c r="AU106" s="2"/>
      <c r="AV106" s="2"/>
      <c r="AW106" s="2"/>
      <c r="AX106" s="11"/>
      <c r="AY106" s="11"/>
      <c r="AZ106" s="9"/>
      <c r="BA106" s="2">
        <v>1875</v>
      </c>
      <c r="BB106" s="11"/>
      <c r="BC106" s="11"/>
      <c r="BD106" s="11"/>
      <c r="BE106" s="11"/>
      <c r="BF106" s="11"/>
      <c r="BG106" s="11"/>
      <c r="BH106" s="11"/>
      <c r="BI106" s="11"/>
      <c r="BJ106" s="11" t="s">
        <v>87</v>
      </c>
      <c r="BK106" s="10">
        <v>46303.805902777778</v>
      </c>
      <c r="BL106" s="11"/>
      <c r="BM106" s="11"/>
      <c r="BN106" s="10">
        <v>46303.625</v>
      </c>
      <c r="BO106" s="11"/>
      <c r="BP106" s="11"/>
      <c r="BQ106" s="11"/>
      <c r="BR106" s="11"/>
      <c r="BS106" s="11"/>
      <c r="BT106" s="11"/>
      <c r="BU106" s="11"/>
      <c r="BV106" s="2"/>
      <c r="BW106" s="11"/>
    </row>
    <row r="107" spans="1:75" ht="30" x14ac:dyDescent="0.25">
      <c r="A107" s="2">
        <v>6200105</v>
      </c>
      <c r="B107" s="10">
        <v>46303.805902777778</v>
      </c>
      <c r="C107" s="11" t="s">
        <v>82</v>
      </c>
      <c r="D107" s="11"/>
      <c r="E107" s="11" t="s">
        <v>83</v>
      </c>
      <c r="F107" s="11"/>
      <c r="G107" s="11" t="s">
        <v>592</v>
      </c>
      <c r="H107" s="3"/>
      <c r="I107" s="11" t="s">
        <v>75</v>
      </c>
      <c r="J107" s="11"/>
      <c r="K107" s="11"/>
      <c r="L107" s="11"/>
      <c r="M107" s="11"/>
      <c r="N107" s="2">
        <v>1.25</v>
      </c>
      <c r="O107" s="2"/>
      <c r="P107" s="2"/>
      <c r="Q107" s="2"/>
      <c r="R107" s="11"/>
      <c r="S107" s="11" t="s">
        <v>197</v>
      </c>
      <c r="T107" s="11" t="s">
        <v>85</v>
      </c>
      <c r="U107" s="11"/>
      <c r="V107" s="11"/>
      <c r="W107" s="11"/>
      <c r="X107" s="11"/>
      <c r="Y107" s="11"/>
      <c r="Z107" s="11"/>
      <c r="AA107" s="11"/>
      <c r="AB107" s="9"/>
      <c r="AC107" s="2"/>
      <c r="AD107" s="9"/>
      <c r="AE107" s="2"/>
      <c r="AF107" s="9"/>
      <c r="AG107" s="10"/>
      <c r="AH107" s="11"/>
      <c r="AI107" s="11" t="s">
        <v>86</v>
      </c>
      <c r="AJ107" s="11"/>
      <c r="AK107" s="2"/>
      <c r="AL107" s="11"/>
      <c r="AM107" s="11"/>
      <c r="AN107" s="11"/>
      <c r="AO107" s="2"/>
      <c r="AP107" s="3"/>
      <c r="AQ107" s="11"/>
      <c r="AR107" s="3"/>
      <c r="AS107" s="2"/>
      <c r="AT107" s="11"/>
      <c r="AU107" s="2"/>
      <c r="AV107" s="2"/>
      <c r="AW107" s="2"/>
      <c r="AX107" s="11"/>
      <c r="AY107" s="11"/>
      <c r="AZ107" s="9"/>
      <c r="BA107" s="2">
        <v>1875</v>
      </c>
      <c r="BB107" s="11"/>
      <c r="BC107" s="11"/>
      <c r="BD107" s="11"/>
      <c r="BE107" s="11"/>
      <c r="BF107" s="11"/>
      <c r="BG107" s="11"/>
      <c r="BH107" s="11"/>
      <c r="BI107" s="11"/>
      <c r="BJ107" s="11" t="s">
        <v>87</v>
      </c>
      <c r="BK107" s="10">
        <v>46303.805902777778</v>
      </c>
      <c r="BL107" s="11"/>
      <c r="BM107" s="11"/>
      <c r="BN107" s="10">
        <v>46303.625</v>
      </c>
      <c r="BO107" s="11"/>
      <c r="BP107" s="11"/>
      <c r="BQ107" s="11"/>
      <c r="BR107" s="11"/>
      <c r="BS107" s="11"/>
      <c r="BT107" s="11"/>
      <c r="BU107" s="11"/>
      <c r="BV107" s="2"/>
      <c r="BW107" s="11"/>
    </row>
    <row r="108" spans="1:75" ht="30" x14ac:dyDescent="0.25">
      <c r="A108" s="2">
        <v>6200106</v>
      </c>
      <c r="B108" s="10">
        <v>46303.805902777778</v>
      </c>
      <c r="C108" s="11" t="s">
        <v>82</v>
      </c>
      <c r="D108" s="11"/>
      <c r="E108" s="11" t="s">
        <v>88</v>
      </c>
      <c r="F108" s="11"/>
      <c r="G108" s="11" t="s">
        <v>89</v>
      </c>
      <c r="H108" s="3"/>
      <c r="I108" s="11" t="s">
        <v>90</v>
      </c>
      <c r="J108" s="11"/>
      <c r="K108" s="11"/>
      <c r="L108" s="11"/>
      <c r="M108" s="11"/>
      <c r="N108" s="2">
        <v>1.25</v>
      </c>
      <c r="O108" s="2"/>
      <c r="P108" s="2"/>
      <c r="Q108" s="2"/>
      <c r="R108" s="11"/>
      <c r="S108" s="11" t="s">
        <v>198</v>
      </c>
      <c r="T108" s="11" t="s">
        <v>85</v>
      </c>
      <c r="U108" s="11"/>
      <c r="V108" s="11"/>
      <c r="W108" s="11"/>
      <c r="X108" s="11"/>
      <c r="Y108" s="11"/>
      <c r="Z108" s="11"/>
      <c r="AA108" s="11"/>
      <c r="AB108" s="9"/>
      <c r="AC108" s="2"/>
      <c r="AD108" s="9"/>
      <c r="AE108" s="2"/>
      <c r="AF108" s="9"/>
      <c r="AG108" s="10"/>
      <c r="AH108" s="11"/>
      <c r="AI108" s="11" t="s">
        <v>86</v>
      </c>
      <c r="AJ108" s="11"/>
      <c r="AK108" s="2"/>
      <c r="AL108" s="11"/>
      <c r="AM108" s="11"/>
      <c r="AN108" s="11"/>
      <c r="AO108" s="2"/>
      <c r="AP108" s="3"/>
      <c r="AQ108" s="11"/>
      <c r="AR108" s="3"/>
      <c r="AS108" s="2"/>
      <c r="AT108" s="11"/>
      <c r="AU108" s="2"/>
      <c r="AV108" s="2"/>
      <c r="AW108" s="2"/>
      <c r="AX108" s="11"/>
      <c r="AY108" s="11"/>
      <c r="AZ108" s="9"/>
      <c r="BA108" s="2">
        <v>1875</v>
      </c>
      <c r="BB108" s="11"/>
      <c r="BC108" s="11"/>
      <c r="BD108" s="11"/>
      <c r="BE108" s="11"/>
      <c r="BF108" s="11"/>
      <c r="BG108" s="11"/>
      <c r="BH108" s="11"/>
      <c r="BI108" s="11"/>
      <c r="BJ108" s="11" t="s">
        <v>87</v>
      </c>
      <c r="BK108" s="10">
        <v>46303.805902777778</v>
      </c>
      <c r="BL108" s="11"/>
      <c r="BM108" s="11"/>
      <c r="BN108" s="10">
        <v>46303.625</v>
      </c>
      <c r="BO108" s="11"/>
      <c r="BP108" s="11"/>
      <c r="BQ108" s="11"/>
      <c r="BR108" s="11"/>
      <c r="BS108" s="11"/>
      <c r="BT108" s="11"/>
      <c r="BU108" s="11"/>
      <c r="BV108" s="2"/>
      <c r="BW108" s="11"/>
    </row>
    <row r="109" spans="1:75" ht="30" x14ac:dyDescent="0.25">
      <c r="A109" s="2">
        <v>6200107</v>
      </c>
      <c r="B109" s="10">
        <v>46303.805902777778</v>
      </c>
      <c r="C109" s="11" t="s">
        <v>82</v>
      </c>
      <c r="D109" s="11"/>
      <c r="E109" s="11" t="s">
        <v>92</v>
      </c>
      <c r="F109" s="11"/>
      <c r="G109" s="2">
        <v>470123456</v>
      </c>
      <c r="H109" s="3"/>
      <c r="I109" s="11" t="s">
        <v>75</v>
      </c>
      <c r="J109" s="11"/>
      <c r="K109" s="11"/>
      <c r="L109" s="11"/>
      <c r="M109" s="11"/>
      <c r="N109" s="2">
        <v>1.25</v>
      </c>
      <c r="O109" s="2"/>
      <c r="P109" s="2"/>
      <c r="Q109" s="2"/>
      <c r="R109" s="11"/>
      <c r="S109" s="11" t="s">
        <v>199</v>
      </c>
      <c r="T109" s="11" t="s">
        <v>85</v>
      </c>
      <c r="U109" s="11"/>
      <c r="V109" s="11"/>
      <c r="W109" s="11"/>
      <c r="X109" s="11"/>
      <c r="Y109" s="11"/>
      <c r="Z109" s="11"/>
      <c r="AA109" s="11"/>
      <c r="AB109" s="9"/>
      <c r="AC109" s="2"/>
      <c r="AD109" s="9"/>
      <c r="AE109" s="2"/>
      <c r="AF109" s="9"/>
      <c r="AG109" s="10"/>
      <c r="AH109" s="11"/>
      <c r="AI109" s="11" t="s">
        <v>86</v>
      </c>
      <c r="AJ109" s="11"/>
      <c r="AK109" s="2"/>
      <c r="AL109" s="11"/>
      <c r="AM109" s="11"/>
      <c r="AN109" s="11"/>
      <c r="AO109" s="2"/>
      <c r="AP109" s="3"/>
      <c r="AQ109" s="11"/>
      <c r="AR109" s="3"/>
      <c r="AS109" s="2"/>
      <c r="AT109" s="11"/>
      <c r="AU109" s="2"/>
      <c r="AV109" s="2"/>
      <c r="AW109" s="2"/>
      <c r="AX109" s="11"/>
      <c r="AY109" s="11"/>
      <c r="AZ109" s="9"/>
      <c r="BA109" s="2">
        <v>1875</v>
      </c>
      <c r="BB109" s="11"/>
      <c r="BC109" s="11"/>
      <c r="BD109" s="11"/>
      <c r="BE109" s="11"/>
      <c r="BF109" s="11"/>
      <c r="BG109" s="11"/>
      <c r="BH109" s="11"/>
      <c r="BI109" s="11"/>
      <c r="BJ109" s="11" t="s">
        <v>87</v>
      </c>
      <c r="BK109" s="10">
        <v>46303.805902777778</v>
      </c>
      <c r="BL109" s="11"/>
      <c r="BM109" s="11"/>
      <c r="BN109" s="10">
        <v>46303.625</v>
      </c>
      <c r="BO109" s="11"/>
      <c r="BP109" s="11"/>
      <c r="BQ109" s="11"/>
      <c r="BR109" s="11"/>
      <c r="BS109" s="11"/>
      <c r="BT109" s="11"/>
      <c r="BU109" s="11"/>
      <c r="BV109" s="2"/>
      <c r="BW109" s="11"/>
    </row>
    <row r="110" spans="1:75" ht="30" x14ac:dyDescent="0.25">
      <c r="A110" s="2">
        <v>6200108</v>
      </c>
      <c r="B110" s="10">
        <v>46303.805902777778</v>
      </c>
      <c r="C110" s="11" t="s">
        <v>82</v>
      </c>
      <c r="D110" s="11"/>
      <c r="E110" s="11" t="s">
        <v>83</v>
      </c>
      <c r="F110" s="11"/>
      <c r="G110" s="11" t="s">
        <v>94</v>
      </c>
      <c r="H110" s="3"/>
      <c r="I110" s="11" t="s">
        <v>90</v>
      </c>
      <c r="J110" s="11"/>
      <c r="K110" s="11"/>
      <c r="L110" s="11"/>
      <c r="M110" s="11"/>
      <c r="N110" s="2">
        <v>1.25</v>
      </c>
      <c r="O110" s="2"/>
      <c r="P110" s="2"/>
      <c r="Q110" s="2"/>
      <c r="R110" s="11"/>
      <c r="S110" s="11" t="s">
        <v>200</v>
      </c>
      <c r="T110" s="11" t="s">
        <v>85</v>
      </c>
      <c r="U110" s="11"/>
      <c r="V110" s="11"/>
      <c r="W110" s="11"/>
      <c r="X110" s="11"/>
      <c r="Y110" s="11"/>
      <c r="Z110" s="11"/>
      <c r="AA110" s="11"/>
      <c r="AB110" s="9"/>
      <c r="AC110" s="2"/>
      <c r="AD110" s="9"/>
      <c r="AE110" s="2"/>
      <c r="AF110" s="9"/>
      <c r="AG110" s="10"/>
      <c r="AH110" s="11"/>
      <c r="AI110" s="11" t="s">
        <v>86</v>
      </c>
      <c r="AJ110" s="11"/>
      <c r="AK110" s="2"/>
      <c r="AL110" s="11"/>
      <c r="AM110" s="11"/>
      <c r="AN110" s="11"/>
      <c r="AO110" s="2"/>
      <c r="AP110" s="3"/>
      <c r="AQ110" s="11"/>
      <c r="AR110" s="3"/>
      <c r="AS110" s="2"/>
      <c r="AT110" s="11"/>
      <c r="AU110" s="2"/>
      <c r="AV110" s="2"/>
      <c r="AW110" s="2"/>
      <c r="AX110" s="11"/>
      <c r="AY110" s="11"/>
      <c r="AZ110" s="9"/>
      <c r="BA110" s="2">
        <v>1875</v>
      </c>
      <c r="BB110" s="11"/>
      <c r="BC110" s="11"/>
      <c r="BD110" s="11"/>
      <c r="BE110" s="11"/>
      <c r="BF110" s="11"/>
      <c r="BG110" s="11"/>
      <c r="BH110" s="11"/>
      <c r="BI110" s="11"/>
      <c r="BJ110" s="11" t="s">
        <v>87</v>
      </c>
      <c r="BK110" s="10">
        <v>46303.805902777778</v>
      </c>
      <c r="BL110" s="11"/>
      <c r="BM110" s="11"/>
      <c r="BN110" s="10">
        <v>46303.625</v>
      </c>
      <c r="BO110" s="11"/>
      <c r="BP110" s="11"/>
      <c r="BQ110" s="11"/>
      <c r="BR110" s="11"/>
      <c r="BS110" s="11"/>
      <c r="BT110" s="11"/>
      <c r="BU110" s="11"/>
      <c r="BV110" s="2"/>
      <c r="BW110" s="11"/>
    </row>
    <row r="111" spans="1:75" ht="30" x14ac:dyDescent="0.25">
      <c r="A111" s="2">
        <v>6200109</v>
      </c>
      <c r="B111" s="10">
        <v>46303.805902777778</v>
      </c>
      <c r="C111" s="11" t="s">
        <v>82</v>
      </c>
      <c r="D111" s="11"/>
      <c r="E111" s="11" t="s">
        <v>88</v>
      </c>
      <c r="F111" s="11"/>
      <c r="G111" s="11" t="s">
        <v>593</v>
      </c>
      <c r="H111" s="3"/>
      <c r="I111" s="11" t="s">
        <v>75</v>
      </c>
      <c r="J111" s="11"/>
      <c r="K111" s="11"/>
      <c r="L111" s="11"/>
      <c r="M111" s="11"/>
      <c r="N111" s="2">
        <v>1.25</v>
      </c>
      <c r="O111" s="2"/>
      <c r="P111" s="2"/>
      <c r="Q111" s="2"/>
      <c r="R111" s="11"/>
      <c r="S111" s="11" t="s">
        <v>201</v>
      </c>
      <c r="T111" s="11" t="s">
        <v>85</v>
      </c>
      <c r="U111" s="11"/>
      <c r="V111" s="11"/>
      <c r="W111" s="11"/>
      <c r="X111" s="11"/>
      <c r="Y111" s="11"/>
      <c r="Z111" s="11"/>
      <c r="AA111" s="11"/>
      <c r="AB111" s="9"/>
      <c r="AC111" s="2"/>
      <c r="AD111" s="9"/>
      <c r="AE111" s="2"/>
      <c r="AF111" s="9"/>
      <c r="AG111" s="10"/>
      <c r="AH111" s="11"/>
      <c r="AI111" s="11" t="s">
        <v>86</v>
      </c>
      <c r="AJ111" s="11"/>
      <c r="AK111" s="2"/>
      <c r="AL111" s="11"/>
      <c r="AM111" s="11"/>
      <c r="AN111" s="11"/>
      <c r="AO111" s="2"/>
      <c r="AP111" s="3"/>
      <c r="AQ111" s="11"/>
      <c r="AR111" s="3"/>
      <c r="AS111" s="2"/>
      <c r="AT111" s="11"/>
      <c r="AU111" s="2"/>
      <c r="AV111" s="2"/>
      <c r="AW111" s="2"/>
      <c r="AX111" s="11"/>
      <c r="AY111" s="11"/>
      <c r="AZ111" s="9"/>
      <c r="BA111" s="2">
        <v>1875</v>
      </c>
      <c r="BB111" s="11"/>
      <c r="BC111" s="11"/>
      <c r="BD111" s="11"/>
      <c r="BE111" s="11"/>
      <c r="BF111" s="11"/>
      <c r="BG111" s="11"/>
      <c r="BH111" s="11"/>
      <c r="BI111" s="11"/>
      <c r="BJ111" s="11" t="s">
        <v>87</v>
      </c>
      <c r="BK111" s="10">
        <v>46303.805902777778</v>
      </c>
      <c r="BL111" s="11"/>
      <c r="BM111" s="11"/>
      <c r="BN111" s="10">
        <v>46303.625</v>
      </c>
      <c r="BO111" s="11"/>
      <c r="BP111" s="11"/>
      <c r="BQ111" s="11"/>
      <c r="BR111" s="11"/>
      <c r="BS111" s="11"/>
      <c r="BT111" s="11"/>
      <c r="BU111" s="11"/>
      <c r="BV111" s="2"/>
      <c r="BW111" s="11"/>
    </row>
    <row r="112" spans="1:75" ht="30" x14ac:dyDescent="0.25">
      <c r="A112" s="2">
        <v>6200110</v>
      </c>
      <c r="B112" s="10">
        <v>46303.805902777778</v>
      </c>
      <c r="C112" s="11" t="s">
        <v>82</v>
      </c>
      <c r="D112" s="11"/>
      <c r="E112" s="11" t="s">
        <v>92</v>
      </c>
      <c r="F112" s="11"/>
      <c r="G112" s="11" t="s">
        <v>592</v>
      </c>
      <c r="H112" s="3"/>
      <c r="I112" s="11" t="s">
        <v>75</v>
      </c>
      <c r="J112" s="11"/>
      <c r="K112" s="11"/>
      <c r="L112" s="11"/>
      <c r="M112" s="11"/>
      <c r="N112" s="2">
        <v>1.25</v>
      </c>
      <c r="O112" s="2"/>
      <c r="P112" s="2"/>
      <c r="Q112" s="2"/>
      <c r="R112" s="11"/>
      <c r="S112" s="11" t="s">
        <v>202</v>
      </c>
      <c r="T112" s="11" t="s">
        <v>85</v>
      </c>
      <c r="U112" s="11"/>
      <c r="V112" s="11"/>
      <c r="W112" s="11"/>
      <c r="X112" s="11"/>
      <c r="Y112" s="11"/>
      <c r="Z112" s="11"/>
      <c r="AA112" s="11"/>
      <c r="AB112" s="9"/>
      <c r="AC112" s="2"/>
      <c r="AD112" s="9"/>
      <c r="AE112" s="2"/>
      <c r="AF112" s="9"/>
      <c r="AG112" s="10"/>
      <c r="AH112" s="11"/>
      <c r="AI112" s="11" t="s">
        <v>86</v>
      </c>
      <c r="AJ112" s="11"/>
      <c r="AK112" s="2"/>
      <c r="AL112" s="11"/>
      <c r="AM112" s="11"/>
      <c r="AN112" s="11"/>
      <c r="AO112" s="2"/>
      <c r="AP112" s="3"/>
      <c r="AQ112" s="11"/>
      <c r="AR112" s="3"/>
      <c r="AS112" s="2"/>
      <c r="AT112" s="11"/>
      <c r="AU112" s="2"/>
      <c r="AV112" s="2"/>
      <c r="AW112" s="2"/>
      <c r="AX112" s="11"/>
      <c r="AY112" s="11"/>
      <c r="AZ112" s="9"/>
      <c r="BA112" s="2">
        <v>1875</v>
      </c>
      <c r="BB112" s="11"/>
      <c r="BC112" s="11"/>
      <c r="BD112" s="11"/>
      <c r="BE112" s="11"/>
      <c r="BF112" s="11"/>
      <c r="BG112" s="11"/>
      <c r="BH112" s="11"/>
      <c r="BI112" s="11"/>
      <c r="BJ112" s="11" t="s">
        <v>87</v>
      </c>
      <c r="BK112" s="10">
        <v>46303.805902777778</v>
      </c>
      <c r="BL112" s="11"/>
      <c r="BM112" s="11"/>
      <c r="BN112" s="10">
        <v>46303.625</v>
      </c>
      <c r="BO112" s="11"/>
      <c r="BP112" s="11"/>
      <c r="BQ112" s="11"/>
      <c r="BR112" s="11"/>
      <c r="BS112" s="11"/>
      <c r="BT112" s="11"/>
      <c r="BU112" s="11"/>
      <c r="BV112" s="2"/>
      <c r="BW112" s="11"/>
    </row>
    <row r="113" spans="1:75" ht="30" x14ac:dyDescent="0.25">
      <c r="A113" s="2">
        <v>6200111</v>
      </c>
      <c r="B113" s="10">
        <v>46303.805902777778</v>
      </c>
      <c r="C113" s="11" t="s">
        <v>82</v>
      </c>
      <c r="D113" s="11"/>
      <c r="E113" s="11" t="s">
        <v>83</v>
      </c>
      <c r="F113" s="11"/>
      <c r="G113" s="11" t="s">
        <v>89</v>
      </c>
      <c r="H113" s="3"/>
      <c r="I113" s="11" t="s">
        <v>90</v>
      </c>
      <c r="J113" s="11"/>
      <c r="K113" s="11"/>
      <c r="L113" s="11"/>
      <c r="M113" s="11"/>
      <c r="N113" s="2">
        <v>1.25</v>
      </c>
      <c r="O113" s="2"/>
      <c r="P113" s="2"/>
      <c r="Q113" s="2"/>
      <c r="R113" s="11"/>
      <c r="S113" s="11" t="s">
        <v>203</v>
      </c>
      <c r="T113" s="11" t="s">
        <v>85</v>
      </c>
      <c r="U113" s="11"/>
      <c r="V113" s="11"/>
      <c r="W113" s="11"/>
      <c r="X113" s="11"/>
      <c r="Y113" s="11"/>
      <c r="Z113" s="11"/>
      <c r="AA113" s="11"/>
      <c r="AB113" s="9"/>
      <c r="AC113" s="2"/>
      <c r="AD113" s="9"/>
      <c r="AE113" s="2"/>
      <c r="AF113" s="9"/>
      <c r="AG113" s="10"/>
      <c r="AH113" s="11"/>
      <c r="AI113" s="11" t="s">
        <v>86</v>
      </c>
      <c r="AJ113" s="11"/>
      <c r="AK113" s="2"/>
      <c r="AL113" s="11"/>
      <c r="AM113" s="11"/>
      <c r="AN113" s="11"/>
      <c r="AO113" s="2"/>
      <c r="AP113" s="3"/>
      <c r="AQ113" s="11"/>
      <c r="AR113" s="3"/>
      <c r="AS113" s="2"/>
      <c r="AT113" s="11"/>
      <c r="AU113" s="2"/>
      <c r="AV113" s="2"/>
      <c r="AW113" s="2"/>
      <c r="AX113" s="11"/>
      <c r="AY113" s="11"/>
      <c r="AZ113" s="9"/>
      <c r="BA113" s="2">
        <v>1875</v>
      </c>
      <c r="BB113" s="11"/>
      <c r="BC113" s="11"/>
      <c r="BD113" s="11"/>
      <c r="BE113" s="11"/>
      <c r="BF113" s="11"/>
      <c r="BG113" s="11"/>
      <c r="BH113" s="11"/>
      <c r="BI113" s="11"/>
      <c r="BJ113" s="11" t="s">
        <v>87</v>
      </c>
      <c r="BK113" s="10">
        <v>46303.805902777778</v>
      </c>
      <c r="BL113" s="11"/>
      <c r="BM113" s="11"/>
      <c r="BN113" s="10">
        <v>46303.625</v>
      </c>
      <c r="BO113" s="11"/>
      <c r="BP113" s="11"/>
      <c r="BQ113" s="11"/>
      <c r="BR113" s="11"/>
      <c r="BS113" s="11"/>
      <c r="BT113" s="11"/>
      <c r="BU113" s="11"/>
      <c r="BV113" s="2"/>
      <c r="BW113" s="11"/>
    </row>
    <row r="114" spans="1:75" ht="30" x14ac:dyDescent="0.25">
      <c r="A114" s="2">
        <v>6200112</v>
      </c>
      <c r="B114" s="10">
        <v>46303.805902777778</v>
      </c>
      <c r="C114" s="11" t="s">
        <v>82</v>
      </c>
      <c r="D114" s="11"/>
      <c r="E114" s="11" t="s">
        <v>88</v>
      </c>
      <c r="F114" s="11"/>
      <c r="G114" s="2">
        <v>470123456</v>
      </c>
      <c r="H114" s="3"/>
      <c r="I114" s="11" t="s">
        <v>75</v>
      </c>
      <c r="J114" s="11"/>
      <c r="K114" s="11"/>
      <c r="L114" s="11"/>
      <c r="M114" s="11"/>
      <c r="N114" s="2">
        <v>1.25</v>
      </c>
      <c r="O114" s="2"/>
      <c r="P114" s="2"/>
      <c r="Q114" s="2"/>
      <c r="R114" s="11"/>
      <c r="S114" s="11" t="s">
        <v>204</v>
      </c>
      <c r="T114" s="11" t="s">
        <v>85</v>
      </c>
      <c r="U114" s="11"/>
      <c r="V114" s="11"/>
      <c r="W114" s="11"/>
      <c r="X114" s="11"/>
      <c r="Y114" s="11"/>
      <c r="Z114" s="11"/>
      <c r="AA114" s="11"/>
      <c r="AB114" s="9"/>
      <c r="AC114" s="2"/>
      <c r="AD114" s="9"/>
      <c r="AE114" s="2"/>
      <c r="AF114" s="9"/>
      <c r="AG114" s="10"/>
      <c r="AH114" s="11"/>
      <c r="AI114" s="11" t="s">
        <v>86</v>
      </c>
      <c r="AJ114" s="11"/>
      <c r="AK114" s="2"/>
      <c r="AL114" s="11"/>
      <c r="AM114" s="11"/>
      <c r="AN114" s="11"/>
      <c r="AO114" s="2"/>
      <c r="AP114" s="3"/>
      <c r="AQ114" s="11"/>
      <c r="AR114" s="3"/>
      <c r="AS114" s="2"/>
      <c r="AT114" s="11"/>
      <c r="AU114" s="2"/>
      <c r="AV114" s="2"/>
      <c r="AW114" s="2"/>
      <c r="AX114" s="11"/>
      <c r="AY114" s="11"/>
      <c r="AZ114" s="9"/>
      <c r="BA114" s="2">
        <v>1875</v>
      </c>
      <c r="BB114" s="11"/>
      <c r="BC114" s="11"/>
      <c r="BD114" s="11"/>
      <c r="BE114" s="11"/>
      <c r="BF114" s="11"/>
      <c r="BG114" s="11"/>
      <c r="BH114" s="11"/>
      <c r="BI114" s="11"/>
      <c r="BJ114" s="11" t="s">
        <v>87</v>
      </c>
      <c r="BK114" s="10">
        <v>46303.805902777778</v>
      </c>
      <c r="BL114" s="11"/>
      <c r="BM114" s="11"/>
      <c r="BN114" s="10">
        <v>46303.625</v>
      </c>
      <c r="BO114" s="11"/>
      <c r="BP114" s="11"/>
      <c r="BQ114" s="11"/>
      <c r="BR114" s="11"/>
      <c r="BS114" s="11"/>
      <c r="BT114" s="11"/>
      <c r="BU114" s="11"/>
      <c r="BV114" s="2"/>
      <c r="BW114" s="11"/>
    </row>
    <row r="115" spans="1:75" ht="30" x14ac:dyDescent="0.25">
      <c r="A115" s="2">
        <v>6200113</v>
      </c>
      <c r="B115" s="10">
        <v>46303.805902777778</v>
      </c>
      <c r="C115" s="11" t="s">
        <v>82</v>
      </c>
      <c r="D115" s="11"/>
      <c r="E115" s="11" t="s">
        <v>92</v>
      </c>
      <c r="F115" s="11"/>
      <c r="G115" s="11" t="s">
        <v>94</v>
      </c>
      <c r="H115" s="3"/>
      <c r="I115" s="11" t="s">
        <v>90</v>
      </c>
      <c r="J115" s="11"/>
      <c r="K115" s="11"/>
      <c r="L115" s="11"/>
      <c r="M115" s="11"/>
      <c r="N115" s="2">
        <v>1.25</v>
      </c>
      <c r="O115" s="2"/>
      <c r="P115" s="2"/>
      <c r="Q115" s="2"/>
      <c r="R115" s="11"/>
      <c r="S115" s="11" t="s">
        <v>205</v>
      </c>
      <c r="T115" s="11" t="s">
        <v>85</v>
      </c>
      <c r="U115" s="11"/>
      <c r="V115" s="11"/>
      <c r="W115" s="11"/>
      <c r="X115" s="11"/>
      <c r="Y115" s="11"/>
      <c r="Z115" s="11"/>
      <c r="AA115" s="11"/>
      <c r="AB115" s="9"/>
      <c r="AC115" s="2"/>
      <c r="AD115" s="9"/>
      <c r="AE115" s="2"/>
      <c r="AF115" s="9"/>
      <c r="AG115" s="10"/>
      <c r="AH115" s="11"/>
      <c r="AI115" s="11" t="s">
        <v>86</v>
      </c>
      <c r="AJ115" s="11"/>
      <c r="AK115" s="2"/>
      <c r="AL115" s="11"/>
      <c r="AM115" s="11"/>
      <c r="AN115" s="11"/>
      <c r="AO115" s="2"/>
      <c r="AP115" s="3"/>
      <c r="AQ115" s="11"/>
      <c r="AR115" s="3"/>
      <c r="AS115" s="2"/>
      <c r="AT115" s="11"/>
      <c r="AU115" s="2"/>
      <c r="AV115" s="2"/>
      <c r="AW115" s="2"/>
      <c r="AX115" s="11"/>
      <c r="AY115" s="11"/>
      <c r="AZ115" s="9"/>
      <c r="BA115" s="2">
        <v>1875</v>
      </c>
      <c r="BB115" s="11"/>
      <c r="BC115" s="11"/>
      <c r="BD115" s="11"/>
      <c r="BE115" s="11"/>
      <c r="BF115" s="11"/>
      <c r="BG115" s="11"/>
      <c r="BH115" s="11"/>
      <c r="BI115" s="11"/>
      <c r="BJ115" s="11" t="s">
        <v>87</v>
      </c>
      <c r="BK115" s="10">
        <v>46303.805902777778</v>
      </c>
      <c r="BL115" s="11"/>
      <c r="BM115" s="11"/>
      <c r="BN115" s="10">
        <v>46303.625</v>
      </c>
      <c r="BO115" s="11"/>
      <c r="BP115" s="11"/>
      <c r="BQ115" s="11"/>
      <c r="BR115" s="11"/>
      <c r="BS115" s="11"/>
      <c r="BT115" s="11"/>
      <c r="BU115" s="11"/>
      <c r="BV115" s="2"/>
      <c r="BW115" s="11"/>
    </row>
    <row r="116" spans="1:75" ht="30" x14ac:dyDescent="0.25">
      <c r="A116" s="2">
        <v>6200114</v>
      </c>
      <c r="B116" s="10">
        <v>46303.805902777778</v>
      </c>
      <c r="C116" s="11" t="s">
        <v>82</v>
      </c>
      <c r="D116" s="11"/>
      <c r="E116" s="11" t="s">
        <v>83</v>
      </c>
      <c r="F116" s="11"/>
      <c r="G116" s="11" t="s">
        <v>593</v>
      </c>
      <c r="H116" s="3"/>
      <c r="I116" s="11" t="s">
        <v>75</v>
      </c>
      <c r="J116" s="11"/>
      <c r="K116" s="11"/>
      <c r="L116" s="11"/>
      <c r="M116" s="11"/>
      <c r="N116" s="2">
        <v>1.25</v>
      </c>
      <c r="O116" s="2"/>
      <c r="P116" s="2"/>
      <c r="Q116" s="2"/>
      <c r="R116" s="11"/>
      <c r="S116" s="11" t="s">
        <v>206</v>
      </c>
      <c r="T116" s="11" t="s">
        <v>85</v>
      </c>
      <c r="U116" s="11"/>
      <c r="V116" s="11"/>
      <c r="W116" s="11"/>
      <c r="X116" s="11"/>
      <c r="Y116" s="11"/>
      <c r="Z116" s="11"/>
      <c r="AA116" s="11"/>
      <c r="AB116" s="9"/>
      <c r="AC116" s="2"/>
      <c r="AD116" s="9"/>
      <c r="AE116" s="2"/>
      <c r="AF116" s="9"/>
      <c r="AG116" s="10"/>
      <c r="AH116" s="11"/>
      <c r="AI116" s="11" t="s">
        <v>86</v>
      </c>
      <c r="AJ116" s="11"/>
      <c r="AK116" s="2"/>
      <c r="AL116" s="11"/>
      <c r="AM116" s="11"/>
      <c r="AN116" s="11"/>
      <c r="AO116" s="2"/>
      <c r="AP116" s="3"/>
      <c r="AQ116" s="11"/>
      <c r="AR116" s="3"/>
      <c r="AS116" s="2"/>
      <c r="AT116" s="11"/>
      <c r="AU116" s="2"/>
      <c r="AV116" s="2"/>
      <c r="AW116" s="2"/>
      <c r="AX116" s="11"/>
      <c r="AY116" s="11"/>
      <c r="AZ116" s="9"/>
      <c r="BA116" s="2">
        <v>1875</v>
      </c>
      <c r="BB116" s="11"/>
      <c r="BC116" s="11"/>
      <c r="BD116" s="11"/>
      <c r="BE116" s="11"/>
      <c r="BF116" s="11"/>
      <c r="BG116" s="11"/>
      <c r="BH116" s="11"/>
      <c r="BI116" s="11"/>
      <c r="BJ116" s="11" t="s">
        <v>87</v>
      </c>
      <c r="BK116" s="10">
        <v>46303.805902777778</v>
      </c>
      <c r="BL116" s="11"/>
      <c r="BM116" s="11"/>
      <c r="BN116" s="10">
        <v>46303.625</v>
      </c>
      <c r="BO116" s="11"/>
      <c r="BP116" s="11"/>
      <c r="BQ116" s="11"/>
      <c r="BR116" s="11"/>
      <c r="BS116" s="11"/>
      <c r="BT116" s="11"/>
      <c r="BU116" s="11"/>
      <c r="BV116" s="2"/>
      <c r="BW116" s="11"/>
    </row>
    <row r="117" spans="1:75" ht="30" x14ac:dyDescent="0.25">
      <c r="A117" s="2">
        <v>6200115</v>
      </c>
      <c r="B117" s="10">
        <v>46303.805902777778</v>
      </c>
      <c r="C117" s="11" t="s">
        <v>82</v>
      </c>
      <c r="D117" s="11"/>
      <c r="E117" s="11" t="s">
        <v>88</v>
      </c>
      <c r="F117" s="11"/>
      <c r="G117" s="11" t="s">
        <v>592</v>
      </c>
      <c r="H117" s="3"/>
      <c r="I117" s="11" t="s">
        <v>75</v>
      </c>
      <c r="J117" s="11"/>
      <c r="K117" s="11"/>
      <c r="L117" s="11"/>
      <c r="M117" s="11"/>
      <c r="N117" s="2">
        <v>1.25</v>
      </c>
      <c r="O117" s="2"/>
      <c r="P117" s="2"/>
      <c r="Q117" s="2"/>
      <c r="R117" s="11"/>
      <c r="S117" s="11" t="s">
        <v>207</v>
      </c>
      <c r="T117" s="11" t="s">
        <v>85</v>
      </c>
      <c r="U117" s="11"/>
      <c r="V117" s="11"/>
      <c r="W117" s="11"/>
      <c r="X117" s="11"/>
      <c r="Y117" s="11"/>
      <c r="Z117" s="11"/>
      <c r="AA117" s="11"/>
      <c r="AB117" s="9"/>
      <c r="AC117" s="2"/>
      <c r="AD117" s="9"/>
      <c r="AE117" s="2"/>
      <c r="AF117" s="9"/>
      <c r="AG117" s="10"/>
      <c r="AH117" s="11"/>
      <c r="AI117" s="11" t="s">
        <v>86</v>
      </c>
      <c r="AJ117" s="11"/>
      <c r="AK117" s="2"/>
      <c r="AL117" s="11"/>
      <c r="AM117" s="11"/>
      <c r="AN117" s="11"/>
      <c r="AO117" s="2"/>
      <c r="AP117" s="3"/>
      <c r="AQ117" s="11"/>
      <c r="AR117" s="3"/>
      <c r="AS117" s="2"/>
      <c r="AT117" s="11"/>
      <c r="AU117" s="2"/>
      <c r="AV117" s="2"/>
      <c r="AW117" s="2"/>
      <c r="AX117" s="11"/>
      <c r="AY117" s="11"/>
      <c r="AZ117" s="9"/>
      <c r="BA117" s="2">
        <v>1875</v>
      </c>
      <c r="BB117" s="11"/>
      <c r="BC117" s="11"/>
      <c r="BD117" s="11"/>
      <c r="BE117" s="11"/>
      <c r="BF117" s="11"/>
      <c r="BG117" s="11"/>
      <c r="BH117" s="11"/>
      <c r="BI117" s="11"/>
      <c r="BJ117" s="11" t="s">
        <v>87</v>
      </c>
      <c r="BK117" s="10">
        <v>46303.805902777778</v>
      </c>
      <c r="BL117" s="11"/>
      <c r="BM117" s="11"/>
      <c r="BN117" s="10">
        <v>46303.625</v>
      </c>
      <c r="BO117" s="11"/>
      <c r="BP117" s="11"/>
      <c r="BQ117" s="11"/>
      <c r="BR117" s="11"/>
      <c r="BS117" s="11"/>
      <c r="BT117" s="11"/>
      <c r="BU117" s="11"/>
      <c r="BV117" s="2"/>
      <c r="BW117" s="11"/>
    </row>
    <row r="118" spans="1:75" ht="30" x14ac:dyDescent="0.25">
      <c r="A118" s="2">
        <v>6200116</v>
      </c>
      <c r="B118" s="10">
        <v>46303.805902777778</v>
      </c>
      <c r="C118" s="11" t="s">
        <v>82</v>
      </c>
      <c r="D118" s="11"/>
      <c r="E118" s="11" t="s">
        <v>92</v>
      </c>
      <c r="F118" s="11"/>
      <c r="G118" s="11" t="s">
        <v>89</v>
      </c>
      <c r="H118" s="3"/>
      <c r="I118" s="11" t="s">
        <v>90</v>
      </c>
      <c r="J118" s="11"/>
      <c r="K118" s="11"/>
      <c r="L118" s="11"/>
      <c r="M118" s="11"/>
      <c r="N118" s="2">
        <v>1.25</v>
      </c>
      <c r="O118" s="2"/>
      <c r="P118" s="2"/>
      <c r="Q118" s="2"/>
      <c r="R118" s="11"/>
      <c r="S118" s="11" t="s">
        <v>208</v>
      </c>
      <c r="T118" s="11" t="s">
        <v>85</v>
      </c>
      <c r="U118" s="11"/>
      <c r="V118" s="11"/>
      <c r="W118" s="11"/>
      <c r="X118" s="11"/>
      <c r="Y118" s="11"/>
      <c r="Z118" s="11"/>
      <c r="AA118" s="11"/>
      <c r="AB118" s="9"/>
      <c r="AC118" s="2"/>
      <c r="AD118" s="9"/>
      <c r="AE118" s="2"/>
      <c r="AF118" s="9"/>
      <c r="AG118" s="10"/>
      <c r="AH118" s="11"/>
      <c r="AI118" s="11" t="s">
        <v>86</v>
      </c>
      <c r="AJ118" s="11"/>
      <c r="AK118" s="2"/>
      <c r="AL118" s="11"/>
      <c r="AM118" s="11"/>
      <c r="AN118" s="11"/>
      <c r="AO118" s="2"/>
      <c r="AP118" s="3"/>
      <c r="AQ118" s="11"/>
      <c r="AR118" s="3"/>
      <c r="AS118" s="2"/>
      <c r="AT118" s="11"/>
      <c r="AU118" s="2"/>
      <c r="AV118" s="2"/>
      <c r="AW118" s="2"/>
      <c r="AX118" s="11"/>
      <c r="AY118" s="11"/>
      <c r="AZ118" s="9"/>
      <c r="BA118" s="2">
        <v>1875</v>
      </c>
      <c r="BB118" s="11"/>
      <c r="BC118" s="11"/>
      <c r="BD118" s="11"/>
      <c r="BE118" s="11"/>
      <c r="BF118" s="11"/>
      <c r="BG118" s="11"/>
      <c r="BH118" s="11"/>
      <c r="BI118" s="11"/>
      <c r="BJ118" s="11" t="s">
        <v>87</v>
      </c>
      <c r="BK118" s="10">
        <v>46303.805902777778</v>
      </c>
      <c r="BL118" s="11"/>
      <c r="BM118" s="11"/>
      <c r="BN118" s="10">
        <v>46303.625</v>
      </c>
      <c r="BO118" s="11"/>
      <c r="BP118" s="11"/>
      <c r="BQ118" s="11"/>
      <c r="BR118" s="11"/>
      <c r="BS118" s="11"/>
      <c r="BT118" s="11"/>
      <c r="BU118" s="11"/>
      <c r="BV118" s="2"/>
      <c r="BW118" s="11"/>
    </row>
    <row r="119" spans="1:75" ht="30" x14ac:dyDescent="0.25">
      <c r="A119" s="2">
        <v>6200117</v>
      </c>
      <c r="B119" s="10">
        <v>46303.805902777778</v>
      </c>
      <c r="C119" s="11" t="s">
        <v>82</v>
      </c>
      <c r="D119" s="11"/>
      <c r="E119" s="11" t="s">
        <v>83</v>
      </c>
      <c r="F119" s="11"/>
      <c r="G119" s="2">
        <v>470123456</v>
      </c>
      <c r="H119" s="3"/>
      <c r="I119" s="11" t="s">
        <v>75</v>
      </c>
      <c r="J119" s="11"/>
      <c r="K119" s="11"/>
      <c r="L119" s="11"/>
      <c r="M119" s="11"/>
      <c r="N119" s="2">
        <v>1.25</v>
      </c>
      <c r="O119" s="2"/>
      <c r="P119" s="2"/>
      <c r="Q119" s="2"/>
      <c r="R119" s="11"/>
      <c r="S119" s="11" t="s">
        <v>209</v>
      </c>
      <c r="T119" s="11" t="s">
        <v>85</v>
      </c>
      <c r="U119" s="11"/>
      <c r="V119" s="11"/>
      <c r="W119" s="11"/>
      <c r="X119" s="11"/>
      <c r="Y119" s="11"/>
      <c r="Z119" s="11"/>
      <c r="AA119" s="11"/>
      <c r="AB119" s="9"/>
      <c r="AC119" s="2"/>
      <c r="AD119" s="9"/>
      <c r="AE119" s="2"/>
      <c r="AF119" s="9"/>
      <c r="AG119" s="10"/>
      <c r="AH119" s="11"/>
      <c r="AI119" s="11" t="s">
        <v>86</v>
      </c>
      <c r="AJ119" s="11"/>
      <c r="AK119" s="2"/>
      <c r="AL119" s="11"/>
      <c r="AM119" s="11"/>
      <c r="AN119" s="11"/>
      <c r="AO119" s="2"/>
      <c r="AP119" s="3"/>
      <c r="AQ119" s="11"/>
      <c r="AR119" s="3"/>
      <c r="AS119" s="2"/>
      <c r="AT119" s="11"/>
      <c r="AU119" s="2"/>
      <c r="AV119" s="2"/>
      <c r="AW119" s="2"/>
      <c r="AX119" s="11"/>
      <c r="AY119" s="11"/>
      <c r="AZ119" s="9"/>
      <c r="BA119" s="2">
        <v>1875</v>
      </c>
      <c r="BB119" s="11"/>
      <c r="BC119" s="11"/>
      <c r="BD119" s="11"/>
      <c r="BE119" s="11"/>
      <c r="BF119" s="11"/>
      <c r="BG119" s="11"/>
      <c r="BH119" s="11"/>
      <c r="BI119" s="11"/>
      <c r="BJ119" s="11" t="s">
        <v>87</v>
      </c>
      <c r="BK119" s="10">
        <v>46303.805902777778</v>
      </c>
      <c r="BL119" s="11"/>
      <c r="BM119" s="11"/>
      <c r="BN119" s="10">
        <v>46303.625</v>
      </c>
      <c r="BO119" s="11"/>
      <c r="BP119" s="11"/>
      <c r="BQ119" s="11"/>
      <c r="BR119" s="11"/>
      <c r="BS119" s="11"/>
      <c r="BT119" s="11"/>
      <c r="BU119" s="11"/>
      <c r="BV119" s="2"/>
      <c r="BW119" s="11"/>
    </row>
    <row r="120" spans="1:75" ht="30" x14ac:dyDescent="0.25">
      <c r="A120" s="2">
        <v>6200118</v>
      </c>
      <c r="B120" s="10">
        <v>46303.805902777778</v>
      </c>
      <c r="C120" s="11" t="s">
        <v>82</v>
      </c>
      <c r="D120" s="11"/>
      <c r="E120" s="11" t="s">
        <v>88</v>
      </c>
      <c r="F120" s="11"/>
      <c r="G120" s="11" t="s">
        <v>94</v>
      </c>
      <c r="H120" s="3"/>
      <c r="I120" s="11" t="s">
        <v>90</v>
      </c>
      <c r="J120" s="11"/>
      <c r="K120" s="11"/>
      <c r="L120" s="11"/>
      <c r="M120" s="11"/>
      <c r="N120" s="2">
        <v>1.25</v>
      </c>
      <c r="O120" s="2"/>
      <c r="P120" s="2"/>
      <c r="Q120" s="2"/>
      <c r="R120" s="11"/>
      <c r="S120" s="11" t="s">
        <v>210</v>
      </c>
      <c r="T120" s="11" t="s">
        <v>85</v>
      </c>
      <c r="U120" s="11"/>
      <c r="V120" s="11"/>
      <c r="W120" s="11"/>
      <c r="X120" s="11"/>
      <c r="Y120" s="11"/>
      <c r="Z120" s="11"/>
      <c r="AA120" s="11"/>
      <c r="AB120" s="9"/>
      <c r="AC120" s="2"/>
      <c r="AD120" s="9"/>
      <c r="AE120" s="2"/>
      <c r="AF120" s="9"/>
      <c r="AG120" s="10"/>
      <c r="AH120" s="11"/>
      <c r="AI120" s="11" t="s">
        <v>86</v>
      </c>
      <c r="AJ120" s="11"/>
      <c r="AK120" s="2"/>
      <c r="AL120" s="11"/>
      <c r="AM120" s="11"/>
      <c r="AN120" s="11"/>
      <c r="AO120" s="2"/>
      <c r="AP120" s="3"/>
      <c r="AQ120" s="11"/>
      <c r="AR120" s="3"/>
      <c r="AS120" s="2"/>
      <c r="AT120" s="11"/>
      <c r="AU120" s="2"/>
      <c r="AV120" s="2"/>
      <c r="AW120" s="2"/>
      <c r="AX120" s="11"/>
      <c r="AY120" s="11"/>
      <c r="AZ120" s="9"/>
      <c r="BA120" s="2">
        <v>1875</v>
      </c>
      <c r="BB120" s="11"/>
      <c r="BC120" s="11"/>
      <c r="BD120" s="11"/>
      <c r="BE120" s="11"/>
      <c r="BF120" s="11"/>
      <c r="BG120" s="11"/>
      <c r="BH120" s="11"/>
      <c r="BI120" s="11"/>
      <c r="BJ120" s="11" t="s">
        <v>87</v>
      </c>
      <c r="BK120" s="10">
        <v>46303.805902777778</v>
      </c>
      <c r="BL120" s="11"/>
      <c r="BM120" s="11"/>
      <c r="BN120" s="10">
        <v>46303.625</v>
      </c>
      <c r="BO120" s="11"/>
      <c r="BP120" s="11"/>
      <c r="BQ120" s="11"/>
      <c r="BR120" s="11"/>
      <c r="BS120" s="11"/>
      <c r="BT120" s="11"/>
      <c r="BU120" s="11"/>
      <c r="BV120" s="2"/>
      <c r="BW120" s="11"/>
    </row>
    <row r="121" spans="1:75" ht="30" x14ac:dyDescent="0.25">
      <c r="A121" s="2">
        <v>6200119</v>
      </c>
      <c r="B121" s="10">
        <v>46303.805902777778</v>
      </c>
      <c r="C121" s="11" t="s">
        <v>82</v>
      </c>
      <c r="D121" s="11"/>
      <c r="E121" s="11" t="s">
        <v>92</v>
      </c>
      <c r="F121" s="11"/>
      <c r="G121" s="11" t="s">
        <v>593</v>
      </c>
      <c r="H121" s="3"/>
      <c r="I121" s="11" t="s">
        <v>75</v>
      </c>
      <c r="J121" s="11"/>
      <c r="K121" s="11"/>
      <c r="L121" s="11"/>
      <c r="M121" s="11"/>
      <c r="N121" s="2">
        <v>1.25</v>
      </c>
      <c r="O121" s="2"/>
      <c r="P121" s="2"/>
      <c r="Q121" s="2"/>
      <c r="R121" s="11"/>
      <c r="S121" s="11" t="s">
        <v>211</v>
      </c>
      <c r="T121" s="11" t="s">
        <v>85</v>
      </c>
      <c r="U121" s="11"/>
      <c r="V121" s="11"/>
      <c r="W121" s="11"/>
      <c r="X121" s="11"/>
      <c r="Y121" s="11"/>
      <c r="Z121" s="11"/>
      <c r="AA121" s="11"/>
      <c r="AB121" s="9"/>
      <c r="AC121" s="2"/>
      <c r="AD121" s="9"/>
      <c r="AE121" s="2"/>
      <c r="AF121" s="9"/>
      <c r="AG121" s="10"/>
      <c r="AH121" s="11"/>
      <c r="AI121" s="11" t="s">
        <v>86</v>
      </c>
      <c r="AJ121" s="11"/>
      <c r="AK121" s="2"/>
      <c r="AL121" s="11"/>
      <c r="AM121" s="11"/>
      <c r="AN121" s="11"/>
      <c r="AO121" s="2"/>
      <c r="AP121" s="3"/>
      <c r="AQ121" s="11"/>
      <c r="AR121" s="3"/>
      <c r="AS121" s="2"/>
      <c r="AT121" s="11"/>
      <c r="AU121" s="2"/>
      <c r="AV121" s="2"/>
      <c r="AW121" s="2"/>
      <c r="AX121" s="11"/>
      <c r="AY121" s="11"/>
      <c r="AZ121" s="9"/>
      <c r="BA121" s="2">
        <v>1875</v>
      </c>
      <c r="BB121" s="11"/>
      <c r="BC121" s="11"/>
      <c r="BD121" s="11"/>
      <c r="BE121" s="11"/>
      <c r="BF121" s="11"/>
      <c r="BG121" s="11"/>
      <c r="BH121" s="11"/>
      <c r="BI121" s="11"/>
      <c r="BJ121" s="11" t="s">
        <v>87</v>
      </c>
      <c r="BK121" s="10">
        <v>46303.805902777778</v>
      </c>
      <c r="BL121" s="11"/>
      <c r="BM121" s="11"/>
      <c r="BN121" s="10">
        <v>46303.625</v>
      </c>
      <c r="BO121" s="11"/>
      <c r="BP121" s="11"/>
      <c r="BQ121" s="11"/>
      <c r="BR121" s="11"/>
      <c r="BS121" s="11"/>
      <c r="BT121" s="11"/>
      <c r="BU121" s="11"/>
      <c r="BV121" s="2"/>
      <c r="BW121" s="11"/>
    </row>
    <row r="122" spans="1:75" ht="30" x14ac:dyDescent="0.25">
      <c r="A122" s="2">
        <v>6200120</v>
      </c>
      <c r="B122" s="10">
        <v>46303.805902777778</v>
      </c>
      <c r="C122" s="11" t="s">
        <v>82</v>
      </c>
      <c r="D122" s="11"/>
      <c r="E122" s="11" t="s">
        <v>83</v>
      </c>
      <c r="F122" s="11"/>
      <c r="G122" s="11" t="s">
        <v>592</v>
      </c>
      <c r="H122" s="3"/>
      <c r="I122" s="11" t="s">
        <v>75</v>
      </c>
      <c r="J122" s="11"/>
      <c r="K122" s="11"/>
      <c r="L122" s="11"/>
      <c r="M122" s="11"/>
      <c r="N122" s="2">
        <v>1.25</v>
      </c>
      <c r="O122" s="2"/>
      <c r="P122" s="2"/>
      <c r="Q122" s="2"/>
      <c r="R122" s="11"/>
      <c r="S122" s="11" t="s">
        <v>212</v>
      </c>
      <c r="T122" s="11" t="s">
        <v>85</v>
      </c>
      <c r="U122" s="11"/>
      <c r="V122" s="11"/>
      <c r="W122" s="11"/>
      <c r="X122" s="11"/>
      <c r="Y122" s="11"/>
      <c r="Z122" s="11"/>
      <c r="AA122" s="11"/>
      <c r="AB122" s="9"/>
      <c r="AC122" s="2"/>
      <c r="AD122" s="9"/>
      <c r="AE122" s="2"/>
      <c r="AF122" s="9"/>
      <c r="AG122" s="10"/>
      <c r="AH122" s="11"/>
      <c r="AI122" s="11" t="s">
        <v>86</v>
      </c>
      <c r="AJ122" s="11"/>
      <c r="AK122" s="2"/>
      <c r="AL122" s="11"/>
      <c r="AM122" s="11"/>
      <c r="AN122" s="11"/>
      <c r="AO122" s="2"/>
      <c r="AP122" s="3"/>
      <c r="AQ122" s="11"/>
      <c r="AR122" s="3"/>
      <c r="AS122" s="2"/>
      <c r="AT122" s="11"/>
      <c r="AU122" s="2"/>
      <c r="AV122" s="2"/>
      <c r="AW122" s="2"/>
      <c r="AX122" s="11"/>
      <c r="AY122" s="11"/>
      <c r="AZ122" s="9"/>
      <c r="BA122" s="2">
        <v>1875</v>
      </c>
      <c r="BB122" s="11"/>
      <c r="BC122" s="11"/>
      <c r="BD122" s="11"/>
      <c r="BE122" s="11"/>
      <c r="BF122" s="11"/>
      <c r="BG122" s="11"/>
      <c r="BH122" s="11"/>
      <c r="BI122" s="11"/>
      <c r="BJ122" s="11" t="s">
        <v>87</v>
      </c>
      <c r="BK122" s="10">
        <v>46303.805902777778</v>
      </c>
      <c r="BL122" s="11"/>
      <c r="BM122" s="11"/>
      <c r="BN122" s="10">
        <v>46303.625</v>
      </c>
      <c r="BO122" s="11"/>
      <c r="BP122" s="11"/>
      <c r="BQ122" s="11"/>
      <c r="BR122" s="11"/>
      <c r="BS122" s="11"/>
      <c r="BT122" s="11"/>
      <c r="BU122" s="11"/>
      <c r="BV122" s="2"/>
      <c r="BW122" s="11"/>
    </row>
    <row r="123" spans="1:75" ht="30" x14ac:dyDescent="0.25">
      <c r="A123" s="2">
        <v>6200121</v>
      </c>
      <c r="B123" s="10">
        <v>46303.805902777778</v>
      </c>
      <c r="C123" s="11" t="s">
        <v>82</v>
      </c>
      <c r="D123" s="11"/>
      <c r="E123" s="11" t="s">
        <v>88</v>
      </c>
      <c r="F123" s="11"/>
      <c r="G123" s="11" t="s">
        <v>89</v>
      </c>
      <c r="H123" s="3"/>
      <c r="I123" s="11" t="s">
        <v>90</v>
      </c>
      <c r="J123" s="11"/>
      <c r="K123" s="11"/>
      <c r="L123" s="11"/>
      <c r="M123" s="11"/>
      <c r="N123" s="2">
        <v>1.25</v>
      </c>
      <c r="O123" s="2"/>
      <c r="P123" s="2"/>
      <c r="Q123" s="2"/>
      <c r="R123" s="11"/>
      <c r="S123" s="11" t="s">
        <v>213</v>
      </c>
      <c r="T123" s="11" t="s">
        <v>85</v>
      </c>
      <c r="U123" s="11"/>
      <c r="V123" s="11"/>
      <c r="W123" s="11"/>
      <c r="X123" s="11"/>
      <c r="Y123" s="11"/>
      <c r="Z123" s="11"/>
      <c r="AA123" s="11"/>
      <c r="AB123" s="9"/>
      <c r="AC123" s="2"/>
      <c r="AD123" s="9"/>
      <c r="AE123" s="2"/>
      <c r="AF123" s="9"/>
      <c r="AG123" s="10"/>
      <c r="AH123" s="11"/>
      <c r="AI123" s="11" t="s">
        <v>86</v>
      </c>
      <c r="AJ123" s="11"/>
      <c r="AK123" s="2"/>
      <c r="AL123" s="11"/>
      <c r="AM123" s="11"/>
      <c r="AN123" s="11"/>
      <c r="AO123" s="2"/>
      <c r="AP123" s="3"/>
      <c r="AQ123" s="11"/>
      <c r="AR123" s="3"/>
      <c r="AS123" s="2"/>
      <c r="AT123" s="11"/>
      <c r="AU123" s="2"/>
      <c r="AV123" s="2"/>
      <c r="AW123" s="2"/>
      <c r="AX123" s="11"/>
      <c r="AY123" s="11"/>
      <c r="AZ123" s="9"/>
      <c r="BA123" s="2">
        <v>1875</v>
      </c>
      <c r="BB123" s="11"/>
      <c r="BC123" s="11"/>
      <c r="BD123" s="11"/>
      <c r="BE123" s="11"/>
      <c r="BF123" s="11"/>
      <c r="BG123" s="11"/>
      <c r="BH123" s="11"/>
      <c r="BI123" s="11"/>
      <c r="BJ123" s="11" t="s">
        <v>87</v>
      </c>
      <c r="BK123" s="10">
        <v>46303.805902777778</v>
      </c>
      <c r="BL123" s="11"/>
      <c r="BM123" s="11"/>
      <c r="BN123" s="10">
        <v>46303.625</v>
      </c>
      <c r="BO123" s="11"/>
      <c r="BP123" s="11"/>
      <c r="BQ123" s="11"/>
      <c r="BR123" s="11"/>
      <c r="BS123" s="11"/>
      <c r="BT123" s="11"/>
      <c r="BU123" s="11"/>
      <c r="BV123" s="2"/>
      <c r="BW123" s="11"/>
    </row>
    <row r="124" spans="1:75" ht="30" x14ac:dyDescent="0.25">
      <c r="A124" s="2">
        <v>6200122</v>
      </c>
      <c r="B124" s="10">
        <v>46303.805902777778</v>
      </c>
      <c r="C124" s="11" t="s">
        <v>82</v>
      </c>
      <c r="D124" s="11"/>
      <c r="E124" s="11" t="s">
        <v>92</v>
      </c>
      <c r="F124" s="11"/>
      <c r="G124" s="2">
        <v>470123456</v>
      </c>
      <c r="H124" s="3"/>
      <c r="I124" s="11" t="s">
        <v>75</v>
      </c>
      <c r="J124" s="11"/>
      <c r="K124" s="11"/>
      <c r="L124" s="11"/>
      <c r="M124" s="11"/>
      <c r="N124" s="2">
        <v>1.25</v>
      </c>
      <c r="O124" s="2"/>
      <c r="P124" s="2"/>
      <c r="Q124" s="2"/>
      <c r="R124" s="11"/>
      <c r="S124" s="11" t="s">
        <v>214</v>
      </c>
      <c r="T124" s="11" t="s">
        <v>85</v>
      </c>
      <c r="U124" s="11"/>
      <c r="V124" s="11"/>
      <c r="W124" s="11"/>
      <c r="X124" s="11"/>
      <c r="Y124" s="11"/>
      <c r="Z124" s="11"/>
      <c r="AA124" s="11"/>
      <c r="AB124" s="9"/>
      <c r="AC124" s="2"/>
      <c r="AD124" s="9"/>
      <c r="AE124" s="2"/>
      <c r="AF124" s="9"/>
      <c r="AG124" s="10"/>
      <c r="AH124" s="11"/>
      <c r="AI124" s="11" t="s">
        <v>86</v>
      </c>
      <c r="AJ124" s="11"/>
      <c r="AK124" s="2"/>
      <c r="AL124" s="11"/>
      <c r="AM124" s="11"/>
      <c r="AN124" s="11"/>
      <c r="AO124" s="2"/>
      <c r="AP124" s="3"/>
      <c r="AQ124" s="11"/>
      <c r="AR124" s="3"/>
      <c r="AS124" s="2"/>
      <c r="AT124" s="11"/>
      <c r="AU124" s="2"/>
      <c r="AV124" s="2"/>
      <c r="AW124" s="2"/>
      <c r="AX124" s="11"/>
      <c r="AY124" s="11"/>
      <c r="AZ124" s="9"/>
      <c r="BA124" s="2">
        <v>1875</v>
      </c>
      <c r="BB124" s="11"/>
      <c r="BC124" s="11"/>
      <c r="BD124" s="11"/>
      <c r="BE124" s="11"/>
      <c r="BF124" s="11"/>
      <c r="BG124" s="11"/>
      <c r="BH124" s="11"/>
      <c r="BI124" s="11"/>
      <c r="BJ124" s="11" t="s">
        <v>87</v>
      </c>
      <c r="BK124" s="10">
        <v>46303.805902777778</v>
      </c>
      <c r="BL124" s="11"/>
      <c r="BM124" s="11"/>
      <c r="BN124" s="10">
        <v>46303.625</v>
      </c>
      <c r="BO124" s="11"/>
      <c r="BP124" s="11"/>
      <c r="BQ124" s="11"/>
      <c r="BR124" s="11"/>
      <c r="BS124" s="11"/>
      <c r="BT124" s="11"/>
      <c r="BU124" s="11"/>
      <c r="BV124" s="2"/>
      <c r="BW124" s="11"/>
    </row>
    <row r="125" spans="1:75" ht="30" x14ac:dyDescent="0.25">
      <c r="A125" s="2">
        <v>6200123</v>
      </c>
      <c r="B125" s="10">
        <v>46303.805902777778</v>
      </c>
      <c r="C125" s="11" t="s">
        <v>82</v>
      </c>
      <c r="D125" s="11"/>
      <c r="E125" s="11" t="s">
        <v>83</v>
      </c>
      <c r="F125" s="11"/>
      <c r="G125" s="11" t="s">
        <v>94</v>
      </c>
      <c r="H125" s="3"/>
      <c r="I125" s="11" t="s">
        <v>90</v>
      </c>
      <c r="J125" s="11"/>
      <c r="K125" s="11"/>
      <c r="L125" s="11"/>
      <c r="M125" s="11"/>
      <c r="N125" s="2">
        <v>1.25</v>
      </c>
      <c r="O125" s="2"/>
      <c r="P125" s="2"/>
      <c r="Q125" s="2"/>
      <c r="R125" s="11"/>
      <c r="S125" s="11" t="s">
        <v>215</v>
      </c>
      <c r="T125" s="11" t="s">
        <v>85</v>
      </c>
      <c r="U125" s="11"/>
      <c r="V125" s="11"/>
      <c r="W125" s="11"/>
      <c r="X125" s="11"/>
      <c r="Y125" s="11"/>
      <c r="Z125" s="11"/>
      <c r="AA125" s="11"/>
      <c r="AB125" s="9"/>
      <c r="AC125" s="2"/>
      <c r="AD125" s="9"/>
      <c r="AE125" s="2"/>
      <c r="AF125" s="9"/>
      <c r="AG125" s="10"/>
      <c r="AH125" s="11"/>
      <c r="AI125" s="11" t="s">
        <v>86</v>
      </c>
      <c r="AJ125" s="11"/>
      <c r="AK125" s="2"/>
      <c r="AL125" s="11"/>
      <c r="AM125" s="11"/>
      <c r="AN125" s="11"/>
      <c r="AO125" s="2"/>
      <c r="AP125" s="3"/>
      <c r="AQ125" s="11"/>
      <c r="AR125" s="3"/>
      <c r="AS125" s="2"/>
      <c r="AT125" s="11"/>
      <c r="AU125" s="2"/>
      <c r="AV125" s="2"/>
      <c r="AW125" s="2"/>
      <c r="AX125" s="11"/>
      <c r="AY125" s="11"/>
      <c r="AZ125" s="9"/>
      <c r="BA125" s="2">
        <v>1875</v>
      </c>
      <c r="BB125" s="11"/>
      <c r="BC125" s="11"/>
      <c r="BD125" s="11"/>
      <c r="BE125" s="11"/>
      <c r="BF125" s="11"/>
      <c r="BG125" s="11"/>
      <c r="BH125" s="11"/>
      <c r="BI125" s="11"/>
      <c r="BJ125" s="11" t="s">
        <v>87</v>
      </c>
      <c r="BK125" s="10">
        <v>46303.805902777778</v>
      </c>
      <c r="BL125" s="11"/>
      <c r="BM125" s="11"/>
      <c r="BN125" s="10">
        <v>46303.625</v>
      </c>
      <c r="BO125" s="11"/>
      <c r="BP125" s="11"/>
      <c r="BQ125" s="11"/>
      <c r="BR125" s="11"/>
      <c r="BS125" s="11"/>
      <c r="BT125" s="11"/>
      <c r="BU125" s="11"/>
      <c r="BV125" s="2"/>
      <c r="BW125" s="11"/>
    </row>
    <row r="126" spans="1:75" ht="30" x14ac:dyDescent="0.25">
      <c r="A126" s="2">
        <v>6200124</v>
      </c>
      <c r="B126" s="10">
        <v>46303.805902777778</v>
      </c>
      <c r="C126" s="11" t="s">
        <v>82</v>
      </c>
      <c r="D126" s="11"/>
      <c r="E126" s="11" t="s">
        <v>88</v>
      </c>
      <c r="F126" s="11"/>
      <c r="G126" s="11" t="s">
        <v>593</v>
      </c>
      <c r="H126" s="3"/>
      <c r="I126" s="11" t="s">
        <v>75</v>
      </c>
      <c r="J126" s="11"/>
      <c r="K126" s="11"/>
      <c r="L126" s="11"/>
      <c r="M126" s="11"/>
      <c r="N126" s="2">
        <v>1.25</v>
      </c>
      <c r="O126" s="2"/>
      <c r="P126" s="2"/>
      <c r="Q126" s="2"/>
      <c r="R126" s="11"/>
      <c r="S126" s="11" t="s">
        <v>216</v>
      </c>
      <c r="T126" s="11" t="s">
        <v>85</v>
      </c>
      <c r="U126" s="11"/>
      <c r="V126" s="11"/>
      <c r="W126" s="11"/>
      <c r="X126" s="11"/>
      <c r="Y126" s="11"/>
      <c r="Z126" s="11"/>
      <c r="AA126" s="11"/>
      <c r="AB126" s="9"/>
      <c r="AC126" s="2"/>
      <c r="AD126" s="9"/>
      <c r="AE126" s="2"/>
      <c r="AF126" s="9"/>
      <c r="AG126" s="10"/>
      <c r="AH126" s="11"/>
      <c r="AI126" s="11" t="s">
        <v>86</v>
      </c>
      <c r="AJ126" s="11"/>
      <c r="AK126" s="2"/>
      <c r="AL126" s="11"/>
      <c r="AM126" s="11"/>
      <c r="AN126" s="11"/>
      <c r="AO126" s="2"/>
      <c r="AP126" s="3"/>
      <c r="AQ126" s="11"/>
      <c r="AR126" s="3"/>
      <c r="AS126" s="2"/>
      <c r="AT126" s="11"/>
      <c r="AU126" s="2"/>
      <c r="AV126" s="2"/>
      <c r="AW126" s="2"/>
      <c r="AX126" s="11"/>
      <c r="AY126" s="11"/>
      <c r="AZ126" s="9"/>
      <c r="BA126" s="2">
        <v>1875</v>
      </c>
      <c r="BB126" s="11"/>
      <c r="BC126" s="11"/>
      <c r="BD126" s="11"/>
      <c r="BE126" s="11"/>
      <c r="BF126" s="11"/>
      <c r="BG126" s="11"/>
      <c r="BH126" s="11"/>
      <c r="BI126" s="11"/>
      <c r="BJ126" s="11" t="s">
        <v>87</v>
      </c>
      <c r="BK126" s="10">
        <v>46303.805902777778</v>
      </c>
      <c r="BL126" s="11"/>
      <c r="BM126" s="11"/>
      <c r="BN126" s="10">
        <v>46303.625</v>
      </c>
      <c r="BO126" s="11"/>
      <c r="BP126" s="11"/>
      <c r="BQ126" s="11"/>
      <c r="BR126" s="11"/>
      <c r="BS126" s="11"/>
      <c r="BT126" s="11"/>
      <c r="BU126" s="11"/>
      <c r="BV126" s="2"/>
      <c r="BW126" s="11"/>
    </row>
    <row r="127" spans="1:75" ht="30" x14ac:dyDescent="0.25">
      <c r="A127" s="2">
        <v>6200125</v>
      </c>
      <c r="B127" s="10">
        <v>46303.805902777778</v>
      </c>
      <c r="C127" s="11" t="s">
        <v>82</v>
      </c>
      <c r="D127" s="11"/>
      <c r="E127" s="11" t="s">
        <v>92</v>
      </c>
      <c r="F127" s="11"/>
      <c r="G127" s="11" t="s">
        <v>592</v>
      </c>
      <c r="H127" s="3"/>
      <c r="I127" s="11" t="s">
        <v>75</v>
      </c>
      <c r="J127" s="11"/>
      <c r="K127" s="11"/>
      <c r="L127" s="11"/>
      <c r="M127" s="11"/>
      <c r="N127" s="2">
        <v>1.25</v>
      </c>
      <c r="O127" s="2"/>
      <c r="P127" s="2"/>
      <c r="Q127" s="2"/>
      <c r="R127" s="11"/>
      <c r="S127" s="11" t="s">
        <v>217</v>
      </c>
      <c r="T127" s="11" t="s">
        <v>85</v>
      </c>
      <c r="U127" s="11"/>
      <c r="V127" s="11"/>
      <c r="W127" s="11"/>
      <c r="X127" s="11"/>
      <c r="Y127" s="11"/>
      <c r="Z127" s="11"/>
      <c r="AA127" s="11"/>
      <c r="AB127" s="9"/>
      <c r="AC127" s="2"/>
      <c r="AD127" s="9"/>
      <c r="AE127" s="2"/>
      <c r="AF127" s="9"/>
      <c r="AG127" s="10"/>
      <c r="AH127" s="11"/>
      <c r="AI127" s="11" t="s">
        <v>86</v>
      </c>
      <c r="AJ127" s="11"/>
      <c r="AK127" s="2"/>
      <c r="AL127" s="11"/>
      <c r="AM127" s="11"/>
      <c r="AN127" s="11"/>
      <c r="AO127" s="2"/>
      <c r="AP127" s="3"/>
      <c r="AQ127" s="11"/>
      <c r="AR127" s="3"/>
      <c r="AS127" s="2"/>
      <c r="AT127" s="11"/>
      <c r="AU127" s="2"/>
      <c r="AV127" s="2"/>
      <c r="AW127" s="2"/>
      <c r="AX127" s="11"/>
      <c r="AY127" s="11"/>
      <c r="AZ127" s="9"/>
      <c r="BA127" s="2">
        <v>1875</v>
      </c>
      <c r="BB127" s="11"/>
      <c r="BC127" s="11"/>
      <c r="BD127" s="11"/>
      <c r="BE127" s="11"/>
      <c r="BF127" s="11"/>
      <c r="BG127" s="11"/>
      <c r="BH127" s="11"/>
      <c r="BI127" s="11"/>
      <c r="BJ127" s="11" t="s">
        <v>87</v>
      </c>
      <c r="BK127" s="10">
        <v>46303.805902777778</v>
      </c>
      <c r="BL127" s="11"/>
      <c r="BM127" s="11"/>
      <c r="BN127" s="10">
        <v>46303.625</v>
      </c>
      <c r="BO127" s="11"/>
      <c r="BP127" s="11"/>
      <c r="BQ127" s="11"/>
      <c r="BR127" s="11"/>
      <c r="BS127" s="11"/>
      <c r="BT127" s="11"/>
      <c r="BU127" s="11"/>
      <c r="BV127" s="2"/>
      <c r="BW127" s="11"/>
    </row>
    <row r="128" spans="1:75" ht="30" x14ac:dyDescent="0.25">
      <c r="A128" s="2">
        <v>6200126</v>
      </c>
      <c r="B128" s="10">
        <v>46303.805902777778</v>
      </c>
      <c r="C128" s="11" t="s">
        <v>82</v>
      </c>
      <c r="D128" s="11"/>
      <c r="E128" s="11" t="s">
        <v>83</v>
      </c>
      <c r="F128" s="11"/>
      <c r="G128" s="11" t="s">
        <v>89</v>
      </c>
      <c r="H128" s="3"/>
      <c r="I128" s="11" t="s">
        <v>90</v>
      </c>
      <c r="J128" s="11"/>
      <c r="K128" s="11"/>
      <c r="L128" s="11"/>
      <c r="M128" s="11"/>
      <c r="N128" s="2">
        <v>1.25</v>
      </c>
      <c r="O128" s="2"/>
      <c r="P128" s="2"/>
      <c r="Q128" s="2"/>
      <c r="R128" s="11"/>
      <c r="S128" s="11" t="s">
        <v>218</v>
      </c>
      <c r="T128" s="11" t="s">
        <v>85</v>
      </c>
      <c r="U128" s="11"/>
      <c r="V128" s="11"/>
      <c r="W128" s="11"/>
      <c r="X128" s="11"/>
      <c r="Y128" s="11"/>
      <c r="Z128" s="11"/>
      <c r="AA128" s="11"/>
      <c r="AB128" s="9"/>
      <c r="AC128" s="2"/>
      <c r="AD128" s="9"/>
      <c r="AE128" s="2"/>
      <c r="AF128" s="9"/>
      <c r="AG128" s="10"/>
      <c r="AH128" s="11"/>
      <c r="AI128" s="11" t="s">
        <v>86</v>
      </c>
      <c r="AJ128" s="11"/>
      <c r="AK128" s="2"/>
      <c r="AL128" s="11"/>
      <c r="AM128" s="11"/>
      <c r="AN128" s="11"/>
      <c r="AO128" s="2"/>
      <c r="AP128" s="3"/>
      <c r="AQ128" s="11"/>
      <c r="AR128" s="3"/>
      <c r="AS128" s="2"/>
      <c r="AT128" s="11"/>
      <c r="AU128" s="2"/>
      <c r="AV128" s="2"/>
      <c r="AW128" s="2"/>
      <c r="AX128" s="11"/>
      <c r="AY128" s="11"/>
      <c r="AZ128" s="9"/>
      <c r="BA128" s="2">
        <v>1875</v>
      </c>
      <c r="BB128" s="11"/>
      <c r="BC128" s="11"/>
      <c r="BD128" s="11"/>
      <c r="BE128" s="11"/>
      <c r="BF128" s="11"/>
      <c r="BG128" s="11"/>
      <c r="BH128" s="11"/>
      <c r="BI128" s="11"/>
      <c r="BJ128" s="11" t="s">
        <v>87</v>
      </c>
      <c r="BK128" s="10">
        <v>46303.805902777778</v>
      </c>
      <c r="BL128" s="11"/>
      <c r="BM128" s="11"/>
      <c r="BN128" s="10">
        <v>46303.625</v>
      </c>
      <c r="BO128" s="11"/>
      <c r="BP128" s="11"/>
      <c r="BQ128" s="11"/>
      <c r="BR128" s="11"/>
      <c r="BS128" s="11"/>
      <c r="BT128" s="11"/>
      <c r="BU128" s="11"/>
      <c r="BV128" s="2"/>
      <c r="BW128" s="11"/>
    </row>
    <row r="129" spans="1:75" ht="30" x14ac:dyDescent="0.25">
      <c r="A129" s="2">
        <v>6200127</v>
      </c>
      <c r="B129" s="10">
        <v>46303.805902777778</v>
      </c>
      <c r="C129" s="11" t="s">
        <v>82</v>
      </c>
      <c r="D129" s="11"/>
      <c r="E129" s="11" t="s">
        <v>88</v>
      </c>
      <c r="F129" s="11"/>
      <c r="G129" s="2">
        <v>470123456</v>
      </c>
      <c r="H129" s="3"/>
      <c r="I129" s="11" t="s">
        <v>75</v>
      </c>
      <c r="J129" s="11"/>
      <c r="K129" s="11"/>
      <c r="L129" s="11"/>
      <c r="M129" s="11"/>
      <c r="N129" s="2">
        <v>1.25</v>
      </c>
      <c r="O129" s="2"/>
      <c r="P129" s="2"/>
      <c r="Q129" s="2"/>
      <c r="R129" s="11"/>
      <c r="S129" s="11" t="s">
        <v>219</v>
      </c>
      <c r="T129" s="11" t="s">
        <v>85</v>
      </c>
      <c r="U129" s="11"/>
      <c r="V129" s="11"/>
      <c r="W129" s="11"/>
      <c r="X129" s="11"/>
      <c r="Y129" s="11"/>
      <c r="Z129" s="11"/>
      <c r="AA129" s="11"/>
      <c r="AB129" s="9"/>
      <c r="AC129" s="2"/>
      <c r="AD129" s="9"/>
      <c r="AE129" s="2"/>
      <c r="AF129" s="9"/>
      <c r="AG129" s="10"/>
      <c r="AH129" s="11"/>
      <c r="AI129" s="11" t="s">
        <v>86</v>
      </c>
      <c r="AJ129" s="11"/>
      <c r="AK129" s="2"/>
      <c r="AL129" s="11"/>
      <c r="AM129" s="11"/>
      <c r="AN129" s="11"/>
      <c r="AO129" s="2"/>
      <c r="AP129" s="3"/>
      <c r="AQ129" s="11"/>
      <c r="AR129" s="3"/>
      <c r="AS129" s="2"/>
      <c r="AT129" s="11"/>
      <c r="AU129" s="2"/>
      <c r="AV129" s="2"/>
      <c r="AW129" s="2"/>
      <c r="AX129" s="11"/>
      <c r="AY129" s="11"/>
      <c r="AZ129" s="9"/>
      <c r="BA129" s="2">
        <v>1875</v>
      </c>
      <c r="BB129" s="11"/>
      <c r="BC129" s="11"/>
      <c r="BD129" s="11"/>
      <c r="BE129" s="11"/>
      <c r="BF129" s="11"/>
      <c r="BG129" s="11"/>
      <c r="BH129" s="11"/>
      <c r="BI129" s="11"/>
      <c r="BJ129" s="11" t="s">
        <v>87</v>
      </c>
      <c r="BK129" s="10">
        <v>46303.805902777778</v>
      </c>
      <c r="BL129" s="11"/>
      <c r="BM129" s="11"/>
      <c r="BN129" s="10">
        <v>46303.625</v>
      </c>
      <c r="BO129" s="11"/>
      <c r="BP129" s="11"/>
      <c r="BQ129" s="11"/>
      <c r="BR129" s="11"/>
      <c r="BS129" s="11"/>
      <c r="BT129" s="11"/>
      <c r="BU129" s="11"/>
      <c r="BV129" s="2"/>
      <c r="BW129" s="11"/>
    </row>
    <row r="130" spans="1:75" ht="30" x14ac:dyDescent="0.25">
      <c r="A130" s="2">
        <v>6200128</v>
      </c>
      <c r="B130" s="10">
        <v>46303.805902777778</v>
      </c>
      <c r="C130" s="11" t="s">
        <v>82</v>
      </c>
      <c r="D130" s="11"/>
      <c r="E130" s="11" t="s">
        <v>92</v>
      </c>
      <c r="F130" s="11"/>
      <c r="G130" s="11" t="s">
        <v>94</v>
      </c>
      <c r="H130" s="3"/>
      <c r="I130" s="11" t="s">
        <v>90</v>
      </c>
      <c r="J130" s="11"/>
      <c r="K130" s="11"/>
      <c r="L130" s="11"/>
      <c r="M130" s="11"/>
      <c r="N130" s="2">
        <v>1.25</v>
      </c>
      <c r="O130" s="2"/>
      <c r="P130" s="2"/>
      <c r="Q130" s="2"/>
      <c r="R130" s="11"/>
      <c r="S130" s="11" t="s">
        <v>220</v>
      </c>
      <c r="T130" s="11" t="s">
        <v>85</v>
      </c>
      <c r="U130" s="11"/>
      <c r="V130" s="11"/>
      <c r="W130" s="11"/>
      <c r="X130" s="11"/>
      <c r="Y130" s="11"/>
      <c r="Z130" s="11"/>
      <c r="AA130" s="11"/>
      <c r="AB130" s="9"/>
      <c r="AC130" s="2"/>
      <c r="AD130" s="9"/>
      <c r="AE130" s="2"/>
      <c r="AF130" s="9"/>
      <c r="AG130" s="10"/>
      <c r="AH130" s="11"/>
      <c r="AI130" s="11" t="s">
        <v>86</v>
      </c>
      <c r="AJ130" s="11"/>
      <c r="AK130" s="2"/>
      <c r="AL130" s="11"/>
      <c r="AM130" s="11"/>
      <c r="AN130" s="11"/>
      <c r="AO130" s="2"/>
      <c r="AP130" s="3"/>
      <c r="AQ130" s="11"/>
      <c r="AR130" s="3"/>
      <c r="AS130" s="2"/>
      <c r="AT130" s="11"/>
      <c r="AU130" s="2"/>
      <c r="AV130" s="2"/>
      <c r="AW130" s="2"/>
      <c r="AX130" s="11"/>
      <c r="AY130" s="11"/>
      <c r="AZ130" s="9"/>
      <c r="BA130" s="2">
        <v>1875</v>
      </c>
      <c r="BB130" s="11"/>
      <c r="BC130" s="11"/>
      <c r="BD130" s="11"/>
      <c r="BE130" s="11"/>
      <c r="BF130" s="11"/>
      <c r="BG130" s="11"/>
      <c r="BH130" s="11"/>
      <c r="BI130" s="11"/>
      <c r="BJ130" s="11" t="s">
        <v>87</v>
      </c>
      <c r="BK130" s="10">
        <v>46303.805902777778</v>
      </c>
      <c r="BL130" s="11"/>
      <c r="BM130" s="11"/>
      <c r="BN130" s="10">
        <v>46303.625</v>
      </c>
      <c r="BO130" s="11"/>
      <c r="BP130" s="11"/>
      <c r="BQ130" s="11"/>
      <c r="BR130" s="11"/>
      <c r="BS130" s="11"/>
      <c r="BT130" s="11"/>
      <c r="BU130" s="11"/>
      <c r="BV130" s="2"/>
      <c r="BW130" s="11"/>
    </row>
    <row r="131" spans="1:75" ht="30" x14ac:dyDescent="0.25">
      <c r="A131" s="2">
        <v>6200129</v>
      </c>
      <c r="B131" s="10">
        <v>46303.805902777778</v>
      </c>
      <c r="C131" s="11" t="s">
        <v>82</v>
      </c>
      <c r="D131" s="11"/>
      <c r="E131" s="11" t="s">
        <v>83</v>
      </c>
      <c r="F131" s="11"/>
      <c r="G131" s="11" t="s">
        <v>593</v>
      </c>
      <c r="H131" s="3"/>
      <c r="I131" s="11" t="s">
        <v>75</v>
      </c>
      <c r="J131" s="11"/>
      <c r="K131" s="11"/>
      <c r="L131" s="11"/>
      <c r="M131" s="11"/>
      <c r="N131" s="2">
        <v>1.25</v>
      </c>
      <c r="O131" s="2"/>
      <c r="P131" s="2"/>
      <c r="Q131" s="2"/>
      <c r="R131" s="11"/>
      <c r="S131" s="11" t="s">
        <v>221</v>
      </c>
      <c r="T131" s="11" t="s">
        <v>85</v>
      </c>
      <c r="U131" s="11"/>
      <c r="V131" s="11"/>
      <c r="W131" s="11"/>
      <c r="X131" s="11"/>
      <c r="Y131" s="11"/>
      <c r="Z131" s="11"/>
      <c r="AA131" s="11"/>
      <c r="AB131" s="9"/>
      <c r="AC131" s="2"/>
      <c r="AD131" s="9"/>
      <c r="AE131" s="2"/>
      <c r="AF131" s="9"/>
      <c r="AG131" s="10"/>
      <c r="AH131" s="11"/>
      <c r="AI131" s="11" t="s">
        <v>86</v>
      </c>
      <c r="AJ131" s="11"/>
      <c r="AK131" s="2"/>
      <c r="AL131" s="11"/>
      <c r="AM131" s="11"/>
      <c r="AN131" s="11"/>
      <c r="AO131" s="2"/>
      <c r="AP131" s="3"/>
      <c r="AQ131" s="11"/>
      <c r="AR131" s="3"/>
      <c r="AS131" s="2"/>
      <c r="AT131" s="11"/>
      <c r="AU131" s="2"/>
      <c r="AV131" s="2"/>
      <c r="AW131" s="2"/>
      <c r="AX131" s="11"/>
      <c r="AY131" s="11"/>
      <c r="AZ131" s="9"/>
      <c r="BA131" s="2">
        <v>1875</v>
      </c>
      <c r="BB131" s="11"/>
      <c r="BC131" s="11"/>
      <c r="BD131" s="11"/>
      <c r="BE131" s="11"/>
      <c r="BF131" s="11"/>
      <c r="BG131" s="11"/>
      <c r="BH131" s="11"/>
      <c r="BI131" s="11"/>
      <c r="BJ131" s="11" t="s">
        <v>87</v>
      </c>
      <c r="BK131" s="10">
        <v>46303.805902777778</v>
      </c>
      <c r="BL131" s="11"/>
      <c r="BM131" s="11"/>
      <c r="BN131" s="10">
        <v>46303.625</v>
      </c>
      <c r="BO131" s="11"/>
      <c r="BP131" s="11"/>
      <c r="BQ131" s="11"/>
      <c r="BR131" s="11"/>
      <c r="BS131" s="11"/>
      <c r="BT131" s="11"/>
      <c r="BU131" s="11"/>
      <c r="BV131" s="2"/>
      <c r="BW131" s="11"/>
    </row>
    <row r="132" spans="1:75" ht="30" x14ac:dyDescent="0.25">
      <c r="A132" s="2">
        <v>6200130</v>
      </c>
      <c r="B132" s="10">
        <v>46303.805902777778</v>
      </c>
      <c r="C132" s="11" t="s">
        <v>82</v>
      </c>
      <c r="D132" s="11"/>
      <c r="E132" s="11" t="s">
        <v>88</v>
      </c>
      <c r="F132" s="11"/>
      <c r="G132" s="11" t="s">
        <v>592</v>
      </c>
      <c r="H132" s="3"/>
      <c r="I132" s="11" t="s">
        <v>75</v>
      </c>
      <c r="J132" s="11"/>
      <c r="K132" s="11"/>
      <c r="L132" s="11"/>
      <c r="M132" s="11"/>
      <c r="N132" s="2">
        <v>1.25</v>
      </c>
      <c r="O132" s="2"/>
      <c r="P132" s="2"/>
      <c r="Q132" s="2"/>
      <c r="R132" s="11"/>
      <c r="S132" s="11" t="s">
        <v>222</v>
      </c>
      <c r="T132" s="11" t="s">
        <v>85</v>
      </c>
      <c r="U132" s="11"/>
      <c r="V132" s="11"/>
      <c r="W132" s="11"/>
      <c r="X132" s="11"/>
      <c r="Y132" s="11"/>
      <c r="Z132" s="11"/>
      <c r="AA132" s="11"/>
      <c r="AB132" s="9"/>
      <c r="AC132" s="2"/>
      <c r="AD132" s="9"/>
      <c r="AE132" s="2"/>
      <c r="AF132" s="9"/>
      <c r="AG132" s="10"/>
      <c r="AH132" s="11"/>
      <c r="AI132" s="11" t="s">
        <v>86</v>
      </c>
      <c r="AJ132" s="11"/>
      <c r="AK132" s="2"/>
      <c r="AL132" s="11"/>
      <c r="AM132" s="11"/>
      <c r="AN132" s="11"/>
      <c r="AO132" s="2"/>
      <c r="AP132" s="3"/>
      <c r="AQ132" s="11"/>
      <c r="AR132" s="3"/>
      <c r="AS132" s="2"/>
      <c r="AT132" s="11"/>
      <c r="AU132" s="2"/>
      <c r="AV132" s="2"/>
      <c r="AW132" s="2"/>
      <c r="AX132" s="11"/>
      <c r="AY132" s="11"/>
      <c r="AZ132" s="9"/>
      <c r="BA132" s="2">
        <v>1875</v>
      </c>
      <c r="BB132" s="11"/>
      <c r="BC132" s="11"/>
      <c r="BD132" s="11"/>
      <c r="BE132" s="11"/>
      <c r="BF132" s="11"/>
      <c r="BG132" s="11"/>
      <c r="BH132" s="11"/>
      <c r="BI132" s="11"/>
      <c r="BJ132" s="11" t="s">
        <v>87</v>
      </c>
      <c r="BK132" s="10">
        <v>46303.805902777778</v>
      </c>
      <c r="BL132" s="11"/>
      <c r="BM132" s="11"/>
      <c r="BN132" s="10">
        <v>46303.625</v>
      </c>
      <c r="BO132" s="11"/>
      <c r="BP132" s="11"/>
      <c r="BQ132" s="11"/>
      <c r="BR132" s="11"/>
      <c r="BS132" s="11"/>
      <c r="BT132" s="11"/>
      <c r="BU132" s="11"/>
      <c r="BV132" s="2"/>
      <c r="BW132" s="11"/>
    </row>
    <row r="133" spans="1:75" ht="30" x14ac:dyDescent="0.25">
      <c r="A133" s="2">
        <v>6200131</v>
      </c>
      <c r="B133" s="10">
        <v>46303.805902777778</v>
      </c>
      <c r="C133" s="11" t="s">
        <v>82</v>
      </c>
      <c r="D133" s="11"/>
      <c r="E133" s="11" t="s">
        <v>92</v>
      </c>
      <c r="F133" s="11"/>
      <c r="G133" s="11" t="s">
        <v>89</v>
      </c>
      <c r="H133" s="3"/>
      <c r="I133" s="11" t="s">
        <v>90</v>
      </c>
      <c r="J133" s="11"/>
      <c r="K133" s="11"/>
      <c r="L133" s="11"/>
      <c r="M133" s="11"/>
      <c r="N133" s="2">
        <v>1.25</v>
      </c>
      <c r="O133" s="2"/>
      <c r="P133" s="2"/>
      <c r="Q133" s="2"/>
      <c r="R133" s="11"/>
      <c r="S133" s="11" t="s">
        <v>223</v>
      </c>
      <c r="T133" s="11" t="s">
        <v>85</v>
      </c>
      <c r="U133" s="11"/>
      <c r="V133" s="11"/>
      <c r="W133" s="11"/>
      <c r="X133" s="11"/>
      <c r="Y133" s="11"/>
      <c r="Z133" s="11"/>
      <c r="AA133" s="11"/>
      <c r="AB133" s="9"/>
      <c r="AC133" s="2"/>
      <c r="AD133" s="9"/>
      <c r="AE133" s="2"/>
      <c r="AF133" s="9"/>
      <c r="AG133" s="10"/>
      <c r="AH133" s="11"/>
      <c r="AI133" s="11" t="s">
        <v>86</v>
      </c>
      <c r="AJ133" s="11"/>
      <c r="AK133" s="2"/>
      <c r="AL133" s="11"/>
      <c r="AM133" s="11"/>
      <c r="AN133" s="11"/>
      <c r="AO133" s="2"/>
      <c r="AP133" s="3"/>
      <c r="AQ133" s="11"/>
      <c r="AR133" s="3"/>
      <c r="AS133" s="2"/>
      <c r="AT133" s="11"/>
      <c r="AU133" s="2"/>
      <c r="AV133" s="2"/>
      <c r="AW133" s="2"/>
      <c r="AX133" s="11"/>
      <c r="AY133" s="11"/>
      <c r="AZ133" s="9"/>
      <c r="BA133" s="2">
        <v>1875</v>
      </c>
      <c r="BB133" s="11"/>
      <c r="BC133" s="11"/>
      <c r="BD133" s="11"/>
      <c r="BE133" s="11"/>
      <c r="BF133" s="11"/>
      <c r="BG133" s="11"/>
      <c r="BH133" s="11"/>
      <c r="BI133" s="11"/>
      <c r="BJ133" s="11" t="s">
        <v>87</v>
      </c>
      <c r="BK133" s="10">
        <v>46303.805902777778</v>
      </c>
      <c r="BL133" s="11"/>
      <c r="BM133" s="11"/>
      <c r="BN133" s="10">
        <v>46303.625</v>
      </c>
      <c r="BO133" s="11"/>
      <c r="BP133" s="11"/>
      <c r="BQ133" s="11"/>
      <c r="BR133" s="11"/>
      <c r="BS133" s="11"/>
      <c r="BT133" s="11"/>
      <c r="BU133" s="11"/>
      <c r="BV133" s="2"/>
      <c r="BW133" s="11"/>
    </row>
    <row r="134" spans="1:75" ht="30" x14ac:dyDescent="0.25">
      <c r="A134" s="2">
        <v>6200132</v>
      </c>
      <c r="B134" s="10">
        <v>46303.805902777778</v>
      </c>
      <c r="C134" s="11" t="s">
        <v>82</v>
      </c>
      <c r="D134" s="11"/>
      <c r="E134" s="11" t="s">
        <v>83</v>
      </c>
      <c r="F134" s="11"/>
      <c r="G134" s="2">
        <v>470123456</v>
      </c>
      <c r="H134" s="3"/>
      <c r="I134" s="11" t="s">
        <v>75</v>
      </c>
      <c r="J134" s="11"/>
      <c r="K134" s="11"/>
      <c r="L134" s="11"/>
      <c r="M134" s="11"/>
      <c r="N134" s="2">
        <v>1.25</v>
      </c>
      <c r="O134" s="2"/>
      <c r="P134" s="2"/>
      <c r="Q134" s="2"/>
      <c r="R134" s="11"/>
      <c r="S134" s="11" t="s">
        <v>224</v>
      </c>
      <c r="T134" s="11" t="s">
        <v>85</v>
      </c>
      <c r="U134" s="11"/>
      <c r="V134" s="11"/>
      <c r="W134" s="11"/>
      <c r="X134" s="11"/>
      <c r="Y134" s="11"/>
      <c r="Z134" s="11"/>
      <c r="AA134" s="11"/>
      <c r="AB134" s="9"/>
      <c r="AC134" s="2"/>
      <c r="AD134" s="9"/>
      <c r="AE134" s="2"/>
      <c r="AF134" s="9"/>
      <c r="AG134" s="10"/>
      <c r="AH134" s="11"/>
      <c r="AI134" s="11" t="s">
        <v>86</v>
      </c>
      <c r="AJ134" s="11"/>
      <c r="AK134" s="2"/>
      <c r="AL134" s="11"/>
      <c r="AM134" s="11"/>
      <c r="AN134" s="11"/>
      <c r="AO134" s="2"/>
      <c r="AP134" s="3"/>
      <c r="AQ134" s="11"/>
      <c r="AR134" s="3"/>
      <c r="AS134" s="2"/>
      <c r="AT134" s="11"/>
      <c r="AU134" s="2"/>
      <c r="AV134" s="2"/>
      <c r="AW134" s="2"/>
      <c r="AX134" s="11"/>
      <c r="AY134" s="11"/>
      <c r="AZ134" s="9"/>
      <c r="BA134" s="2">
        <v>1875</v>
      </c>
      <c r="BB134" s="11"/>
      <c r="BC134" s="11"/>
      <c r="BD134" s="11"/>
      <c r="BE134" s="11"/>
      <c r="BF134" s="11"/>
      <c r="BG134" s="11"/>
      <c r="BH134" s="11"/>
      <c r="BI134" s="11"/>
      <c r="BJ134" s="11" t="s">
        <v>87</v>
      </c>
      <c r="BK134" s="10">
        <v>46303.805902777778</v>
      </c>
      <c r="BL134" s="11"/>
      <c r="BM134" s="11"/>
      <c r="BN134" s="10">
        <v>46303.625</v>
      </c>
      <c r="BO134" s="11"/>
      <c r="BP134" s="11"/>
      <c r="BQ134" s="11"/>
      <c r="BR134" s="11"/>
      <c r="BS134" s="11"/>
      <c r="BT134" s="11"/>
      <c r="BU134" s="11"/>
      <c r="BV134" s="2"/>
      <c r="BW134" s="11"/>
    </row>
    <row r="135" spans="1:75" ht="30" x14ac:dyDescent="0.25">
      <c r="A135" s="2">
        <v>6200133</v>
      </c>
      <c r="B135" s="10">
        <v>46303.805902777778</v>
      </c>
      <c r="C135" s="11" t="s">
        <v>82</v>
      </c>
      <c r="D135" s="11"/>
      <c r="E135" s="11" t="s">
        <v>88</v>
      </c>
      <c r="F135" s="11"/>
      <c r="G135" s="11" t="s">
        <v>94</v>
      </c>
      <c r="H135" s="3"/>
      <c r="I135" s="11" t="s">
        <v>90</v>
      </c>
      <c r="J135" s="11"/>
      <c r="K135" s="11"/>
      <c r="L135" s="11"/>
      <c r="M135" s="11"/>
      <c r="N135" s="2">
        <v>1.25</v>
      </c>
      <c r="O135" s="2"/>
      <c r="P135" s="2"/>
      <c r="Q135" s="2"/>
      <c r="R135" s="11"/>
      <c r="S135" s="11" t="s">
        <v>225</v>
      </c>
      <c r="T135" s="11" t="s">
        <v>85</v>
      </c>
      <c r="U135" s="11"/>
      <c r="V135" s="11"/>
      <c r="W135" s="11"/>
      <c r="X135" s="11"/>
      <c r="Y135" s="11"/>
      <c r="Z135" s="11"/>
      <c r="AA135" s="11"/>
      <c r="AB135" s="9"/>
      <c r="AC135" s="2"/>
      <c r="AD135" s="9"/>
      <c r="AE135" s="2"/>
      <c r="AF135" s="9"/>
      <c r="AG135" s="10"/>
      <c r="AH135" s="11"/>
      <c r="AI135" s="11" t="s">
        <v>86</v>
      </c>
      <c r="AJ135" s="11"/>
      <c r="AK135" s="2"/>
      <c r="AL135" s="11"/>
      <c r="AM135" s="11"/>
      <c r="AN135" s="11"/>
      <c r="AO135" s="2"/>
      <c r="AP135" s="3"/>
      <c r="AQ135" s="11"/>
      <c r="AR135" s="3"/>
      <c r="AS135" s="2"/>
      <c r="AT135" s="11"/>
      <c r="AU135" s="2"/>
      <c r="AV135" s="2"/>
      <c r="AW135" s="2"/>
      <c r="AX135" s="11"/>
      <c r="AY135" s="11"/>
      <c r="AZ135" s="9"/>
      <c r="BA135" s="2">
        <v>1875</v>
      </c>
      <c r="BB135" s="11"/>
      <c r="BC135" s="11"/>
      <c r="BD135" s="11"/>
      <c r="BE135" s="11"/>
      <c r="BF135" s="11"/>
      <c r="BG135" s="11"/>
      <c r="BH135" s="11"/>
      <c r="BI135" s="11"/>
      <c r="BJ135" s="11" t="s">
        <v>87</v>
      </c>
      <c r="BK135" s="10">
        <v>46303.805902777778</v>
      </c>
      <c r="BL135" s="11"/>
      <c r="BM135" s="11"/>
      <c r="BN135" s="10">
        <v>46303.625</v>
      </c>
      <c r="BO135" s="11"/>
      <c r="BP135" s="11"/>
      <c r="BQ135" s="11"/>
      <c r="BR135" s="11"/>
      <c r="BS135" s="11"/>
      <c r="BT135" s="11"/>
      <c r="BU135" s="11"/>
      <c r="BV135" s="2"/>
      <c r="BW135" s="11"/>
    </row>
    <row r="136" spans="1:75" ht="30" x14ac:dyDescent="0.25">
      <c r="A136" s="2">
        <v>6200134</v>
      </c>
      <c r="B136" s="10">
        <v>46303.805902777778</v>
      </c>
      <c r="C136" s="11" t="s">
        <v>82</v>
      </c>
      <c r="D136" s="11"/>
      <c r="E136" s="11" t="s">
        <v>92</v>
      </c>
      <c r="F136" s="11"/>
      <c r="G136" s="11" t="s">
        <v>593</v>
      </c>
      <c r="H136" s="3"/>
      <c r="I136" s="11" t="s">
        <v>75</v>
      </c>
      <c r="J136" s="11"/>
      <c r="K136" s="11"/>
      <c r="L136" s="11"/>
      <c r="M136" s="11"/>
      <c r="N136" s="2">
        <v>1.25</v>
      </c>
      <c r="O136" s="2"/>
      <c r="P136" s="2"/>
      <c r="Q136" s="2"/>
      <c r="R136" s="11"/>
      <c r="S136" s="11" t="s">
        <v>226</v>
      </c>
      <c r="T136" s="11" t="s">
        <v>85</v>
      </c>
      <c r="U136" s="11"/>
      <c r="V136" s="11"/>
      <c r="W136" s="11"/>
      <c r="X136" s="11"/>
      <c r="Y136" s="11"/>
      <c r="Z136" s="11"/>
      <c r="AA136" s="11"/>
      <c r="AB136" s="9"/>
      <c r="AC136" s="2"/>
      <c r="AD136" s="9"/>
      <c r="AE136" s="2"/>
      <c r="AF136" s="9"/>
      <c r="AG136" s="10"/>
      <c r="AH136" s="11"/>
      <c r="AI136" s="11" t="s">
        <v>86</v>
      </c>
      <c r="AJ136" s="11"/>
      <c r="AK136" s="2"/>
      <c r="AL136" s="11"/>
      <c r="AM136" s="11"/>
      <c r="AN136" s="11"/>
      <c r="AO136" s="2"/>
      <c r="AP136" s="3"/>
      <c r="AQ136" s="11"/>
      <c r="AR136" s="3"/>
      <c r="AS136" s="2"/>
      <c r="AT136" s="11"/>
      <c r="AU136" s="2"/>
      <c r="AV136" s="2"/>
      <c r="AW136" s="2"/>
      <c r="AX136" s="11"/>
      <c r="AY136" s="11"/>
      <c r="AZ136" s="9"/>
      <c r="BA136" s="2">
        <v>1875</v>
      </c>
      <c r="BB136" s="11"/>
      <c r="BC136" s="11"/>
      <c r="BD136" s="11"/>
      <c r="BE136" s="11"/>
      <c r="BF136" s="11"/>
      <c r="BG136" s="11"/>
      <c r="BH136" s="11"/>
      <c r="BI136" s="11"/>
      <c r="BJ136" s="11" t="s">
        <v>87</v>
      </c>
      <c r="BK136" s="10">
        <v>46303.805902777778</v>
      </c>
      <c r="BL136" s="11"/>
      <c r="BM136" s="11"/>
      <c r="BN136" s="10">
        <v>46303.625</v>
      </c>
      <c r="BO136" s="11"/>
      <c r="BP136" s="11"/>
      <c r="BQ136" s="11"/>
      <c r="BR136" s="11"/>
      <c r="BS136" s="11"/>
      <c r="BT136" s="11"/>
      <c r="BU136" s="11"/>
      <c r="BV136" s="2"/>
      <c r="BW136" s="11"/>
    </row>
    <row r="137" spans="1:75" ht="30" x14ac:dyDescent="0.25">
      <c r="A137" s="2">
        <v>6200135</v>
      </c>
      <c r="B137" s="10">
        <v>46303.805902777778</v>
      </c>
      <c r="C137" s="11" t="s">
        <v>82</v>
      </c>
      <c r="D137" s="11"/>
      <c r="E137" s="11" t="s">
        <v>83</v>
      </c>
      <c r="F137" s="11"/>
      <c r="G137" s="11" t="s">
        <v>592</v>
      </c>
      <c r="H137" s="3"/>
      <c r="I137" s="11" t="s">
        <v>75</v>
      </c>
      <c r="J137" s="11"/>
      <c r="K137" s="11"/>
      <c r="L137" s="11"/>
      <c r="M137" s="11"/>
      <c r="N137" s="2">
        <v>1.25</v>
      </c>
      <c r="O137" s="2"/>
      <c r="P137" s="2"/>
      <c r="Q137" s="2"/>
      <c r="R137" s="11"/>
      <c r="S137" s="11" t="s">
        <v>227</v>
      </c>
      <c r="T137" s="11" t="s">
        <v>85</v>
      </c>
      <c r="U137" s="11"/>
      <c r="V137" s="11"/>
      <c r="W137" s="11"/>
      <c r="X137" s="11"/>
      <c r="Y137" s="11"/>
      <c r="Z137" s="11"/>
      <c r="AA137" s="11"/>
      <c r="AB137" s="9"/>
      <c r="AC137" s="2"/>
      <c r="AD137" s="9"/>
      <c r="AE137" s="2"/>
      <c r="AF137" s="9"/>
      <c r="AG137" s="10"/>
      <c r="AH137" s="11"/>
      <c r="AI137" s="11" t="s">
        <v>86</v>
      </c>
      <c r="AJ137" s="11"/>
      <c r="AK137" s="2"/>
      <c r="AL137" s="11"/>
      <c r="AM137" s="11"/>
      <c r="AN137" s="11"/>
      <c r="AO137" s="2"/>
      <c r="AP137" s="3"/>
      <c r="AQ137" s="11"/>
      <c r="AR137" s="3"/>
      <c r="AS137" s="2"/>
      <c r="AT137" s="11"/>
      <c r="AU137" s="2"/>
      <c r="AV137" s="2"/>
      <c r="AW137" s="2"/>
      <c r="AX137" s="11"/>
      <c r="AY137" s="11"/>
      <c r="AZ137" s="9"/>
      <c r="BA137" s="2">
        <v>1875</v>
      </c>
      <c r="BB137" s="11"/>
      <c r="BC137" s="11"/>
      <c r="BD137" s="11"/>
      <c r="BE137" s="11"/>
      <c r="BF137" s="11"/>
      <c r="BG137" s="11"/>
      <c r="BH137" s="11"/>
      <c r="BI137" s="11"/>
      <c r="BJ137" s="11" t="s">
        <v>87</v>
      </c>
      <c r="BK137" s="10">
        <v>46303.805902777778</v>
      </c>
      <c r="BL137" s="11"/>
      <c r="BM137" s="11"/>
      <c r="BN137" s="10">
        <v>46303.625</v>
      </c>
      <c r="BO137" s="11"/>
      <c r="BP137" s="11"/>
      <c r="BQ137" s="11"/>
      <c r="BR137" s="11"/>
      <c r="BS137" s="11"/>
      <c r="BT137" s="11"/>
      <c r="BU137" s="11"/>
      <c r="BV137" s="2"/>
      <c r="BW137" s="11"/>
    </row>
    <row r="138" spans="1:75" ht="30" x14ac:dyDescent="0.25">
      <c r="A138" s="2">
        <v>6200136</v>
      </c>
      <c r="B138" s="10">
        <v>46303.805902777778</v>
      </c>
      <c r="C138" s="11" t="s">
        <v>82</v>
      </c>
      <c r="D138" s="11"/>
      <c r="E138" s="11" t="s">
        <v>88</v>
      </c>
      <c r="F138" s="11"/>
      <c r="G138" s="11" t="s">
        <v>89</v>
      </c>
      <c r="H138" s="3"/>
      <c r="I138" s="11" t="s">
        <v>90</v>
      </c>
      <c r="J138" s="11"/>
      <c r="K138" s="11"/>
      <c r="L138" s="11"/>
      <c r="M138" s="11"/>
      <c r="N138" s="2">
        <v>1.25</v>
      </c>
      <c r="O138" s="2"/>
      <c r="P138" s="2"/>
      <c r="Q138" s="2"/>
      <c r="R138" s="11"/>
      <c r="S138" s="11" t="s">
        <v>228</v>
      </c>
      <c r="T138" s="11" t="s">
        <v>85</v>
      </c>
      <c r="U138" s="11"/>
      <c r="V138" s="11"/>
      <c r="W138" s="11"/>
      <c r="X138" s="11"/>
      <c r="Y138" s="11"/>
      <c r="Z138" s="11"/>
      <c r="AA138" s="11"/>
      <c r="AB138" s="9"/>
      <c r="AC138" s="2"/>
      <c r="AD138" s="9"/>
      <c r="AE138" s="2"/>
      <c r="AF138" s="9"/>
      <c r="AG138" s="10"/>
      <c r="AH138" s="11"/>
      <c r="AI138" s="11" t="s">
        <v>86</v>
      </c>
      <c r="AJ138" s="11"/>
      <c r="AK138" s="2"/>
      <c r="AL138" s="11"/>
      <c r="AM138" s="11"/>
      <c r="AN138" s="11"/>
      <c r="AO138" s="2"/>
      <c r="AP138" s="3"/>
      <c r="AQ138" s="11"/>
      <c r="AR138" s="3"/>
      <c r="AS138" s="2"/>
      <c r="AT138" s="11"/>
      <c r="AU138" s="2"/>
      <c r="AV138" s="2"/>
      <c r="AW138" s="2"/>
      <c r="AX138" s="11"/>
      <c r="AY138" s="11"/>
      <c r="AZ138" s="9"/>
      <c r="BA138" s="2">
        <v>1875</v>
      </c>
      <c r="BB138" s="11"/>
      <c r="BC138" s="11"/>
      <c r="BD138" s="11"/>
      <c r="BE138" s="11"/>
      <c r="BF138" s="11"/>
      <c r="BG138" s="11"/>
      <c r="BH138" s="11"/>
      <c r="BI138" s="11"/>
      <c r="BJ138" s="11" t="s">
        <v>87</v>
      </c>
      <c r="BK138" s="10">
        <v>46303.805902777778</v>
      </c>
      <c r="BL138" s="11"/>
      <c r="BM138" s="11"/>
      <c r="BN138" s="10">
        <v>46303.625</v>
      </c>
      <c r="BO138" s="11"/>
      <c r="BP138" s="11"/>
      <c r="BQ138" s="11"/>
      <c r="BR138" s="11"/>
      <c r="BS138" s="11"/>
      <c r="BT138" s="11"/>
      <c r="BU138" s="11"/>
      <c r="BV138" s="2"/>
      <c r="BW138" s="11"/>
    </row>
    <row r="139" spans="1:75" ht="30" x14ac:dyDescent="0.25">
      <c r="A139" s="2">
        <v>6200137</v>
      </c>
      <c r="B139" s="10">
        <v>46303.805902777778</v>
      </c>
      <c r="C139" s="11" t="s">
        <v>82</v>
      </c>
      <c r="D139" s="11"/>
      <c r="E139" s="11" t="s">
        <v>92</v>
      </c>
      <c r="F139" s="11"/>
      <c r="G139" s="2">
        <v>470123456</v>
      </c>
      <c r="H139" s="3"/>
      <c r="I139" s="11" t="s">
        <v>75</v>
      </c>
      <c r="J139" s="11"/>
      <c r="K139" s="11"/>
      <c r="L139" s="11"/>
      <c r="M139" s="11"/>
      <c r="N139" s="2">
        <v>1.25</v>
      </c>
      <c r="O139" s="2"/>
      <c r="P139" s="2"/>
      <c r="Q139" s="2"/>
      <c r="R139" s="11"/>
      <c r="S139" s="11" t="s">
        <v>229</v>
      </c>
      <c r="T139" s="11" t="s">
        <v>85</v>
      </c>
      <c r="U139" s="11"/>
      <c r="V139" s="11"/>
      <c r="W139" s="11"/>
      <c r="X139" s="11"/>
      <c r="Y139" s="11"/>
      <c r="Z139" s="11"/>
      <c r="AA139" s="11"/>
      <c r="AB139" s="9"/>
      <c r="AC139" s="2"/>
      <c r="AD139" s="9"/>
      <c r="AE139" s="2"/>
      <c r="AF139" s="9"/>
      <c r="AG139" s="10"/>
      <c r="AH139" s="11"/>
      <c r="AI139" s="11" t="s">
        <v>86</v>
      </c>
      <c r="AJ139" s="11"/>
      <c r="AK139" s="2"/>
      <c r="AL139" s="11"/>
      <c r="AM139" s="11"/>
      <c r="AN139" s="11"/>
      <c r="AO139" s="2"/>
      <c r="AP139" s="3"/>
      <c r="AQ139" s="11"/>
      <c r="AR139" s="3"/>
      <c r="AS139" s="2"/>
      <c r="AT139" s="11"/>
      <c r="AU139" s="2"/>
      <c r="AV139" s="2"/>
      <c r="AW139" s="2"/>
      <c r="AX139" s="11"/>
      <c r="AY139" s="11"/>
      <c r="AZ139" s="9"/>
      <c r="BA139" s="2">
        <v>1875</v>
      </c>
      <c r="BB139" s="11"/>
      <c r="BC139" s="11"/>
      <c r="BD139" s="11"/>
      <c r="BE139" s="11"/>
      <c r="BF139" s="11"/>
      <c r="BG139" s="11"/>
      <c r="BH139" s="11"/>
      <c r="BI139" s="11"/>
      <c r="BJ139" s="11" t="s">
        <v>87</v>
      </c>
      <c r="BK139" s="10">
        <v>46303.805902777778</v>
      </c>
      <c r="BL139" s="11"/>
      <c r="BM139" s="11"/>
      <c r="BN139" s="10">
        <v>46303.625</v>
      </c>
      <c r="BO139" s="11"/>
      <c r="BP139" s="11"/>
      <c r="BQ139" s="11"/>
      <c r="BR139" s="11"/>
      <c r="BS139" s="11"/>
      <c r="BT139" s="11"/>
      <c r="BU139" s="11"/>
      <c r="BV139" s="2"/>
      <c r="BW139" s="11"/>
    </row>
    <row r="140" spans="1:75" ht="30" x14ac:dyDescent="0.25">
      <c r="A140" s="2">
        <v>6200138</v>
      </c>
      <c r="B140" s="10">
        <v>46303.805902777778</v>
      </c>
      <c r="C140" s="11" t="s">
        <v>82</v>
      </c>
      <c r="D140" s="11"/>
      <c r="E140" s="11" t="s">
        <v>83</v>
      </c>
      <c r="F140" s="11"/>
      <c r="G140" s="11" t="s">
        <v>94</v>
      </c>
      <c r="H140" s="3"/>
      <c r="I140" s="11" t="s">
        <v>90</v>
      </c>
      <c r="J140" s="11"/>
      <c r="K140" s="11"/>
      <c r="L140" s="11"/>
      <c r="M140" s="11"/>
      <c r="N140" s="2">
        <v>1.25</v>
      </c>
      <c r="O140" s="2"/>
      <c r="P140" s="2"/>
      <c r="Q140" s="2"/>
      <c r="R140" s="11"/>
      <c r="S140" s="11" t="s">
        <v>230</v>
      </c>
      <c r="T140" s="11" t="s">
        <v>85</v>
      </c>
      <c r="U140" s="11"/>
      <c r="V140" s="11"/>
      <c r="W140" s="11"/>
      <c r="X140" s="11"/>
      <c r="Y140" s="11"/>
      <c r="Z140" s="11"/>
      <c r="AA140" s="11"/>
      <c r="AB140" s="9"/>
      <c r="AC140" s="2"/>
      <c r="AD140" s="9"/>
      <c r="AE140" s="2"/>
      <c r="AF140" s="9"/>
      <c r="AG140" s="10"/>
      <c r="AH140" s="11"/>
      <c r="AI140" s="11" t="s">
        <v>86</v>
      </c>
      <c r="AJ140" s="11"/>
      <c r="AK140" s="2"/>
      <c r="AL140" s="11"/>
      <c r="AM140" s="11"/>
      <c r="AN140" s="11"/>
      <c r="AO140" s="2"/>
      <c r="AP140" s="3"/>
      <c r="AQ140" s="11"/>
      <c r="AR140" s="3"/>
      <c r="AS140" s="2"/>
      <c r="AT140" s="11"/>
      <c r="AU140" s="2"/>
      <c r="AV140" s="2"/>
      <c r="AW140" s="2"/>
      <c r="AX140" s="11"/>
      <c r="AY140" s="11"/>
      <c r="AZ140" s="9"/>
      <c r="BA140" s="2">
        <v>1875</v>
      </c>
      <c r="BB140" s="11"/>
      <c r="BC140" s="11"/>
      <c r="BD140" s="11"/>
      <c r="BE140" s="11"/>
      <c r="BF140" s="11"/>
      <c r="BG140" s="11"/>
      <c r="BH140" s="11"/>
      <c r="BI140" s="11"/>
      <c r="BJ140" s="11" t="s">
        <v>87</v>
      </c>
      <c r="BK140" s="10">
        <v>46303.805902777778</v>
      </c>
      <c r="BL140" s="11"/>
      <c r="BM140" s="11"/>
      <c r="BN140" s="10">
        <v>46303.625</v>
      </c>
      <c r="BO140" s="11"/>
      <c r="BP140" s="11"/>
      <c r="BQ140" s="11"/>
      <c r="BR140" s="11"/>
      <c r="BS140" s="11"/>
      <c r="BT140" s="11"/>
      <c r="BU140" s="11"/>
      <c r="BV140" s="2"/>
      <c r="BW140" s="11"/>
    </row>
    <row r="141" spans="1:75" ht="30" x14ac:dyDescent="0.25">
      <c r="A141" s="2">
        <v>6200139</v>
      </c>
      <c r="B141" s="10">
        <v>46303.805902777778</v>
      </c>
      <c r="C141" s="11" t="s">
        <v>82</v>
      </c>
      <c r="D141" s="11"/>
      <c r="E141" s="11" t="s">
        <v>88</v>
      </c>
      <c r="F141" s="11"/>
      <c r="G141" s="11" t="s">
        <v>593</v>
      </c>
      <c r="H141" s="3"/>
      <c r="I141" s="11" t="s">
        <v>75</v>
      </c>
      <c r="J141" s="11"/>
      <c r="K141" s="11"/>
      <c r="L141" s="11"/>
      <c r="M141" s="11"/>
      <c r="N141" s="2">
        <v>1.25</v>
      </c>
      <c r="O141" s="2"/>
      <c r="P141" s="2"/>
      <c r="Q141" s="2"/>
      <c r="R141" s="11"/>
      <c r="S141" s="11" t="s">
        <v>231</v>
      </c>
      <c r="T141" s="11" t="s">
        <v>85</v>
      </c>
      <c r="U141" s="11"/>
      <c r="V141" s="11"/>
      <c r="W141" s="11"/>
      <c r="X141" s="11"/>
      <c r="Y141" s="11"/>
      <c r="Z141" s="11"/>
      <c r="AA141" s="11"/>
      <c r="AB141" s="9"/>
      <c r="AC141" s="2"/>
      <c r="AD141" s="9"/>
      <c r="AE141" s="2"/>
      <c r="AF141" s="9"/>
      <c r="AG141" s="10"/>
      <c r="AH141" s="11"/>
      <c r="AI141" s="11" t="s">
        <v>86</v>
      </c>
      <c r="AJ141" s="11"/>
      <c r="AK141" s="2"/>
      <c r="AL141" s="11"/>
      <c r="AM141" s="11"/>
      <c r="AN141" s="11"/>
      <c r="AO141" s="2"/>
      <c r="AP141" s="3"/>
      <c r="AQ141" s="11"/>
      <c r="AR141" s="3"/>
      <c r="AS141" s="2"/>
      <c r="AT141" s="11"/>
      <c r="AU141" s="2"/>
      <c r="AV141" s="2"/>
      <c r="AW141" s="2"/>
      <c r="AX141" s="11"/>
      <c r="AY141" s="11"/>
      <c r="AZ141" s="9"/>
      <c r="BA141" s="2">
        <v>1875</v>
      </c>
      <c r="BB141" s="11"/>
      <c r="BC141" s="11"/>
      <c r="BD141" s="11"/>
      <c r="BE141" s="11"/>
      <c r="BF141" s="11"/>
      <c r="BG141" s="11"/>
      <c r="BH141" s="11"/>
      <c r="BI141" s="11"/>
      <c r="BJ141" s="11" t="s">
        <v>87</v>
      </c>
      <c r="BK141" s="10">
        <v>46303.805902777778</v>
      </c>
      <c r="BL141" s="11"/>
      <c r="BM141" s="11"/>
      <c r="BN141" s="10">
        <v>46303.625</v>
      </c>
      <c r="BO141" s="11"/>
      <c r="BP141" s="11"/>
      <c r="BQ141" s="11"/>
      <c r="BR141" s="11"/>
      <c r="BS141" s="11"/>
      <c r="BT141" s="11"/>
      <c r="BU141" s="11"/>
      <c r="BV141" s="2"/>
      <c r="BW141" s="11"/>
    </row>
    <row r="142" spans="1:75" ht="30" x14ac:dyDescent="0.25">
      <c r="A142" s="2">
        <v>6200140</v>
      </c>
      <c r="B142" s="10">
        <v>46303.805902777778</v>
      </c>
      <c r="C142" s="11" t="s">
        <v>82</v>
      </c>
      <c r="D142" s="11"/>
      <c r="E142" s="11" t="s">
        <v>92</v>
      </c>
      <c r="F142" s="11"/>
      <c r="G142" s="11" t="s">
        <v>592</v>
      </c>
      <c r="H142" s="3"/>
      <c r="I142" s="11" t="s">
        <v>75</v>
      </c>
      <c r="J142" s="11"/>
      <c r="K142" s="11"/>
      <c r="L142" s="11"/>
      <c r="M142" s="11"/>
      <c r="N142" s="2">
        <v>1.25</v>
      </c>
      <c r="O142" s="2"/>
      <c r="P142" s="2"/>
      <c r="Q142" s="2"/>
      <c r="R142" s="11"/>
      <c r="S142" s="11" t="s">
        <v>232</v>
      </c>
      <c r="T142" s="11" t="s">
        <v>85</v>
      </c>
      <c r="U142" s="11"/>
      <c r="V142" s="11"/>
      <c r="W142" s="11"/>
      <c r="X142" s="11"/>
      <c r="Y142" s="11"/>
      <c r="Z142" s="11"/>
      <c r="AA142" s="11"/>
      <c r="AB142" s="9"/>
      <c r="AC142" s="2"/>
      <c r="AD142" s="9"/>
      <c r="AE142" s="2"/>
      <c r="AF142" s="9"/>
      <c r="AG142" s="10"/>
      <c r="AH142" s="11"/>
      <c r="AI142" s="11" t="s">
        <v>86</v>
      </c>
      <c r="AJ142" s="11"/>
      <c r="AK142" s="2"/>
      <c r="AL142" s="11"/>
      <c r="AM142" s="11"/>
      <c r="AN142" s="11"/>
      <c r="AO142" s="2"/>
      <c r="AP142" s="3"/>
      <c r="AQ142" s="11"/>
      <c r="AR142" s="3"/>
      <c r="AS142" s="2"/>
      <c r="AT142" s="11"/>
      <c r="AU142" s="2"/>
      <c r="AV142" s="2"/>
      <c r="AW142" s="2"/>
      <c r="AX142" s="11"/>
      <c r="AY142" s="11"/>
      <c r="AZ142" s="9"/>
      <c r="BA142" s="2">
        <v>1875</v>
      </c>
      <c r="BB142" s="11"/>
      <c r="BC142" s="11"/>
      <c r="BD142" s="11"/>
      <c r="BE142" s="11"/>
      <c r="BF142" s="11"/>
      <c r="BG142" s="11"/>
      <c r="BH142" s="11"/>
      <c r="BI142" s="11"/>
      <c r="BJ142" s="11" t="s">
        <v>87</v>
      </c>
      <c r="BK142" s="10">
        <v>46303.805902777778</v>
      </c>
      <c r="BL142" s="11"/>
      <c r="BM142" s="11"/>
      <c r="BN142" s="10">
        <v>46303.625</v>
      </c>
      <c r="BO142" s="11"/>
      <c r="BP142" s="11"/>
      <c r="BQ142" s="11"/>
      <c r="BR142" s="11"/>
      <c r="BS142" s="11"/>
      <c r="BT142" s="11"/>
      <c r="BU142" s="11"/>
      <c r="BV142" s="2"/>
      <c r="BW142" s="11"/>
    </row>
    <row r="143" spans="1:75" ht="30" x14ac:dyDescent="0.25">
      <c r="A143" s="2">
        <v>6200141</v>
      </c>
      <c r="B143" s="10">
        <v>46303.805902777778</v>
      </c>
      <c r="C143" s="11" t="s">
        <v>82</v>
      </c>
      <c r="D143" s="11"/>
      <c r="E143" s="11" t="s">
        <v>83</v>
      </c>
      <c r="F143" s="11"/>
      <c r="G143" s="11" t="s">
        <v>89</v>
      </c>
      <c r="H143" s="3"/>
      <c r="I143" s="11" t="s">
        <v>90</v>
      </c>
      <c r="J143" s="11"/>
      <c r="K143" s="11"/>
      <c r="L143" s="11"/>
      <c r="M143" s="11"/>
      <c r="N143" s="2">
        <v>1.25</v>
      </c>
      <c r="O143" s="2"/>
      <c r="P143" s="2"/>
      <c r="Q143" s="2"/>
      <c r="R143" s="11"/>
      <c r="S143" s="11" t="s">
        <v>233</v>
      </c>
      <c r="T143" s="11" t="s">
        <v>85</v>
      </c>
      <c r="U143" s="11"/>
      <c r="V143" s="11"/>
      <c r="W143" s="11"/>
      <c r="X143" s="11"/>
      <c r="Y143" s="11"/>
      <c r="Z143" s="11"/>
      <c r="AA143" s="11"/>
      <c r="AB143" s="9"/>
      <c r="AC143" s="2"/>
      <c r="AD143" s="9"/>
      <c r="AE143" s="2"/>
      <c r="AF143" s="9"/>
      <c r="AG143" s="10"/>
      <c r="AH143" s="11"/>
      <c r="AI143" s="11" t="s">
        <v>86</v>
      </c>
      <c r="AJ143" s="11"/>
      <c r="AK143" s="2"/>
      <c r="AL143" s="11"/>
      <c r="AM143" s="11"/>
      <c r="AN143" s="11"/>
      <c r="AO143" s="2"/>
      <c r="AP143" s="3"/>
      <c r="AQ143" s="11"/>
      <c r="AR143" s="3"/>
      <c r="AS143" s="2"/>
      <c r="AT143" s="11"/>
      <c r="AU143" s="2"/>
      <c r="AV143" s="2"/>
      <c r="AW143" s="2"/>
      <c r="AX143" s="11"/>
      <c r="AY143" s="11"/>
      <c r="AZ143" s="9"/>
      <c r="BA143" s="2">
        <v>1875</v>
      </c>
      <c r="BB143" s="11"/>
      <c r="BC143" s="11"/>
      <c r="BD143" s="11"/>
      <c r="BE143" s="11"/>
      <c r="BF143" s="11"/>
      <c r="BG143" s="11"/>
      <c r="BH143" s="11"/>
      <c r="BI143" s="11"/>
      <c r="BJ143" s="11" t="s">
        <v>87</v>
      </c>
      <c r="BK143" s="10">
        <v>46303.805902777778</v>
      </c>
      <c r="BL143" s="11"/>
      <c r="BM143" s="11"/>
      <c r="BN143" s="10">
        <v>46303.625</v>
      </c>
      <c r="BO143" s="11"/>
      <c r="BP143" s="11"/>
      <c r="BQ143" s="11"/>
      <c r="BR143" s="11"/>
      <c r="BS143" s="11"/>
      <c r="BT143" s="11"/>
      <c r="BU143" s="11"/>
      <c r="BV143" s="2"/>
      <c r="BW143" s="11"/>
    </row>
    <row r="144" spans="1:75" ht="30" x14ac:dyDescent="0.25">
      <c r="A144" s="2">
        <v>6200142</v>
      </c>
      <c r="B144" s="10">
        <v>46303.805902777778</v>
      </c>
      <c r="C144" s="11" t="s">
        <v>82</v>
      </c>
      <c r="D144" s="11"/>
      <c r="E144" s="11" t="s">
        <v>88</v>
      </c>
      <c r="F144" s="11"/>
      <c r="G144" s="2">
        <v>470123456</v>
      </c>
      <c r="H144" s="3"/>
      <c r="I144" s="11" t="s">
        <v>75</v>
      </c>
      <c r="J144" s="11"/>
      <c r="K144" s="11"/>
      <c r="L144" s="11"/>
      <c r="M144" s="11"/>
      <c r="N144" s="2">
        <v>1.25</v>
      </c>
      <c r="O144" s="2"/>
      <c r="P144" s="2"/>
      <c r="Q144" s="2"/>
      <c r="R144" s="11"/>
      <c r="S144" s="11" t="s">
        <v>234</v>
      </c>
      <c r="T144" s="11" t="s">
        <v>85</v>
      </c>
      <c r="U144" s="11"/>
      <c r="V144" s="11"/>
      <c r="W144" s="11"/>
      <c r="X144" s="11"/>
      <c r="Y144" s="11"/>
      <c r="Z144" s="11"/>
      <c r="AA144" s="11"/>
      <c r="AB144" s="9"/>
      <c r="AC144" s="2"/>
      <c r="AD144" s="9"/>
      <c r="AE144" s="2"/>
      <c r="AF144" s="9"/>
      <c r="AG144" s="10"/>
      <c r="AH144" s="11"/>
      <c r="AI144" s="11" t="s">
        <v>86</v>
      </c>
      <c r="AJ144" s="11"/>
      <c r="AK144" s="2"/>
      <c r="AL144" s="11"/>
      <c r="AM144" s="11"/>
      <c r="AN144" s="11"/>
      <c r="AO144" s="2"/>
      <c r="AP144" s="3"/>
      <c r="AQ144" s="11"/>
      <c r="AR144" s="3"/>
      <c r="AS144" s="2"/>
      <c r="AT144" s="11"/>
      <c r="AU144" s="2"/>
      <c r="AV144" s="2"/>
      <c r="AW144" s="2"/>
      <c r="AX144" s="11"/>
      <c r="AY144" s="11"/>
      <c r="AZ144" s="9"/>
      <c r="BA144" s="2">
        <v>1875</v>
      </c>
      <c r="BB144" s="11"/>
      <c r="BC144" s="11"/>
      <c r="BD144" s="11"/>
      <c r="BE144" s="11"/>
      <c r="BF144" s="11"/>
      <c r="BG144" s="11"/>
      <c r="BH144" s="11"/>
      <c r="BI144" s="11"/>
      <c r="BJ144" s="11" t="s">
        <v>87</v>
      </c>
      <c r="BK144" s="10">
        <v>46303.805902777778</v>
      </c>
      <c r="BL144" s="11"/>
      <c r="BM144" s="11"/>
      <c r="BN144" s="10">
        <v>46303.625</v>
      </c>
      <c r="BO144" s="11"/>
      <c r="BP144" s="11"/>
      <c r="BQ144" s="11"/>
      <c r="BR144" s="11"/>
      <c r="BS144" s="11"/>
      <c r="BT144" s="11"/>
      <c r="BU144" s="11"/>
      <c r="BV144" s="2"/>
      <c r="BW144" s="11"/>
    </row>
    <row r="145" spans="1:75" ht="30" x14ac:dyDescent="0.25">
      <c r="A145" s="2">
        <v>6200143</v>
      </c>
      <c r="B145" s="10">
        <v>46303.805902777778</v>
      </c>
      <c r="C145" s="11" t="s">
        <v>82</v>
      </c>
      <c r="D145" s="11"/>
      <c r="E145" s="11" t="s">
        <v>92</v>
      </c>
      <c r="F145" s="11"/>
      <c r="G145" s="11" t="s">
        <v>94</v>
      </c>
      <c r="H145" s="3"/>
      <c r="I145" s="11" t="s">
        <v>90</v>
      </c>
      <c r="J145" s="11"/>
      <c r="K145" s="11"/>
      <c r="L145" s="11"/>
      <c r="M145" s="11"/>
      <c r="N145" s="2">
        <v>1.25</v>
      </c>
      <c r="O145" s="2"/>
      <c r="P145" s="2"/>
      <c r="Q145" s="2"/>
      <c r="R145" s="11"/>
      <c r="S145" s="11" t="s">
        <v>235</v>
      </c>
      <c r="T145" s="11" t="s">
        <v>85</v>
      </c>
      <c r="U145" s="11"/>
      <c r="V145" s="11"/>
      <c r="W145" s="11"/>
      <c r="X145" s="11"/>
      <c r="Y145" s="11"/>
      <c r="Z145" s="11"/>
      <c r="AA145" s="11"/>
      <c r="AB145" s="9"/>
      <c r="AC145" s="2"/>
      <c r="AD145" s="9"/>
      <c r="AE145" s="2"/>
      <c r="AF145" s="9"/>
      <c r="AG145" s="10"/>
      <c r="AH145" s="11"/>
      <c r="AI145" s="11" t="s">
        <v>86</v>
      </c>
      <c r="AJ145" s="11"/>
      <c r="AK145" s="2"/>
      <c r="AL145" s="11"/>
      <c r="AM145" s="11"/>
      <c r="AN145" s="11"/>
      <c r="AO145" s="2"/>
      <c r="AP145" s="3"/>
      <c r="AQ145" s="11"/>
      <c r="AR145" s="3"/>
      <c r="AS145" s="2"/>
      <c r="AT145" s="11"/>
      <c r="AU145" s="2"/>
      <c r="AV145" s="2"/>
      <c r="AW145" s="2"/>
      <c r="AX145" s="11"/>
      <c r="AY145" s="11"/>
      <c r="AZ145" s="9"/>
      <c r="BA145" s="2">
        <v>1875</v>
      </c>
      <c r="BB145" s="11"/>
      <c r="BC145" s="11"/>
      <c r="BD145" s="11"/>
      <c r="BE145" s="11"/>
      <c r="BF145" s="11"/>
      <c r="BG145" s="11"/>
      <c r="BH145" s="11"/>
      <c r="BI145" s="11"/>
      <c r="BJ145" s="11" t="s">
        <v>87</v>
      </c>
      <c r="BK145" s="10">
        <v>46303.805902777778</v>
      </c>
      <c r="BL145" s="11"/>
      <c r="BM145" s="11"/>
      <c r="BN145" s="10">
        <v>46303.625</v>
      </c>
      <c r="BO145" s="11"/>
      <c r="BP145" s="11"/>
      <c r="BQ145" s="11"/>
      <c r="BR145" s="11"/>
      <c r="BS145" s="11"/>
      <c r="BT145" s="11"/>
      <c r="BU145" s="11"/>
      <c r="BV145" s="2"/>
      <c r="BW145" s="11"/>
    </row>
    <row r="146" spans="1:75" ht="30" x14ac:dyDescent="0.25">
      <c r="A146" s="2">
        <v>6200144</v>
      </c>
      <c r="B146" s="10">
        <v>46303.805902777778</v>
      </c>
      <c r="C146" s="11" t="s">
        <v>82</v>
      </c>
      <c r="D146" s="11"/>
      <c r="E146" s="11" t="s">
        <v>83</v>
      </c>
      <c r="F146" s="11"/>
      <c r="G146" s="11" t="s">
        <v>593</v>
      </c>
      <c r="H146" s="3"/>
      <c r="I146" s="11" t="s">
        <v>75</v>
      </c>
      <c r="J146" s="11"/>
      <c r="K146" s="11"/>
      <c r="L146" s="11"/>
      <c r="M146" s="11"/>
      <c r="N146" s="2">
        <v>1.25</v>
      </c>
      <c r="O146" s="2"/>
      <c r="P146" s="2"/>
      <c r="Q146" s="2"/>
      <c r="R146" s="11"/>
      <c r="S146" s="11" t="s">
        <v>236</v>
      </c>
      <c r="T146" s="11" t="s">
        <v>85</v>
      </c>
      <c r="U146" s="11"/>
      <c r="V146" s="11"/>
      <c r="W146" s="11"/>
      <c r="X146" s="11"/>
      <c r="Y146" s="11"/>
      <c r="Z146" s="11"/>
      <c r="AA146" s="11"/>
      <c r="AB146" s="9"/>
      <c r="AC146" s="2"/>
      <c r="AD146" s="9"/>
      <c r="AE146" s="2"/>
      <c r="AF146" s="9"/>
      <c r="AG146" s="10"/>
      <c r="AH146" s="11"/>
      <c r="AI146" s="11" t="s">
        <v>86</v>
      </c>
      <c r="AJ146" s="11"/>
      <c r="AK146" s="2"/>
      <c r="AL146" s="11"/>
      <c r="AM146" s="11"/>
      <c r="AN146" s="11"/>
      <c r="AO146" s="2"/>
      <c r="AP146" s="3"/>
      <c r="AQ146" s="11"/>
      <c r="AR146" s="3"/>
      <c r="AS146" s="2"/>
      <c r="AT146" s="11"/>
      <c r="AU146" s="2"/>
      <c r="AV146" s="2"/>
      <c r="AW146" s="2"/>
      <c r="AX146" s="11"/>
      <c r="AY146" s="11"/>
      <c r="AZ146" s="9"/>
      <c r="BA146" s="2">
        <v>1875</v>
      </c>
      <c r="BB146" s="11"/>
      <c r="BC146" s="11"/>
      <c r="BD146" s="11"/>
      <c r="BE146" s="11"/>
      <c r="BF146" s="11"/>
      <c r="BG146" s="11"/>
      <c r="BH146" s="11"/>
      <c r="BI146" s="11"/>
      <c r="BJ146" s="11" t="s">
        <v>87</v>
      </c>
      <c r="BK146" s="10">
        <v>46303.805902777778</v>
      </c>
      <c r="BL146" s="11"/>
      <c r="BM146" s="11"/>
      <c r="BN146" s="10">
        <v>46303.625</v>
      </c>
      <c r="BO146" s="11"/>
      <c r="BP146" s="11"/>
      <c r="BQ146" s="11"/>
      <c r="BR146" s="11"/>
      <c r="BS146" s="11"/>
      <c r="BT146" s="11"/>
      <c r="BU146" s="11"/>
      <c r="BV146" s="2"/>
      <c r="BW146" s="11"/>
    </row>
    <row r="147" spans="1:75" ht="30" x14ac:dyDescent="0.25">
      <c r="A147" s="2">
        <v>6200145</v>
      </c>
      <c r="B147" s="10">
        <v>46303.805902777778</v>
      </c>
      <c r="C147" s="11" t="s">
        <v>82</v>
      </c>
      <c r="D147" s="11"/>
      <c r="E147" s="11" t="s">
        <v>88</v>
      </c>
      <c r="F147" s="11"/>
      <c r="G147" s="11" t="s">
        <v>592</v>
      </c>
      <c r="H147" s="3"/>
      <c r="I147" s="11" t="s">
        <v>75</v>
      </c>
      <c r="J147" s="11"/>
      <c r="K147" s="11"/>
      <c r="L147" s="11"/>
      <c r="M147" s="11"/>
      <c r="N147" s="2">
        <v>1.25</v>
      </c>
      <c r="O147" s="2"/>
      <c r="P147" s="2"/>
      <c r="Q147" s="2"/>
      <c r="R147" s="11"/>
      <c r="S147" s="11" t="s">
        <v>237</v>
      </c>
      <c r="T147" s="11" t="s">
        <v>85</v>
      </c>
      <c r="U147" s="11"/>
      <c r="V147" s="11"/>
      <c r="W147" s="11"/>
      <c r="X147" s="11"/>
      <c r="Y147" s="11"/>
      <c r="Z147" s="11"/>
      <c r="AA147" s="11"/>
      <c r="AB147" s="9"/>
      <c r="AC147" s="2"/>
      <c r="AD147" s="9"/>
      <c r="AE147" s="2"/>
      <c r="AF147" s="9"/>
      <c r="AG147" s="10"/>
      <c r="AH147" s="11"/>
      <c r="AI147" s="11" t="s">
        <v>86</v>
      </c>
      <c r="AJ147" s="11"/>
      <c r="AK147" s="2"/>
      <c r="AL147" s="11"/>
      <c r="AM147" s="11"/>
      <c r="AN147" s="11"/>
      <c r="AO147" s="2"/>
      <c r="AP147" s="3"/>
      <c r="AQ147" s="11"/>
      <c r="AR147" s="3"/>
      <c r="AS147" s="2"/>
      <c r="AT147" s="11"/>
      <c r="AU147" s="2"/>
      <c r="AV147" s="2"/>
      <c r="AW147" s="2"/>
      <c r="AX147" s="11"/>
      <c r="AY147" s="11"/>
      <c r="AZ147" s="9"/>
      <c r="BA147" s="2">
        <v>1875</v>
      </c>
      <c r="BB147" s="11"/>
      <c r="BC147" s="11"/>
      <c r="BD147" s="11"/>
      <c r="BE147" s="11"/>
      <c r="BF147" s="11"/>
      <c r="BG147" s="11"/>
      <c r="BH147" s="11"/>
      <c r="BI147" s="11"/>
      <c r="BJ147" s="11" t="s">
        <v>87</v>
      </c>
      <c r="BK147" s="10">
        <v>46303.805902777778</v>
      </c>
      <c r="BL147" s="11"/>
      <c r="BM147" s="11"/>
      <c r="BN147" s="10">
        <v>46303.625</v>
      </c>
      <c r="BO147" s="11"/>
      <c r="BP147" s="11"/>
      <c r="BQ147" s="11"/>
      <c r="BR147" s="11"/>
      <c r="BS147" s="11"/>
      <c r="BT147" s="11"/>
      <c r="BU147" s="11"/>
      <c r="BV147" s="2"/>
      <c r="BW147" s="11"/>
    </row>
    <row r="148" spans="1:75" ht="30" x14ac:dyDescent="0.25">
      <c r="A148" s="2">
        <v>6200146</v>
      </c>
      <c r="B148" s="10">
        <v>46303.805902777778</v>
      </c>
      <c r="C148" s="11" t="s">
        <v>82</v>
      </c>
      <c r="D148" s="11"/>
      <c r="E148" s="11" t="s">
        <v>92</v>
      </c>
      <c r="F148" s="11"/>
      <c r="G148" s="11" t="s">
        <v>89</v>
      </c>
      <c r="H148" s="3"/>
      <c r="I148" s="11" t="s">
        <v>90</v>
      </c>
      <c r="J148" s="11"/>
      <c r="K148" s="11"/>
      <c r="L148" s="11"/>
      <c r="M148" s="11"/>
      <c r="N148" s="2">
        <v>1.25</v>
      </c>
      <c r="O148" s="2"/>
      <c r="P148" s="2"/>
      <c r="Q148" s="2"/>
      <c r="R148" s="11"/>
      <c r="S148" s="11" t="s">
        <v>238</v>
      </c>
      <c r="T148" s="11" t="s">
        <v>85</v>
      </c>
      <c r="U148" s="11"/>
      <c r="V148" s="11"/>
      <c r="W148" s="11"/>
      <c r="X148" s="11"/>
      <c r="Y148" s="11"/>
      <c r="Z148" s="11"/>
      <c r="AA148" s="11"/>
      <c r="AB148" s="9"/>
      <c r="AC148" s="2"/>
      <c r="AD148" s="9"/>
      <c r="AE148" s="2"/>
      <c r="AF148" s="9"/>
      <c r="AG148" s="10"/>
      <c r="AH148" s="11"/>
      <c r="AI148" s="11" t="s">
        <v>86</v>
      </c>
      <c r="AJ148" s="11"/>
      <c r="AK148" s="2"/>
      <c r="AL148" s="11"/>
      <c r="AM148" s="11"/>
      <c r="AN148" s="11"/>
      <c r="AO148" s="2"/>
      <c r="AP148" s="3"/>
      <c r="AQ148" s="11"/>
      <c r="AR148" s="3"/>
      <c r="AS148" s="2"/>
      <c r="AT148" s="11"/>
      <c r="AU148" s="2"/>
      <c r="AV148" s="2"/>
      <c r="AW148" s="2"/>
      <c r="AX148" s="11"/>
      <c r="AY148" s="11"/>
      <c r="AZ148" s="9"/>
      <c r="BA148" s="2">
        <v>1875</v>
      </c>
      <c r="BB148" s="11"/>
      <c r="BC148" s="11"/>
      <c r="BD148" s="11"/>
      <c r="BE148" s="11"/>
      <c r="BF148" s="11"/>
      <c r="BG148" s="11"/>
      <c r="BH148" s="11"/>
      <c r="BI148" s="11"/>
      <c r="BJ148" s="11" t="s">
        <v>87</v>
      </c>
      <c r="BK148" s="10">
        <v>46303.805902777778</v>
      </c>
      <c r="BL148" s="11"/>
      <c r="BM148" s="11"/>
      <c r="BN148" s="10">
        <v>46303.625</v>
      </c>
      <c r="BO148" s="11"/>
      <c r="BP148" s="11"/>
      <c r="BQ148" s="11"/>
      <c r="BR148" s="11"/>
      <c r="BS148" s="11"/>
      <c r="BT148" s="11"/>
      <c r="BU148" s="11"/>
      <c r="BV148" s="2"/>
      <c r="BW148" s="11"/>
    </row>
    <row r="149" spans="1:75" ht="30" x14ac:dyDescent="0.25">
      <c r="A149" s="2">
        <v>6200147</v>
      </c>
      <c r="B149" s="10">
        <v>46303.805902777778</v>
      </c>
      <c r="C149" s="11" t="s">
        <v>82</v>
      </c>
      <c r="D149" s="11"/>
      <c r="E149" s="11" t="s">
        <v>83</v>
      </c>
      <c r="F149" s="11"/>
      <c r="G149" s="2">
        <v>470123456</v>
      </c>
      <c r="H149" s="3"/>
      <c r="I149" s="11" t="s">
        <v>75</v>
      </c>
      <c r="J149" s="11"/>
      <c r="K149" s="11"/>
      <c r="L149" s="11"/>
      <c r="M149" s="11"/>
      <c r="N149" s="2">
        <v>1.25</v>
      </c>
      <c r="O149" s="2"/>
      <c r="P149" s="2"/>
      <c r="Q149" s="2"/>
      <c r="R149" s="11"/>
      <c r="S149" s="11" t="s">
        <v>239</v>
      </c>
      <c r="T149" s="11" t="s">
        <v>85</v>
      </c>
      <c r="U149" s="11"/>
      <c r="V149" s="11"/>
      <c r="W149" s="11"/>
      <c r="X149" s="11"/>
      <c r="Y149" s="11"/>
      <c r="Z149" s="11"/>
      <c r="AA149" s="11"/>
      <c r="AB149" s="9"/>
      <c r="AC149" s="2"/>
      <c r="AD149" s="9"/>
      <c r="AE149" s="2"/>
      <c r="AF149" s="9"/>
      <c r="AG149" s="10"/>
      <c r="AH149" s="11"/>
      <c r="AI149" s="11" t="s">
        <v>86</v>
      </c>
      <c r="AJ149" s="11"/>
      <c r="AK149" s="2"/>
      <c r="AL149" s="11"/>
      <c r="AM149" s="11"/>
      <c r="AN149" s="11"/>
      <c r="AO149" s="2"/>
      <c r="AP149" s="3"/>
      <c r="AQ149" s="11"/>
      <c r="AR149" s="3"/>
      <c r="AS149" s="2"/>
      <c r="AT149" s="11"/>
      <c r="AU149" s="2"/>
      <c r="AV149" s="2"/>
      <c r="AW149" s="2"/>
      <c r="AX149" s="11"/>
      <c r="AY149" s="11"/>
      <c r="AZ149" s="9"/>
      <c r="BA149" s="2">
        <v>1875</v>
      </c>
      <c r="BB149" s="11"/>
      <c r="BC149" s="11"/>
      <c r="BD149" s="11"/>
      <c r="BE149" s="11"/>
      <c r="BF149" s="11"/>
      <c r="BG149" s="11"/>
      <c r="BH149" s="11"/>
      <c r="BI149" s="11"/>
      <c r="BJ149" s="11" t="s">
        <v>87</v>
      </c>
      <c r="BK149" s="10">
        <v>46303.805902777778</v>
      </c>
      <c r="BL149" s="11"/>
      <c r="BM149" s="11"/>
      <c r="BN149" s="10">
        <v>46303.625</v>
      </c>
      <c r="BO149" s="11"/>
      <c r="BP149" s="11"/>
      <c r="BQ149" s="11"/>
      <c r="BR149" s="11"/>
      <c r="BS149" s="11"/>
      <c r="BT149" s="11"/>
      <c r="BU149" s="11"/>
      <c r="BV149" s="2"/>
      <c r="BW149" s="11"/>
    </row>
    <row r="150" spans="1:75" ht="30" x14ac:dyDescent="0.25">
      <c r="A150" s="2">
        <v>6200148</v>
      </c>
      <c r="B150" s="10">
        <v>46303.805902777778</v>
      </c>
      <c r="C150" s="11" t="s">
        <v>82</v>
      </c>
      <c r="D150" s="11"/>
      <c r="E150" s="11" t="s">
        <v>88</v>
      </c>
      <c r="F150" s="11"/>
      <c r="G150" s="11" t="s">
        <v>94</v>
      </c>
      <c r="H150" s="3"/>
      <c r="I150" s="11" t="s">
        <v>90</v>
      </c>
      <c r="J150" s="11"/>
      <c r="K150" s="11"/>
      <c r="L150" s="11"/>
      <c r="M150" s="11"/>
      <c r="N150" s="2">
        <v>1.25</v>
      </c>
      <c r="O150" s="2"/>
      <c r="P150" s="2"/>
      <c r="Q150" s="2"/>
      <c r="R150" s="11"/>
      <c r="S150" s="11" t="s">
        <v>240</v>
      </c>
      <c r="T150" s="11" t="s">
        <v>85</v>
      </c>
      <c r="U150" s="11"/>
      <c r="V150" s="11"/>
      <c r="W150" s="11"/>
      <c r="X150" s="11"/>
      <c r="Y150" s="11"/>
      <c r="Z150" s="11"/>
      <c r="AA150" s="11"/>
      <c r="AB150" s="9"/>
      <c r="AC150" s="2"/>
      <c r="AD150" s="9"/>
      <c r="AE150" s="2"/>
      <c r="AF150" s="9"/>
      <c r="AG150" s="10"/>
      <c r="AH150" s="11"/>
      <c r="AI150" s="11" t="s">
        <v>86</v>
      </c>
      <c r="AJ150" s="11"/>
      <c r="AK150" s="2"/>
      <c r="AL150" s="11"/>
      <c r="AM150" s="11"/>
      <c r="AN150" s="11"/>
      <c r="AO150" s="2"/>
      <c r="AP150" s="3"/>
      <c r="AQ150" s="11"/>
      <c r="AR150" s="3"/>
      <c r="AS150" s="2"/>
      <c r="AT150" s="11"/>
      <c r="AU150" s="2"/>
      <c r="AV150" s="2"/>
      <c r="AW150" s="2"/>
      <c r="AX150" s="11"/>
      <c r="AY150" s="11"/>
      <c r="AZ150" s="9"/>
      <c r="BA150" s="2">
        <v>1875</v>
      </c>
      <c r="BB150" s="11"/>
      <c r="BC150" s="11"/>
      <c r="BD150" s="11"/>
      <c r="BE150" s="11"/>
      <c r="BF150" s="11"/>
      <c r="BG150" s="11"/>
      <c r="BH150" s="11"/>
      <c r="BI150" s="11"/>
      <c r="BJ150" s="11" t="s">
        <v>87</v>
      </c>
      <c r="BK150" s="10">
        <v>46303.805902777778</v>
      </c>
      <c r="BL150" s="11"/>
      <c r="BM150" s="11"/>
      <c r="BN150" s="10">
        <v>46303.625</v>
      </c>
      <c r="BO150" s="11"/>
      <c r="BP150" s="11"/>
      <c r="BQ150" s="11"/>
      <c r="BR150" s="11"/>
      <c r="BS150" s="11"/>
      <c r="BT150" s="11"/>
      <c r="BU150" s="11"/>
      <c r="BV150" s="2"/>
      <c r="BW150" s="11"/>
    </row>
    <row r="151" spans="1:75" ht="30" x14ac:dyDescent="0.25">
      <c r="A151" s="2">
        <v>6200149</v>
      </c>
      <c r="B151" s="10">
        <v>46303.805902777778</v>
      </c>
      <c r="C151" s="11" t="s">
        <v>82</v>
      </c>
      <c r="D151" s="11"/>
      <c r="E151" s="11" t="s">
        <v>92</v>
      </c>
      <c r="F151" s="11"/>
      <c r="G151" s="11" t="s">
        <v>593</v>
      </c>
      <c r="H151" s="3"/>
      <c r="I151" s="11" t="s">
        <v>75</v>
      </c>
      <c r="J151" s="11"/>
      <c r="K151" s="11"/>
      <c r="L151" s="11"/>
      <c r="M151" s="11"/>
      <c r="N151" s="2">
        <v>1.25</v>
      </c>
      <c r="O151" s="2"/>
      <c r="P151" s="2"/>
      <c r="Q151" s="2"/>
      <c r="R151" s="11"/>
      <c r="S151" s="11" t="s">
        <v>241</v>
      </c>
      <c r="T151" s="11" t="s">
        <v>85</v>
      </c>
      <c r="U151" s="11"/>
      <c r="V151" s="11"/>
      <c r="W151" s="11"/>
      <c r="X151" s="11"/>
      <c r="Y151" s="11"/>
      <c r="Z151" s="11"/>
      <c r="AA151" s="11"/>
      <c r="AB151" s="9"/>
      <c r="AC151" s="2"/>
      <c r="AD151" s="9"/>
      <c r="AE151" s="2"/>
      <c r="AF151" s="9"/>
      <c r="AG151" s="10"/>
      <c r="AH151" s="11"/>
      <c r="AI151" s="11" t="s">
        <v>86</v>
      </c>
      <c r="AJ151" s="11"/>
      <c r="AK151" s="2"/>
      <c r="AL151" s="11"/>
      <c r="AM151" s="11"/>
      <c r="AN151" s="11"/>
      <c r="AO151" s="2"/>
      <c r="AP151" s="3"/>
      <c r="AQ151" s="11"/>
      <c r="AR151" s="3"/>
      <c r="AS151" s="2"/>
      <c r="AT151" s="11"/>
      <c r="AU151" s="2"/>
      <c r="AV151" s="2"/>
      <c r="AW151" s="2"/>
      <c r="AX151" s="11"/>
      <c r="AY151" s="11"/>
      <c r="AZ151" s="9"/>
      <c r="BA151" s="2">
        <v>1875</v>
      </c>
      <c r="BB151" s="11"/>
      <c r="BC151" s="11"/>
      <c r="BD151" s="11"/>
      <c r="BE151" s="11"/>
      <c r="BF151" s="11"/>
      <c r="BG151" s="11"/>
      <c r="BH151" s="11"/>
      <c r="BI151" s="11"/>
      <c r="BJ151" s="11" t="s">
        <v>87</v>
      </c>
      <c r="BK151" s="10">
        <v>46303.805902777778</v>
      </c>
      <c r="BL151" s="11"/>
      <c r="BM151" s="11"/>
      <c r="BN151" s="10">
        <v>46303.625</v>
      </c>
      <c r="BO151" s="11"/>
      <c r="BP151" s="11"/>
      <c r="BQ151" s="11"/>
      <c r="BR151" s="11"/>
      <c r="BS151" s="11"/>
      <c r="BT151" s="11"/>
      <c r="BU151" s="11"/>
      <c r="BV151" s="2"/>
      <c r="BW151" s="11"/>
    </row>
    <row r="152" spans="1:75" ht="30" x14ac:dyDescent="0.25">
      <c r="A152" s="2">
        <v>6200150</v>
      </c>
      <c r="B152" s="10">
        <v>46303.805902777778</v>
      </c>
      <c r="C152" s="11" t="s">
        <v>82</v>
      </c>
      <c r="D152" s="11"/>
      <c r="E152" s="11" t="s">
        <v>83</v>
      </c>
      <c r="F152" s="11"/>
      <c r="G152" s="11" t="s">
        <v>592</v>
      </c>
      <c r="H152" s="3"/>
      <c r="I152" s="11" t="s">
        <v>75</v>
      </c>
      <c r="J152" s="11"/>
      <c r="K152" s="11"/>
      <c r="L152" s="11"/>
      <c r="M152" s="11"/>
      <c r="N152" s="2">
        <v>1.25</v>
      </c>
      <c r="O152" s="2"/>
      <c r="P152" s="2"/>
      <c r="Q152" s="2"/>
      <c r="R152" s="11"/>
      <c r="S152" s="11" t="s">
        <v>242</v>
      </c>
      <c r="T152" s="11" t="s">
        <v>85</v>
      </c>
      <c r="U152" s="11"/>
      <c r="V152" s="11"/>
      <c r="W152" s="11"/>
      <c r="X152" s="11"/>
      <c r="Y152" s="11"/>
      <c r="Z152" s="11"/>
      <c r="AA152" s="11"/>
      <c r="AB152" s="9"/>
      <c r="AC152" s="2"/>
      <c r="AD152" s="9"/>
      <c r="AE152" s="2"/>
      <c r="AF152" s="9"/>
      <c r="AG152" s="10"/>
      <c r="AH152" s="11"/>
      <c r="AI152" s="11" t="s">
        <v>86</v>
      </c>
      <c r="AJ152" s="11"/>
      <c r="AK152" s="2"/>
      <c r="AL152" s="11"/>
      <c r="AM152" s="11"/>
      <c r="AN152" s="11"/>
      <c r="AO152" s="2"/>
      <c r="AP152" s="3"/>
      <c r="AQ152" s="11"/>
      <c r="AR152" s="3"/>
      <c r="AS152" s="2"/>
      <c r="AT152" s="11"/>
      <c r="AU152" s="2"/>
      <c r="AV152" s="2"/>
      <c r="AW152" s="2"/>
      <c r="AX152" s="11"/>
      <c r="AY152" s="11"/>
      <c r="AZ152" s="9"/>
      <c r="BA152" s="2">
        <v>1875</v>
      </c>
      <c r="BB152" s="11"/>
      <c r="BC152" s="11"/>
      <c r="BD152" s="11"/>
      <c r="BE152" s="11"/>
      <c r="BF152" s="11"/>
      <c r="BG152" s="11"/>
      <c r="BH152" s="11"/>
      <c r="BI152" s="11"/>
      <c r="BJ152" s="11" t="s">
        <v>87</v>
      </c>
      <c r="BK152" s="10">
        <v>46303.805902777778</v>
      </c>
      <c r="BL152" s="11"/>
      <c r="BM152" s="11"/>
      <c r="BN152" s="10">
        <v>46303.625</v>
      </c>
      <c r="BO152" s="11"/>
      <c r="BP152" s="11"/>
      <c r="BQ152" s="11"/>
      <c r="BR152" s="11"/>
      <c r="BS152" s="11"/>
      <c r="BT152" s="11"/>
      <c r="BU152" s="11"/>
      <c r="BV152" s="2"/>
      <c r="BW152" s="11"/>
    </row>
    <row r="153" spans="1:75" ht="30" x14ac:dyDescent="0.25">
      <c r="A153" s="2">
        <v>6200151</v>
      </c>
      <c r="B153" s="10">
        <v>46303.805902777778</v>
      </c>
      <c r="C153" s="11" t="s">
        <v>82</v>
      </c>
      <c r="D153" s="11"/>
      <c r="E153" s="11" t="s">
        <v>88</v>
      </c>
      <c r="F153" s="11"/>
      <c r="G153" s="11" t="s">
        <v>89</v>
      </c>
      <c r="H153" s="3"/>
      <c r="I153" s="11" t="s">
        <v>90</v>
      </c>
      <c r="J153" s="11"/>
      <c r="K153" s="11"/>
      <c r="L153" s="11"/>
      <c r="M153" s="11"/>
      <c r="N153" s="2">
        <v>1.25</v>
      </c>
      <c r="O153" s="2"/>
      <c r="P153" s="2"/>
      <c r="Q153" s="2"/>
      <c r="R153" s="11"/>
      <c r="S153" s="11" t="s">
        <v>243</v>
      </c>
      <c r="T153" s="11" t="s">
        <v>85</v>
      </c>
      <c r="U153" s="11"/>
      <c r="V153" s="11"/>
      <c r="W153" s="11"/>
      <c r="X153" s="11"/>
      <c r="Y153" s="11"/>
      <c r="Z153" s="11"/>
      <c r="AA153" s="11"/>
      <c r="AB153" s="9"/>
      <c r="AC153" s="2"/>
      <c r="AD153" s="9"/>
      <c r="AE153" s="2"/>
      <c r="AF153" s="9"/>
      <c r="AG153" s="10"/>
      <c r="AH153" s="11"/>
      <c r="AI153" s="11" t="s">
        <v>86</v>
      </c>
      <c r="AJ153" s="11"/>
      <c r="AK153" s="2"/>
      <c r="AL153" s="11"/>
      <c r="AM153" s="11"/>
      <c r="AN153" s="11"/>
      <c r="AO153" s="2"/>
      <c r="AP153" s="3"/>
      <c r="AQ153" s="11"/>
      <c r="AR153" s="3"/>
      <c r="AS153" s="2"/>
      <c r="AT153" s="11"/>
      <c r="AU153" s="2"/>
      <c r="AV153" s="2"/>
      <c r="AW153" s="2"/>
      <c r="AX153" s="11"/>
      <c r="AY153" s="11"/>
      <c r="AZ153" s="9"/>
      <c r="BA153" s="2">
        <v>1875</v>
      </c>
      <c r="BB153" s="11"/>
      <c r="BC153" s="11"/>
      <c r="BD153" s="11"/>
      <c r="BE153" s="11"/>
      <c r="BF153" s="11"/>
      <c r="BG153" s="11"/>
      <c r="BH153" s="11"/>
      <c r="BI153" s="11"/>
      <c r="BJ153" s="11" t="s">
        <v>87</v>
      </c>
      <c r="BK153" s="10">
        <v>46303.805902777778</v>
      </c>
      <c r="BL153" s="11"/>
      <c r="BM153" s="11"/>
      <c r="BN153" s="10">
        <v>46303.625</v>
      </c>
      <c r="BO153" s="11"/>
      <c r="BP153" s="11"/>
      <c r="BQ153" s="11"/>
      <c r="BR153" s="11"/>
      <c r="BS153" s="11"/>
      <c r="BT153" s="11"/>
      <c r="BU153" s="11"/>
      <c r="BV153" s="2"/>
      <c r="BW153" s="11"/>
    </row>
    <row r="154" spans="1:75" ht="30" x14ac:dyDescent="0.25">
      <c r="A154" s="2">
        <v>6200152</v>
      </c>
      <c r="B154" s="10">
        <v>46303.805902777778</v>
      </c>
      <c r="C154" s="11" t="s">
        <v>82</v>
      </c>
      <c r="D154" s="11"/>
      <c r="E154" s="11" t="s">
        <v>92</v>
      </c>
      <c r="F154" s="11"/>
      <c r="G154" s="2">
        <v>470123456</v>
      </c>
      <c r="H154" s="3"/>
      <c r="I154" s="11" t="s">
        <v>75</v>
      </c>
      <c r="J154" s="11"/>
      <c r="K154" s="11"/>
      <c r="L154" s="11"/>
      <c r="M154" s="11"/>
      <c r="N154" s="2">
        <v>1.25</v>
      </c>
      <c r="O154" s="2"/>
      <c r="P154" s="2"/>
      <c r="Q154" s="2"/>
      <c r="R154" s="11"/>
      <c r="S154" s="11" t="s">
        <v>244</v>
      </c>
      <c r="T154" s="11" t="s">
        <v>85</v>
      </c>
      <c r="U154" s="11"/>
      <c r="V154" s="11"/>
      <c r="W154" s="11"/>
      <c r="X154" s="11"/>
      <c r="Y154" s="11"/>
      <c r="Z154" s="11"/>
      <c r="AA154" s="11"/>
      <c r="AB154" s="9"/>
      <c r="AC154" s="2"/>
      <c r="AD154" s="9"/>
      <c r="AE154" s="2"/>
      <c r="AF154" s="9"/>
      <c r="AG154" s="10"/>
      <c r="AH154" s="11"/>
      <c r="AI154" s="11" t="s">
        <v>86</v>
      </c>
      <c r="AJ154" s="11"/>
      <c r="AK154" s="2"/>
      <c r="AL154" s="11"/>
      <c r="AM154" s="11"/>
      <c r="AN154" s="11"/>
      <c r="AO154" s="2"/>
      <c r="AP154" s="3"/>
      <c r="AQ154" s="11"/>
      <c r="AR154" s="3"/>
      <c r="AS154" s="2"/>
      <c r="AT154" s="11"/>
      <c r="AU154" s="2"/>
      <c r="AV154" s="2"/>
      <c r="AW154" s="2"/>
      <c r="AX154" s="11"/>
      <c r="AY154" s="11"/>
      <c r="AZ154" s="9"/>
      <c r="BA154" s="2">
        <v>1875</v>
      </c>
      <c r="BB154" s="11"/>
      <c r="BC154" s="11"/>
      <c r="BD154" s="11"/>
      <c r="BE154" s="11"/>
      <c r="BF154" s="11"/>
      <c r="BG154" s="11"/>
      <c r="BH154" s="11"/>
      <c r="BI154" s="11"/>
      <c r="BJ154" s="11" t="s">
        <v>87</v>
      </c>
      <c r="BK154" s="10">
        <v>46303.805902777778</v>
      </c>
      <c r="BL154" s="11"/>
      <c r="BM154" s="11"/>
      <c r="BN154" s="10">
        <v>46303.625</v>
      </c>
      <c r="BO154" s="11"/>
      <c r="BP154" s="11"/>
      <c r="BQ154" s="11"/>
      <c r="BR154" s="11"/>
      <c r="BS154" s="11"/>
      <c r="BT154" s="11"/>
      <c r="BU154" s="11"/>
      <c r="BV154" s="2"/>
      <c r="BW154" s="11"/>
    </row>
    <row r="155" spans="1:75" ht="30" x14ac:dyDescent="0.25">
      <c r="A155" s="2">
        <v>6200153</v>
      </c>
      <c r="B155" s="10">
        <v>46303.805902777778</v>
      </c>
      <c r="C155" s="11" t="s">
        <v>82</v>
      </c>
      <c r="D155" s="11"/>
      <c r="E155" s="11" t="s">
        <v>83</v>
      </c>
      <c r="F155" s="11"/>
      <c r="G155" s="11" t="s">
        <v>94</v>
      </c>
      <c r="H155" s="3"/>
      <c r="I155" s="11" t="s">
        <v>90</v>
      </c>
      <c r="J155" s="11"/>
      <c r="K155" s="11"/>
      <c r="L155" s="11"/>
      <c r="M155" s="11"/>
      <c r="N155" s="2">
        <v>1.25</v>
      </c>
      <c r="O155" s="2"/>
      <c r="P155" s="2"/>
      <c r="Q155" s="2"/>
      <c r="R155" s="11"/>
      <c r="S155" s="11" t="s">
        <v>245</v>
      </c>
      <c r="T155" s="11" t="s">
        <v>85</v>
      </c>
      <c r="U155" s="11"/>
      <c r="V155" s="11"/>
      <c r="W155" s="11"/>
      <c r="X155" s="11"/>
      <c r="Y155" s="11"/>
      <c r="Z155" s="11"/>
      <c r="AA155" s="11"/>
      <c r="AB155" s="9"/>
      <c r="AC155" s="2"/>
      <c r="AD155" s="9"/>
      <c r="AE155" s="2"/>
      <c r="AF155" s="9"/>
      <c r="AG155" s="10"/>
      <c r="AH155" s="11"/>
      <c r="AI155" s="11" t="s">
        <v>86</v>
      </c>
      <c r="AJ155" s="11"/>
      <c r="AK155" s="2"/>
      <c r="AL155" s="11"/>
      <c r="AM155" s="11"/>
      <c r="AN155" s="11"/>
      <c r="AO155" s="2"/>
      <c r="AP155" s="3"/>
      <c r="AQ155" s="11"/>
      <c r="AR155" s="3"/>
      <c r="AS155" s="2"/>
      <c r="AT155" s="11"/>
      <c r="AU155" s="2"/>
      <c r="AV155" s="2"/>
      <c r="AW155" s="2"/>
      <c r="AX155" s="11"/>
      <c r="AY155" s="11"/>
      <c r="AZ155" s="9"/>
      <c r="BA155" s="2">
        <v>1875</v>
      </c>
      <c r="BB155" s="11"/>
      <c r="BC155" s="11"/>
      <c r="BD155" s="11"/>
      <c r="BE155" s="11"/>
      <c r="BF155" s="11"/>
      <c r="BG155" s="11"/>
      <c r="BH155" s="11"/>
      <c r="BI155" s="11"/>
      <c r="BJ155" s="11" t="s">
        <v>87</v>
      </c>
      <c r="BK155" s="10">
        <v>46303.805902777778</v>
      </c>
      <c r="BL155" s="11"/>
      <c r="BM155" s="11"/>
      <c r="BN155" s="10">
        <v>46303.625</v>
      </c>
      <c r="BO155" s="11"/>
      <c r="BP155" s="11"/>
      <c r="BQ155" s="11"/>
      <c r="BR155" s="11"/>
      <c r="BS155" s="11"/>
      <c r="BT155" s="11"/>
      <c r="BU155" s="11"/>
      <c r="BV155" s="2"/>
      <c r="BW155" s="11"/>
    </row>
    <row r="156" spans="1:75" ht="30" x14ac:dyDescent="0.25">
      <c r="A156" s="2">
        <v>6200154</v>
      </c>
      <c r="B156" s="10">
        <v>46303.805902777778</v>
      </c>
      <c r="C156" s="11" t="s">
        <v>82</v>
      </c>
      <c r="D156" s="11"/>
      <c r="E156" s="11" t="s">
        <v>88</v>
      </c>
      <c r="F156" s="11"/>
      <c r="G156" s="11" t="s">
        <v>593</v>
      </c>
      <c r="H156" s="3"/>
      <c r="I156" s="11" t="s">
        <v>75</v>
      </c>
      <c r="J156" s="11"/>
      <c r="K156" s="11"/>
      <c r="L156" s="11"/>
      <c r="M156" s="11"/>
      <c r="N156" s="2">
        <v>1.25</v>
      </c>
      <c r="O156" s="2"/>
      <c r="P156" s="2"/>
      <c r="Q156" s="2"/>
      <c r="R156" s="11"/>
      <c r="S156" s="11" t="s">
        <v>246</v>
      </c>
      <c r="T156" s="11" t="s">
        <v>85</v>
      </c>
      <c r="U156" s="11"/>
      <c r="V156" s="11"/>
      <c r="W156" s="11"/>
      <c r="X156" s="11"/>
      <c r="Y156" s="11"/>
      <c r="Z156" s="11"/>
      <c r="AA156" s="11"/>
      <c r="AB156" s="9"/>
      <c r="AC156" s="2"/>
      <c r="AD156" s="9"/>
      <c r="AE156" s="2"/>
      <c r="AF156" s="9"/>
      <c r="AG156" s="10"/>
      <c r="AH156" s="11"/>
      <c r="AI156" s="11" t="s">
        <v>86</v>
      </c>
      <c r="AJ156" s="11"/>
      <c r="AK156" s="2"/>
      <c r="AL156" s="11"/>
      <c r="AM156" s="11"/>
      <c r="AN156" s="11"/>
      <c r="AO156" s="2"/>
      <c r="AP156" s="3"/>
      <c r="AQ156" s="11"/>
      <c r="AR156" s="3"/>
      <c r="AS156" s="2"/>
      <c r="AT156" s="11"/>
      <c r="AU156" s="2"/>
      <c r="AV156" s="2"/>
      <c r="AW156" s="2"/>
      <c r="AX156" s="11"/>
      <c r="AY156" s="11"/>
      <c r="AZ156" s="9"/>
      <c r="BA156" s="2">
        <v>1875</v>
      </c>
      <c r="BB156" s="11"/>
      <c r="BC156" s="11"/>
      <c r="BD156" s="11"/>
      <c r="BE156" s="11"/>
      <c r="BF156" s="11"/>
      <c r="BG156" s="11"/>
      <c r="BH156" s="11"/>
      <c r="BI156" s="11"/>
      <c r="BJ156" s="11" t="s">
        <v>87</v>
      </c>
      <c r="BK156" s="10">
        <v>46303.805902777778</v>
      </c>
      <c r="BL156" s="11"/>
      <c r="BM156" s="11"/>
      <c r="BN156" s="10">
        <v>46303.625</v>
      </c>
      <c r="BO156" s="11"/>
      <c r="BP156" s="11"/>
      <c r="BQ156" s="11"/>
      <c r="BR156" s="11"/>
      <c r="BS156" s="11"/>
      <c r="BT156" s="11"/>
      <c r="BU156" s="11"/>
      <c r="BV156" s="2"/>
      <c r="BW156" s="11"/>
    </row>
    <row r="157" spans="1:75" ht="30" x14ac:dyDescent="0.25">
      <c r="A157" s="2">
        <v>6200155</v>
      </c>
      <c r="B157" s="10">
        <v>46303.805902777778</v>
      </c>
      <c r="C157" s="11" t="s">
        <v>82</v>
      </c>
      <c r="D157" s="11"/>
      <c r="E157" s="11" t="s">
        <v>92</v>
      </c>
      <c r="F157" s="11"/>
      <c r="G157" s="11" t="s">
        <v>592</v>
      </c>
      <c r="H157" s="3"/>
      <c r="I157" s="11" t="s">
        <v>75</v>
      </c>
      <c r="J157" s="11"/>
      <c r="K157" s="11"/>
      <c r="L157" s="11"/>
      <c r="M157" s="11"/>
      <c r="N157" s="2">
        <v>1.25</v>
      </c>
      <c r="O157" s="2"/>
      <c r="P157" s="2"/>
      <c r="Q157" s="2"/>
      <c r="R157" s="11"/>
      <c r="S157" s="11" t="s">
        <v>247</v>
      </c>
      <c r="T157" s="11" t="s">
        <v>85</v>
      </c>
      <c r="U157" s="11"/>
      <c r="V157" s="11"/>
      <c r="W157" s="11"/>
      <c r="X157" s="11"/>
      <c r="Y157" s="11"/>
      <c r="Z157" s="11"/>
      <c r="AA157" s="11"/>
      <c r="AB157" s="9"/>
      <c r="AC157" s="2"/>
      <c r="AD157" s="9"/>
      <c r="AE157" s="2"/>
      <c r="AF157" s="9"/>
      <c r="AG157" s="10"/>
      <c r="AH157" s="11"/>
      <c r="AI157" s="11" t="s">
        <v>86</v>
      </c>
      <c r="AJ157" s="11"/>
      <c r="AK157" s="2"/>
      <c r="AL157" s="11"/>
      <c r="AM157" s="11"/>
      <c r="AN157" s="11"/>
      <c r="AO157" s="2"/>
      <c r="AP157" s="3"/>
      <c r="AQ157" s="11"/>
      <c r="AR157" s="3"/>
      <c r="AS157" s="2"/>
      <c r="AT157" s="11"/>
      <c r="AU157" s="2"/>
      <c r="AV157" s="2"/>
      <c r="AW157" s="2"/>
      <c r="AX157" s="11"/>
      <c r="AY157" s="11"/>
      <c r="AZ157" s="9"/>
      <c r="BA157" s="2">
        <v>1875</v>
      </c>
      <c r="BB157" s="11"/>
      <c r="BC157" s="11"/>
      <c r="BD157" s="11"/>
      <c r="BE157" s="11"/>
      <c r="BF157" s="11"/>
      <c r="BG157" s="11"/>
      <c r="BH157" s="11"/>
      <c r="BI157" s="11"/>
      <c r="BJ157" s="11" t="s">
        <v>87</v>
      </c>
      <c r="BK157" s="10">
        <v>46303.805902777778</v>
      </c>
      <c r="BL157" s="11"/>
      <c r="BM157" s="11"/>
      <c r="BN157" s="10">
        <v>46303.625</v>
      </c>
      <c r="BO157" s="11"/>
      <c r="BP157" s="11"/>
      <c r="BQ157" s="11"/>
      <c r="BR157" s="11"/>
      <c r="BS157" s="11"/>
      <c r="BT157" s="11"/>
      <c r="BU157" s="11"/>
      <c r="BV157" s="2"/>
      <c r="BW157" s="11"/>
    </row>
    <row r="158" spans="1:75" ht="30" x14ac:dyDescent="0.25">
      <c r="A158" s="2">
        <v>6200156</v>
      </c>
      <c r="B158" s="10">
        <v>46303.805902777778</v>
      </c>
      <c r="C158" s="11" t="s">
        <v>82</v>
      </c>
      <c r="D158" s="11"/>
      <c r="E158" s="11" t="s">
        <v>83</v>
      </c>
      <c r="F158" s="11"/>
      <c r="G158" s="11" t="s">
        <v>89</v>
      </c>
      <c r="H158" s="3"/>
      <c r="I158" s="11" t="s">
        <v>90</v>
      </c>
      <c r="J158" s="11"/>
      <c r="K158" s="11"/>
      <c r="L158" s="11"/>
      <c r="M158" s="11"/>
      <c r="N158" s="2">
        <v>1.25</v>
      </c>
      <c r="O158" s="2"/>
      <c r="P158" s="2"/>
      <c r="Q158" s="2"/>
      <c r="R158" s="11"/>
      <c r="S158" s="11" t="s">
        <v>248</v>
      </c>
      <c r="T158" s="11" t="s">
        <v>85</v>
      </c>
      <c r="U158" s="11"/>
      <c r="V158" s="11"/>
      <c r="W158" s="11"/>
      <c r="X158" s="11"/>
      <c r="Y158" s="11"/>
      <c r="Z158" s="11"/>
      <c r="AA158" s="11"/>
      <c r="AB158" s="9"/>
      <c r="AC158" s="2"/>
      <c r="AD158" s="9"/>
      <c r="AE158" s="2"/>
      <c r="AF158" s="9"/>
      <c r="AG158" s="10"/>
      <c r="AH158" s="11"/>
      <c r="AI158" s="11" t="s">
        <v>86</v>
      </c>
      <c r="AJ158" s="11"/>
      <c r="AK158" s="2"/>
      <c r="AL158" s="11"/>
      <c r="AM158" s="11"/>
      <c r="AN158" s="11"/>
      <c r="AO158" s="2"/>
      <c r="AP158" s="3"/>
      <c r="AQ158" s="11"/>
      <c r="AR158" s="3"/>
      <c r="AS158" s="2"/>
      <c r="AT158" s="11"/>
      <c r="AU158" s="2"/>
      <c r="AV158" s="2"/>
      <c r="AW158" s="2"/>
      <c r="AX158" s="11"/>
      <c r="AY158" s="11"/>
      <c r="AZ158" s="9"/>
      <c r="BA158" s="2">
        <v>1875</v>
      </c>
      <c r="BB158" s="11"/>
      <c r="BC158" s="11"/>
      <c r="BD158" s="11"/>
      <c r="BE158" s="11"/>
      <c r="BF158" s="11"/>
      <c r="BG158" s="11"/>
      <c r="BH158" s="11"/>
      <c r="BI158" s="11"/>
      <c r="BJ158" s="11" t="s">
        <v>87</v>
      </c>
      <c r="BK158" s="10">
        <v>46303.805902777778</v>
      </c>
      <c r="BL158" s="11"/>
      <c r="BM158" s="11"/>
      <c r="BN158" s="10">
        <v>46303.625</v>
      </c>
      <c r="BO158" s="11"/>
      <c r="BP158" s="11"/>
      <c r="BQ158" s="11"/>
      <c r="BR158" s="11"/>
      <c r="BS158" s="11"/>
      <c r="BT158" s="11"/>
      <c r="BU158" s="11"/>
      <c r="BV158" s="2"/>
      <c r="BW158" s="11"/>
    </row>
    <row r="159" spans="1:75" ht="30" x14ac:dyDescent="0.25">
      <c r="A159" s="2">
        <v>6200157</v>
      </c>
      <c r="B159" s="10">
        <v>46303.805902777778</v>
      </c>
      <c r="C159" s="11" t="s">
        <v>82</v>
      </c>
      <c r="D159" s="11"/>
      <c r="E159" s="11" t="s">
        <v>88</v>
      </c>
      <c r="F159" s="11"/>
      <c r="G159" s="2">
        <v>470123456</v>
      </c>
      <c r="H159" s="3"/>
      <c r="I159" s="11" t="s">
        <v>75</v>
      </c>
      <c r="J159" s="11"/>
      <c r="K159" s="11"/>
      <c r="L159" s="11"/>
      <c r="M159" s="11"/>
      <c r="N159" s="2">
        <v>1.25</v>
      </c>
      <c r="O159" s="2"/>
      <c r="P159" s="2"/>
      <c r="Q159" s="2"/>
      <c r="R159" s="11"/>
      <c r="S159" s="11" t="s">
        <v>249</v>
      </c>
      <c r="T159" s="11" t="s">
        <v>85</v>
      </c>
      <c r="U159" s="11"/>
      <c r="V159" s="11"/>
      <c r="W159" s="11"/>
      <c r="X159" s="11"/>
      <c r="Y159" s="11"/>
      <c r="Z159" s="11"/>
      <c r="AA159" s="11"/>
      <c r="AB159" s="9"/>
      <c r="AC159" s="2"/>
      <c r="AD159" s="9"/>
      <c r="AE159" s="2"/>
      <c r="AF159" s="9"/>
      <c r="AG159" s="10"/>
      <c r="AH159" s="11"/>
      <c r="AI159" s="11" t="s">
        <v>86</v>
      </c>
      <c r="AJ159" s="11"/>
      <c r="AK159" s="2"/>
      <c r="AL159" s="11"/>
      <c r="AM159" s="11"/>
      <c r="AN159" s="11"/>
      <c r="AO159" s="2"/>
      <c r="AP159" s="3"/>
      <c r="AQ159" s="11"/>
      <c r="AR159" s="3"/>
      <c r="AS159" s="2"/>
      <c r="AT159" s="11"/>
      <c r="AU159" s="2"/>
      <c r="AV159" s="2"/>
      <c r="AW159" s="2"/>
      <c r="AX159" s="11"/>
      <c r="AY159" s="11"/>
      <c r="AZ159" s="9"/>
      <c r="BA159" s="2">
        <v>1875</v>
      </c>
      <c r="BB159" s="11"/>
      <c r="BC159" s="11"/>
      <c r="BD159" s="11"/>
      <c r="BE159" s="11"/>
      <c r="BF159" s="11"/>
      <c r="BG159" s="11"/>
      <c r="BH159" s="11"/>
      <c r="BI159" s="11"/>
      <c r="BJ159" s="11" t="s">
        <v>87</v>
      </c>
      <c r="BK159" s="10">
        <v>46303.805902777778</v>
      </c>
      <c r="BL159" s="11"/>
      <c r="BM159" s="11"/>
      <c r="BN159" s="10">
        <v>46303.625</v>
      </c>
      <c r="BO159" s="11"/>
      <c r="BP159" s="11"/>
      <c r="BQ159" s="11"/>
      <c r="BR159" s="11"/>
      <c r="BS159" s="11"/>
      <c r="BT159" s="11"/>
      <c r="BU159" s="11"/>
      <c r="BV159" s="2"/>
      <c r="BW159" s="11"/>
    </row>
    <row r="160" spans="1:75" ht="30" x14ac:dyDescent="0.25">
      <c r="A160" s="2">
        <v>6200158</v>
      </c>
      <c r="B160" s="10">
        <v>46303.805902777778</v>
      </c>
      <c r="C160" s="11" t="s">
        <v>82</v>
      </c>
      <c r="D160" s="11"/>
      <c r="E160" s="11" t="s">
        <v>92</v>
      </c>
      <c r="F160" s="11"/>
      <c r="G160" s="11" t="s">
        <v>94</v>
      </c>
      <c r="H160" s="3"/>
      <c r="I160" s="11" t="s">
        <v>90</v>
      </c>
      <c r="J160" s="11"/>
      <c r="K160" s="11"/>
      <c r="L160" s="11"/>
      <c r="M160" s="11"/>
      <c r="N160" s="2">
        <v>1.25</v>
      </c>
      <c r="O160" s="2"/>
      <c r="P160" s="2"/>
      <c r="Q160" s="2"/>
      <c r="R160" s="11"/>
      <c r="S160" s="11" t="s">
        <v>250</v>
      </c>
      <c r="T160" s="11" t="s">
        <v>85</v>
      </c>
      <c r="U160" s="11"/>
      <c r="V160" s="11"/>
      <c r="W160" s="11"/>
      <c r="X160" s="11"/>
      <c r="Y160" s="11"/>
      <c r="Z160" s="11"/>
      <c r="AA160" s="11"/>
      <c r="AB160" s="9"/>
      <c r="AC160" s="2"/>
      <c r="AD160" s="9"/>
      <c r="AE160" s="2"/>
      <c r="AF160" s="9"/>
      <c r="AG160" s="10"/>
      <c r="AH160" s="11"/>
      <c r="AI160" s="11" t="s">
        <v>86</v>
      </c>
      <c r="AJ160" s="11"/>
      <c r="AK160" s="2"/>
      <c r="AL160" s="11"/>
      <c r="AM160" s="11"/>
      <c r="AN160" s="11"/>
      <c r="AO160" s="2"/>
      <c r="AP160" s="3"/>
      <c r="AQ160" s="11"/>
      <c r="AR160" s="3"/>
      <c r="AS160" s="2"/>
      <c r="AT160" s="11"/>
      <c r="AU160" s="2"/>
      <c r="AV160" s="2"/>
      <c r="AW160" s="2"/>
      <c r="AX160" s="11"/>
      <c r="AY160" s="11"/>
      <c r="AZ160" s="9"/>
      <c r="BA160" s="2">
        <v>1875</v>
      </c>
      <c r="BB160" s="11"/>
      <c r="BC160" s="11"/>
      <c r="BD160" s="11"/>
      <c r="BE160" s="11"/>
      <c r="BF160" s="11"/>
      <c r="BG160" s="11"/>
      <c r="BH160" s="11"/>
      <c r="BI160" s="11"/>
      <c r="BJ160" s="11" t="s">
        <v>87</v>
      </c>
      <c r="BK160" s="10">
        <v>46303.805902777778</v>
      </c>
      <c r="BL160" s="11"/>
      <c r="BM160" s="11"/>
      <c r="BN160" s="10">
        <v>46303.625</v>
      </c>
      <c r="BO160" s="11"/>
      <c r="BP160" s="11"/>
      <c r="BQ160" s="11"/>
      <c r="BR160" s="11"/>
      <c r="BS160" s="11"/>
      <c r="BT160" s="11"/>
      <c r="BU160" s="11"/>
      <c r="BV160" s="2"/>
      <c r="BW160" s="11"/>
    </row>
    <row r="161" spans="1:75" ht="30" x14ac:dyDescent="0.25">
      <c r="A161" s="2">
        <v>6200159</v>
      </c>
      <c r="B161" s="10">
        <v>46303.805902777778</v>
      </c>
      <c r="C161" s="11" t="s">
        <v>82</v>
      </c>
      <c r="D161" s="11"/>
      <c r="E161" s="11" t="s">
        <v>83</v>
      </c>
      <c r="F161" s="11"/>
      <c r="G161" s="11" t="s">
        <v>593</v>
      </c>
      <c r="H161" s="3"/>
      <c r="I161" s="11" t="s">
        <v>75</v>
      </c>
      <c r="J161" s="11"/>
      <c r="K161" s="11"/>
      <c r="L161" s="11"/>
      <c r="M161" s="11"/>
      <c r="N161" s="2">
        <v>1.25</v>
      </c>
      <c r="O161" s="2"/>
      <c r="P161" s="2"/>
      <c r="Q161" s="2"/>
      <c r="R161" s="11"/>
      <c r="S161" s="11" t="s">
        <v>251</v>
      </c>
      <c r="T161" s="11" t="s">
        <v>85</v>
      </c>
      <c r="U161" s="11"/>
      <c r="V161" s="11"/>
      <c r="W161" s="11"/>
      <c r="X161" s="11"/>
      <c r="Y161" s="11"/>
      <c r="Z161" s="11"/>
      <c r="AA161" s="11"/>
      <c r="AB161" s="9"/>
      <c r="AC161" s="2"/>
      <c r="AD161" s="9"/>
      <c r="AE161" s="2"/>
      <c r="AF161" s="9"/>
      <c r="AG161" s="10"/>
      <c r="AH161" s="11"/>
      <c r="AI161" s="11" t="s">
        <v>86</v>
      </c>
      <c r="AJ161" s="11"/>
      <c r="AK161" s="2"/>
      <c r="AL161" s="11"/>
      <c r="AM161" s="11"/>
      <c r="AN161" s="11"/>
      <c r="AO161" s="2"/>
      <c r="AP161" s="3"/>
      <c r="AQ161" s="11"/>
      <c r="AR161" s="3"/>
      <c r="AS161" s="2"/>
      <c r="AT161" s="11"/>
      <c r="AU161" s="2"/>
      <c r="AV161" s="2"/>
      <c r="AW161" s="2"/>
      <c r="AX161" s="11"/>
      <c r="AY161" s="11"/>
      <c r="AZ161" s="9"/>
      <c r="BA161" s="2">
        <v>1875</v>
      </c>
      <c r="BB161" s="11"/>
      <c r="BC161" s="11"/>
      <c r="BD161" s="11"/>
      <c r="BE161" s="11"/>
      <c r="BF161" s="11"/>
      <c r="BG161" s="11"/>
      <c r="BH161" s="11"/>
      <c r="BI161" s="11"/>
      <c r="BJ161" s="11" t="s">
        <v>87</v>
      </c>
      <c r="BK161" s="10">
        <v>46303.805902777778</v>
      </c>
      <c r="BL161" s="11"/>
      <c r="BM161" s="11"/>
      <c r="BN161" s="10">
        <v>46303.625</v>
      </c>
      <c r="BO161" s="11"/>
      <c r="BP161" s="11"/>
      <c r="BQ161" s="11"/>
      <c r="BR161" s="11"/>
      <c r="BS161" s="11"/>
      <c r="BT161" s="11"/>
      <c r="BU161" s="11"/>
      <c r="BV161" s="2"/>
      <c r="BW161" s="11"/>
    </row>
    <row r="162" spans="1:75" ht="30" x14ac:dyDescent="0.25">
      <c r="A162" s="2">
        <v>6200160</v>
      </c>
      <c r="B162" s="10">
        <v>46303.805902777778</v>
      </c>
      <c r="C162" s="11" t="s">
        <v>82</v>
      </c>
      <c r="D162" s="11"/>
      <c r="E162" s="11" t="s">
        <v>88</v>
      </c>
      <c r="F162" s="11"/>
      <c r="G162" s="11" t="s">
        <v>592</v>
      </c>
      <c r="H162" s="3"/>
      <c r="I162" s="11" t="s">
        <v>75</v>
      </c>
      <c r="J162" s="11"/>
      <c r="K162" s="11"/>
      <c r="L162" s="11"/>
      <c r="M162" s="11"/>
      <c r="N162" s="2">
        <v>1.25</v>
      </c>
      <c r="O162" s="2"/>
      <c r="P162" s="2"/>
      <c r="Q162" s="2"/>
      <c r="R162" s="11"/>
      <c r="S162" s="11" t="s">
        <v>252</v>
      </c>
      <c r="T162" s="11" t="s">
        <v>85</v>
      </c>
      <c r="U162" s="11"/>
      <c r="V162" s="11"/>
      <c r="W162" s="11"/>
      <c r="X162" s="11"/>
      <c r="Y162" s="11"/>
      <c r="Z162" s="11"/>
      <c r="AA162" s="11"/>
      <c r="AB162" s="9"/>
      <c r="AC162" s="2"/>
      <c r="AD162" s="9"/>
      <c r="AE162" s="2"/>
      <c r="AF162" s="9"/>
      <c r="AG162" s="10"/>
      <c r="AH162" s="11"/>
      <c r="AI162" s="11" t="s">
        <v>86</v>
      </c>
      <c r="AJ162" s="11"/>
      <c r="AK162" s="2"/>
      <c r="AL162" s="11"/>
      <c r="AM162" s="11"/>
      <c r="AN162" s="11"/>
      <c r="AO162" s="2"/>
      <c r="AP162" s="3"/>
      <c r="AQ162" s="11"/>
      <c r="AR162" s="3"/>
      <c r="AS162" s="2"/>
      <c r="AT162" s="11"/>
      <c r="AU162" s="2"/>
      <c r="AV162" s="2"/>
      <c r="AW162" s="2"/>
      <c r="AX162" s="11"/>
      <c r="AY162" s="11"/>
      <c r="AZ162" s="9"/>
      <c r="BA162" s="2">
        <v>1875</v>
      </c>
      <c r="BB162" s="11"/>
      <c r="BC162" s="11"/>
      <c r="BD162" s="11"/>
      <c r="BE162" s="11"/>
      <c r="BF162" s="11"/>
      <c r="BG162" s="11"/>
      <c r="BH162" s="11"/>
      <c r="BI162" s="11"/>
      <c r="BJ162" s="11" t="s">
        <v>87</v>
      </c>
      <c r="BK162" s="10">
        <v>46303.805902777778</v>
      </c>
      <c r="BL162" s="11"/>
      <c r="BM162" s="11"/>
      <c r="BN162" s="10">
        <v>46303.625</v>
      </c>
      <c r="BO162" s="11"/>
      <c r="BP162" s="11"/>
      <c r="BQ162" s="11"/>
      <c r="BR162" s="11"/>
      <c r="BS162" s="11"/>
      <c r="BT162" s="11"/>
      <c r="BU162" s="11"/>
      <c r="BV162" s="2"/>
      <c r="BW162" s="11"/>
    </row>
    <row r="163" spans="1:75" ht="30" x14ac:dyDescent="0.25">
      <c r="A163" s="2">
        <v>6200161</v>
      </c>
      <c r="B163" s="10">
        <v>46303.805902777778</v>
      </c>
      <c r="C163" s="11" t="s">
        <v>82</v>
      </c>
      <c r="D163" s="11"/>
      <c r="E163" s="11" t="s">
        <v>92</v>
      </c>
      <c r="F163" s="11"/>
      <c r="G163" s="11" t="s">
        <v>89</v>
      </c>
      <c r="H163" s="3"/>
      <c r="I163" s="11" t="s">
        <v>90</v>
      </c>
      <c r="J163" s="11"/>
      <c r="K163" s="11"/>
      <c r="L163" s="11"/>
      <c r="M163" s="11"/>
      <c r="N163" s="2">
        <v>1.25</v>
      </c>
      <c r="O163" s="2"/>
      <c r="P163" s="2"/>
      <c r="Q163" s="2"/>
      <c r="R163" s="11"/>
      <c r="S163" s="11" t="s">
        <v>253</v>
      </c>
      <c r="T163" s="11" t="s">
        <v>85</v>
      </c>
      <c r="U163" s="11"/>
      <c r="V163" s="11"/>
      <c r="W163" s="11"/>
      <c r="X163" s="11"/>
      <c r="Y163" s="11"/>
      <c r="Z163" s="11"/>
      <c r="AA163" s="11"/>
      <c r="AB163" s="9"/>
      <c r="AC163" s="2"/>
      <c r="AD163" s="9"/>
      <c r="AE163" s="2"/>
      <c r="AF163" s="9"/>
      <c r="AG163" s="10"/>
      <c r="AH163" s="11"/>
      <c r="AI163" s="11" t="s">
        <v>86</v>
      </c>
      <c r="AJ163" s="11"/>
      <c r="AK163" s="2"/>
      <c r="AL163" s="11"/>
      <c r="AM163" s="11"/>
      <c r="AN163" s="11"/>
      <c r="AO163" s="2"/>
      <c r="AP163" s="3"/>
      <c r="AQ163" s="11"/>
      <c r="AR163" s="3"/>
      <c r="AS163" s="2"/>
      <c r="AT163" s="11"/>
      <c r="AU163" s="2"/>
      <c r="AV163" s="2"/>
      <c r="AW163" s="2"/>
      <c r="AX163" s="11"/>
      <c r="AY163" s="11"/>
      <c r="AZ163" s="9"/>
      <c r="BA163" s="2">
        <v>1875</v>
      </c>
      <c r="BB163" s="11"/>
      <c r="BC163" s="11"/>
      <c r="BD163" s="11"/>
      <c r="BE163" s="11"/>
      <c r="BF163" s="11"/>
      <c r="BG163" s="11"/>
      <c r="BH163" s="11"/>
      <c r="BI163" s="11"/>
      <c r="BJ163" s="11" t="s">
        <v>87</v>
      </c>
      <c r="BK163" s="10">
        <v>46303.805902777778</v>
      </c>
      <c r="BL163" s="11"/>
      <c r="BM163" s="11"/>
      <c r="BN163" s="10">
        <v>46303.625</v>
      </c>
      <c r="BO163" s="11"/>
      <c r="BP163" s="11"/>
      <c r="BQ163" s="11"/>
      <c r="BR163" s="11"/>
      <c r="BS163" s="11"/>
      <c r="BT163" s="11"/>
      <c r="BU163" s="11"/>
      <c r="BV163" s="2"/>
      <c r="BW163" s="11"/>
    </row>
    <row r="164" spans="1:75" ht="30" x14ac:dyDescent="0.25">
      <c r="A164" s="2">
        <v>6200162</v>
      </c>
      <c r="B164" s="10">
        <v>46303.805902777778</v>
      </c>
      <c r="C164" s="11" t="s">
        <v>82</v>
      </c>
      <c r="D164" s="11"/>
      <c r="E164" s="11" t="s">
        <v>83</v>
      </c>
      <c r="F164" s="11"/>
      <c r="G164" s="2">
        <v>470123456</v>
      </c>
      <c r="H164" s="3"/>
      <c r="I164" s="11" t="s">
        <v>75</v>
      </c>
      <c r="J164" s="11"/>
      <c r="K164" s="11"/>
      <c r="L164" s="11"/>
      <c r="M164" s="11"/>
      <c r="N164" s="2">
        <v>1.25</v>
      </c>
      <c r="O164" s="2"/>
      <c r="P164" s="2"/>
      <c r="Q164" s="2"/>
      <c r="R164" s="11"/>
      <c r="S164" s="11" t="s">
        <v>254</v>
      </c>
      <c r="T164" s="11" t="s">
        <v>85</v>
      </c>
      <c r="U164" s="11"/>
      <c r="V164" s="11"/>
      <c r="W164" s="11"/>
      <c r="X164" s="11"/>
      <c r="Y164" s="11"/>
      <c r="Z164" s="11"/>
      <c r="AA164" s="11"/>
      <c r="AB164" s="9"/>
      <c r="AC164" s="2"/>
      <c r="AD164" s="9"/>
      <c r="AE164" s="2"/>
      <c r="AF164" s="9"/>
      <c r="AG164" s="10"/>
      <c r="AH164" s="11"/>
      <c r="AI164" s="11" t="s">
        <v>86</v>
      </c>
      <c r="AJ164" s="11"/>
      <c r="AK164" s="2"/>
      <c r="AL164" s="11"/>
      <c r="AM164" s="11"/>
      <c r="AN164" s="11"/>
      <c r="AO164" s="2"/>
      <c r="AP164" s="3"/>
      <c r="AQ164" s="11"/>
      <c r="AR164" s="3"/>
      <c r="AS164" s="2"/>
      <c r="AT164" s="11"/>
      <c r="AU164" s="2"/>
      <c r="AV164" s="2"/>
      <c r="AW164" s="2"/>
      <c r="AX164" s="11"/>
      <c r="AY164" s="11"/>
      <c r="AZ164" s="9"/>
      <c r="BA164" s="2">
        <v>1875</v>
      </c>
      <c r="BB164" s="11"/>
      <c r="BC164" s="11"/>
      <c r="BD164" s="11"/>
      <c r="BE164" s="11"/>
      <c r="BF164" s="11"/>
      <c r="BG164" s="11"/>
      <c r="BH164" s="11"/>
      <c r="BI164" s="11"/>
      <c r="BJ164" s="11" t="s">
        <v>87</v>
      </c>
      <c r="BK164" s="10">
        <v>46303.805902777778</v>
      </c>
      <c r="BL164" s="11"/>
      <c r="BM164" s="11"/>
      <c r="BN164" s="10">
        <v>46303.625</v>
      </c>
      <c r="BO164" s="11"/>
      <c r="BP164" s="11"/>
      <c r="BQ164" s="11"/>
      <c r="BR164" s="11"/>
      <c r="BS164" s="11"/>
      <c r="BT164" s="11"/>
      <c r="BU164" s="11"/>
      <c r="BV164" s="2"/>
      <c r="BW164" s="11"/>
    </row>
    <row r="165" spans="1:75" ht="30" x14ac:dyDescent="0.25">
      <c r="A165" s="2">
        <v>6200163</v>
      </c>
      <c r="B165" s="10">
        <v>46303.805902777778</v>
      </c>
      <c r="C165" s="11" t="s">
        <v>82</v>
      </c>
      <c r="D165" s="11"/>
      <c r="E165" s="11" t="s">
        <v>88</v>
      </c>
      <c r="F165" s="11"/>
      <c r="G165" s="11" t="s">
        <v>94</v>
      </c>
      <c r="H165" s="3"/>
      <c r="I165" s="11" t="s">
        <v>90</v>
      </c>
      <c r="J165" s="11"/>
      <c r="K165" s="11"/>
      <c r="L165" s="11"/>
      <c r="M165" s="11"/>
      <c r="N165" s="2">
        <v>1.25</v>
      </c>
      <c r="O165" s="2"/>
      <c r="P165" s="2"/>
      <c r="Q165" s="2"/>
      <c r="R165" s="11"/>
      <c r="S165" s="11" t="s">
        <v>255</v>
      </c>
      <c r="T165" s="11" t="s">
        <v>85</v>
      </c>
      <c r="U165" s="11"/>
      <c r="V165" s="11"/>
      <c r="W165" s="11"/>
      <c r="X165" s="11"/>
      <c r="Y165" s="11"/>
      <c r="Z165" s="11"/>
      <c r="AA165" s="11"/>
      <c r="AB165" s="9"/>
      <c r="AC165" s="2"/>
      <c r="AD165" s="9"/>
      <c r="AE165" s="2"/>
      <c r="AF165" s="9"/>
      <c r="AG165" s="10"/>
      <c r="AH165" s="11"/>
      <c r="AI165" s="11" t="s">
        <v>86</v>
      </c>
      <c r="AJ165" s="11"/>
      <c r="AK165" s="2"/>
      <c r="AL165" s="11"/>
      <c r="AM165" s="11"/>
      <c r="AN165" s="11"/>
      <c r="AO165" s="2"/>
      <c r="AP165" s="3"/>
      <c r="AQ165" s="11"/>
      <c r="AR165" s="3"/>
      <c r="AS165" s="2"/>
      <c r="AT165" s="11"/>
      <c r="AU165" s="2"/>
      <c r="AV165" s="2"/>
      <c r="AW165" s="2"/>
      <c r="AX165" s="11"/>
      <c r="AY165" s="11"/>
      <c r="AZ165" s="9"/>
      <c r="BA165" s="2">
        <v>1875</v>
      </c>
      <c r="BB165" s="11"/>
      <c r="BC165" s="11"/>
      <c r="BD165" s="11"/>
      <c r="BE165" s="11"/>
      <c r="BF165" s="11"/>
      <c r="BG165" s="11"/>
      <c r="BH165" s="11"/>
      <c r="BI165" s="11"/>
      <c r="BJ165" s="11" t="s">
        <v>87</v>
      </c>
      <c r="BK165" s="10">
        <v>46303.805902777778</v>
      </c>
      <c r="BL165" s="11"/>
      <c r="BM165" s="11"/>
      <c r="BN165" s="10">
        <v>46303.625</v>
      </c>
      <c r="BO165" s="11"/>
      <c r="BP165" s="11"/>
      <c r="BQ165" s="11"/>
      <c r="BR165" s="11"/>
      <c r="BS165" s="11"/>
      <c r="BT165" s="11"/>
      <c r="BU165" s="11"/>
      <c r="BV165" s="2"/>
      <c r="BW165" s="11"/>
    </row>
    <row r="166" spans="1:75" ht="30" x14ac:dyDescent="0.25">
      <c r="A166" s="2">
        <v>6200164</v>
      </c>
      <c r="B166" s="10">
        <v>46303.805902777778</v>
      </c>
      <c r="C166" s="11" t="s">
        <v>82</v>
      </c>
      <c r="D166" s="11"/>
      <c r="E166" s="11" t="s">
        <v>92</v>
      </c>
      <c r="F166" s="11"/>
      <c r="G166" s="11" t="s">
        <v>593</v>
      </c>
      <c r="H166" s="3"/>
      <c r="I166" s="11" t="s">
        <v>75</v>
      </c>
      <c r="J166" s="11"/>
      <c r="K166" s="11"/>
      <c r="L166" s="11"/>
      <c r="M166" s="11"/>
      <c r="N166" s="2">
        <v>1.25</v>
      </c>
      <c r="O166" s="2"/>
      <c r="P166" s="2"/>
      <c r="Q166" s="2"/>
      <c r="R166" s="11"/>
      <c r="S166" s="11" t="s">
        <v>256</v>
      </c>
      <c r="T166" s="11" t="s">
        <v>85</v>
      </c>
      <c r="U166" s="11"/>
      <c r="V166" s="11"/>
      <c r="W166" s="11"/>
      <c r="X166" s="11"/>
      <c r="Y166" s="11"/>
      <c r="Z166" s="11"/>
      <c r="AA166" s="11"/>
      <c r="AB166" s="9"/>
      <c r="AC166" s="2"/>
      <c r="AD166" s="9"/>
      <c r="AE166" s="2"/>
      <c r="AF166" s="9"/>
      <c r="AG166" s="10"/>
      <c r="AH166" s="11"/>
      <c r="AI166" s="11" t="s">
        <v>86</v>
      </c>
      <c r="AJ166" s="11"/>
      <c r="AK166" s="2"/>
      <c r="AL166" s="11"/>
      <c r="AM166" s="11"/>
      <c r="AN166" s="11"/>
      <c r="AO166" s="2"/>
      <c r="AP166" s="3"/>
      <c r="AQ166" s="11"/>
      <c r="AR166" s="3"/>
      <c r="AS166" s="2"/>
      <c r="AT166" s="11"/>
      <c r="AU166" s="2"/>
      <c r="AV166" s="2"/>
      <c r="AW166" s="2"/>
      <c r="AX166" s="11"/>
      <c r="AY166" s="11"/>
      <c r="AZ166" s="9"/>
      <c r="BA166" s="2">
        <v>1875</v>
      </c>
      <c r="BB166" s="11"/>
      <c r="BC166" s="11"/>
      <c r="BD166" s="11"/>
      <c r="BE166" s="11"/>
      <c r="BF166" s="11"/>
      <c r="BG166" s="11"/>
      <c r="BH166" s="11"/>
      <c r="BI166" s="11"/>
      <c r="BJ166" s="11" t="s">
        <v>87</v>
      </c>
      <c r="BK166" s="10">
        <v>46303.805902777778</v>
      </c>
      <c r="BL166" s="11"/>
      <c r="BM166" s="11"/>
      <c r="BN166" s="10">
        <v>46303.625</v>
      </c>
      <c r="BO166" s="11"/>
      <c r="BP166" s="11"/>
      <c r="BQ166" s="11"/>
      <c r="BR166" s="11"/>
      <c r="BS166" s="11"/>
      <c r="BT166" s="11"/>
      <c r="BU166" s="11"/>
      <c r="BV166" s="2"/>
      <c r="BW166" s="11"/>
    </row>
    <row r="167" spans="1:75" ht="30" x14ac:dyDescent="0.25">
      <c r="A167" s="2">
        <v>6200165</v>
      </c>
      <c r="B167" s="10">
        <v>46303.805902777778</v>
      </c>
      <c r="C167" s="11" t="s">
        <v>82</v>
      </c>
      <c r="D167" s="11"/>
      <c r="E167" s="11" t="s">
        <v>83</v>
      </c>
      <c r="F167" s="11"/>
      <c r="G167" s="11" t="s">
        <v>592</v>
      </c>
      <c r="H167" s="3"/>
      <c r="I167" s="11" t="s">
        <v>75</v>
      </c>
      <c r="J167" s="11"/>
      <c r="K167" s="11"/>
      <c r="L167" s="11"/>
      <c r="M167" s="11"/>
      <c r="N167" s="2">
        <v>1.25</v>
      </c>
      <c r="O167" s="2"/>
      <c r="P167" s="2"/>
      <c r="Q167" s="2"/>
      <c r="R167" s="11"/>
      <c r="S167" s="11" t="s">
        <v>257</v>
      </c>
      <c r="T167" s="11" t="s">
        <v>85</v>
      </c>
      <c r="U167" s="11"/>
      <c r="V167" s="11"/>
      <c r="W167" s="11"/>
      <c r="X167" s="11"/>
      <c r="Y167" s="11"/>
      <c r="Z167" s="11"/>
      <c r="AA167" s="11"/>
      <c r="AB167" s="9"/>
      <c r="AC167" s="2"/>
      <c r="AD167" s="9"/>
      <c r="AE167" s="2"/>
      <c r="AF167" s="9"/>
      <c r="AG167" s="10"/>
      <c r="AH167" s="11"/>
      <c r="AI167" s="11" t="s">
        <v>86</v>
      </c>
      <c r="AJ167" s="11"/>
      <c r="AK167" s="2"/>
      <c r="AL167" s="11"/>
      <c r="AM167" s="11"/>
      <c r="AN167" s="11"/>
      <c r="AO167" s="2"/>
      <c r="AP167" s="3"/>
      <c r="AQ167" s="11"/>
      <c r="AR167" s="3"/>
      <c r="AS167" s="2"/>
      <c r="AT167" s="11"/>
      <c r="AU167" s="2"/>
      <c r="AV167" s="2"/>
      <c r="AW167" s="2"/>
      <c r="AX167" s="11"/>
      <c r="AY167" s="11"/>
      <c r="AZ167" s="9"/>
      <c r="BA167" s="2">
        <v>1875</v>
      </c>
      <c r="BB167" s="11"/>
      <c r="BC167" s="11"/>
      <c r="BD167" s="11"/>
      <c r="BE167" s="11"/>
      <c r="BF167" s="11"/>
      <c r="BG167" s="11"/>
      <c r="BH167" s="11"/>
      <c r="BI167" s="11"/>
      <c r="BJ167" s="11" t="s">
        <v>87</v>
      </c>
      <c r="BK167" s="10">
        <v>46303.805902777778</v>
      </c>
      <c r="BL167" s="11"/>
      <c r="BM167" s="11"/>
      <c r="BN167" s="10">
        <v>46303.625</v>
      </c>
      <c r="BO167" s="11"/>
      <c r="BP167" s="11"/>
      <c r="BQ167" s="11"/>
      <c r="BR167" s="11"/>
      <c r="BS167" s="11"/>
      <c r="BT167" s="11"/>
      <c r="BU167" s="11"/>
      <c r="BV167" s="2"/>
      <c r="BW167" s="11"/>
    </row>
    <row r="168" spans="1:75" ht="30" x14ac:dyDescent="0.25">
      <c r="A168" s="2">
        <v>6200166</v>
      </c>
      <c r="B168" s="10">
        <v>46303.805902777778</v>
      </c>
      <c r="C168" s="11" t="s">
        <v>82</v>
      </c>
      <c r="D168" s="11"/>
      <c r="E168" s="11" t="s">
        <v>88</v>
      </c>
      <c r="F168" s="11"/>
      <c r="G168" s="11" t="s">
        <v>89</v>
      </c>
      <c r="H168" s="3"/>
      <c r="I168" s="11" t="s">
        <v>90</v>
      </c>
      <c r="J168" s="11"/>
      <c r="K168" s="11"/>
      <c r="L168" s="11"/>
      <c r="M168" s="11"/>
      <c r="N168" s="2">
        <v>1.25</v>
      </c>
      <c r="O168" s="2"/>
      <c r="P168" s="2"/>
      <c r="Q168" s="2"/>
      <c r="R168" s="11"/>
      <c r="S168" s="11" t="s">
        <v>258</v>
      </c>
      <c r="T168" s="11" t="s">
        <v>85</v>
      </c>
      <c r="U168" s="11"/>
      <c r="V168" s="11"/>
      <c r="W168" s="11"/>
      <c r="X168" s="11"/>
      <c r="Y168" s="11"/>
      <c r="Z168" s="11"/>
      <c r="AA168" s="11"/>
      <c r="AB168" s="9"/>
      <c r="AC168" s="2"/>
      <c r="AD168" s="9"/>
      <c r="AE168" s="2"/>
      <c r="AF168" s="9"/>
      <c r="AG168" s="10"/>
      <c r="AH168" s="11"/>
      <c r="AI168" s="11" t="s">
        <v>86</v>
      </c>
      <c r="AJ168" s="11"/>
      <c r="AK168" s="2"/>
      <c r="AL168" s="11"/>
      <c r="AM168" s="11"/>
      <c r="AN168" s="11"/>
      <c r="AO168" s="2"/>
      <c r="AP168" s="3"/>
      <c r="AQ168" s="11"/>
      <c r="AR168" s="3"/>
      <c r="AS168" s="2"/>
      <c r="AT168" s="11"/>
      <c r="AU168" s="2"/>
      <c r="AV168" s="2"/>
      <c r="AW168" s="2"/>
      <c r="AX168" s="11"/>
      <c r="AY168" s="11"/>
      <c r="AZ168" s="9"/>
      <c r="BA168" s="2">
        <v>1875</v>
      </c>
      <c r="BB168" s="11"/>
      <c r="BC168" s="11"/>
      <c r="BD168" s="11"/>
      <c r="BE168" s="11"/>
      <c r="BF168" s="11"/>
      <c r="BG168" s="11"/>
      <c r="BH168" s="11"/>
      <c r="BI168" s="11"/>
      <c r="BJ168" s="11" t="s">
        <v>87</v>
      </c>
      <c r="BK168" s="10">
        <v>46303.805902777778</v>
      </c>
      <c r="BL168" s="11"/>
      <c r="BM168" s="11"/>
      <c r="BN168" s="10">
        <v>46303.625</v>
      </c>
      <c r="BO168" s="11"/>
      <c r="BP168" s="11"/>
      <c r="BQ168" s="11"/>
      <c r="BR168" s="11"/>
      <c r="BS168" s="11"/>
      <c r="BT168" s="11"/>
      <c r="BU168" s="11"/>
      <c r="BV168" s="2"/>
      <c r="BW168" s="11"/>
    </row>
    <row r="169" spans="1:75" ht="30" x14ac:dyDescent="0.25">
      <c r="A169" s="2">
        <v>6200167</v>
      </c>
      <c r="B169" s="10">
        <v>46303.805902777778</v>
      </c>
      <c r="C169" s="11" t="s">
        <v>82</v>
      </c>
      <c r="D169" s="11"/>
      <c r="E169" s="11" t="s">
        <v>92</v>
      </c>
      <c r="F169" s="11"/>
      <c r="G169" s="2">
        <v>470123456</v>
      </c>
      <c r="H169" s="3"/>
      <c r="I169" s="11" t="s">
        <v>75</v>
      </c>
      <c r="J169" s="11"/>
      <c r="K169" s="11"/>
      <c r="L169" s="11"/>
      <c r="M169" s="11"/>
      <c r="N169" s="2">
        <v>1.25</v>
      </c>
      <c r="O169" s="2"/>
      <c r="P169" s="2"/>
      <c r="Q169" s="2"/>
      <c r="R169" s="11"/>
      <c r="S169" s="11" t="s">
        <v>259</v>
      </c>
      <c r="T169" s="11" t="s">
        <v>85</v>
      </c>
      <c r="U169" s="11"/>
      <c r="V169" s="11"/>
      <c r="W169" s="11"/>
      <c r="X169" s="11"/>
      <c r="Y169" s="11"/>
      <c r="Z169" s="11"/>
      <c r="AA169" s="11"/>
      <c r="AB169" s="9"/>
      <c r="AC169" s="2"/>
      <c r="AD169" s="9"/>
      <c r="AE169" s="2"/>
      <c r="AF169" s="9"/>
      <c r="AG169" s="10"/>
      <c r="AH169" s="11"/>
      <c r="AI169" s="11" t="s">
        <v>86</v>
      </c>
      <c r="AJ169" s="11"/>
      <c r="AK169" s="2"/>
      <c r="AL169" s="11"/>
      <c r="AM169" s="11"/>
      <c r="AN169" s="11"/>
      <c r="AO169" s="2"/>
      <c r="AP169" s="3"/>
      <c r="AQ169" s="11"/>
      <c r="AR169" s="3"/>
      <c r="AS169" s="2"/>
      <c r="AT169" s="11"/>
      <c r="AU169" s="2"/>
      <c r="AV169" s="2"/>
      <c r="AW169" s="2"/>
      <c r="AX169" s="11"/>
      <c r="AY169" s="11"/>
      <c r="AZ169" s="9"/>
      <c r="BA169" s="2">
        <v>1875</v>
      </c>
      <c r="BB169" s="11"/>
      <c r="BC169" s="11"/>
      <c r="BD169" s="11"/>
      <c r="BE169" s="11"/>
      <c r="BF169" s="11"/>
      <c r="BG169" s="11"/>
      <c r="BH169" s="11"/>
      <c r="BI169" s="11"/>
      <c r="BJ169" s="11" t="s">
        <v>87</v>
      </c>
      <c r="BK169" s="10">
        <v>46303.805902777778</v>
      </c>
      <c r="BL169" s="11"/>
      <c r="BM169" s="11"/>
      <c r="BN169" s="10">
        <v>46303.625</v>
      </c>
      <c r="BO169" s="11"/>
      <c r="BP169" s="11"/>
      <c r="BQ169" s="11"/>
      <c r="BR169" s="11"/>
      <c r="BS169" s="11"/>
      <c r="BT169" s="11"/>
      <c r="BU169" s="11"/>
      <c r="BV169" s="2"/>
      <c r="BW169" s="11"/>
    </row>
    <row r="170" spans="1:75" ht="30" x14ac:dyDescent="0.25">
      <c r="A170" s="2">
        <v>6200168</v>
      </c>
      <c r="B170" s="10">
        <v>46303.805902777778</v>
      </c>
      <c r="C170" s="11" t="s">
        <v>82</v>
      </c>
      <c r="D170" s="11"/>
      <c r="E170" s="11" t="s">
        <v>83</v>
      </c>
      <c r="F170" s="11"/>
      <c r="G170" s="11" t="s">
        <v>94</v>
      </c>
      <c r="H170" s="3"/>
      <c r="I170" s="11" t="s">
        <v>90</v>
      </c>
      <c r="J170" s="11"/>
      <c r="K170" s="11"/>
      <c r="L170" s="11"/>
      <c r="M170" s="11"/>
      <c r="N170" s="2">
        <v>1.25</v>
      </c>
      <c r="O170" s="2"/>
      <c r="P170" s="2"/>
      <c r="Q170" s="2"/>
      <c r="R170" s="11"/>
      <c r="S170" s="11" t="s">
        <v>260</v>
      </c>
      <c r="T170" s="11" t="s">
        <v>85</v>
      </c>
      <c r="U170" s="11"/>
      <c r="V170" s="11"/>
      <c r="W170" s="11"/>
      <c r="X170" s="11"/>
      <c r="Y170" s="11"/>
      <c r="Z170" s="11"/>
      <c r="AA170" s="11"/>
      <c r="AB170" s="9"/>
      <c r="AC170" s="2"/>
      <c r="AD170" s="9"/>
      <c r="AE170" s="2"/>
      <c r="AF170" s="9"/>
      <c r="AG170" s="10"/>
      <c r="AH170" s="11"/>
      <c r="AI170" s="11" t="s">
        <v>86</v>
      </c>
      <c r="AJ170" s="11"/>
      <c r="AK170" s="2"/>
      <c r="AL170" s="11"/>
      <c r="AM170" s="11"/>
      <c r="AN170" s="11"/>
      <c r="AO170" s="2"/>
      <c r="AP170" s="3"/>
      <c r="AQ170" s="11"/>
      <c r="AR170" s="3"/>
      <c r="AS170" s="2"/>
      <c r="AT170" s="11"/>
      <c r="AU170" s="2"/>
      <c r="AV170" s="2"/>
      <c r="AW170" s="2"/>
      <c r="AX170" s="11"/>
      <c r="AY170" s="11"/>
      <c r="AZ170" s="9"/>
      <c r="BA170" s="2">
        <v>1875</v>
      </c>
      <c r="BB170" s="11"/>
      <c r="BC170" s="11"/>
      <c r="BD170" s="11"/>
      <c r="BE170" s="11"/>
      <c r="BF170" s="11"/>
      <c r="BG170" s="11"/>
      <c r="BH170" s="11"/>
      <c r="BI170" s="11"/>
      <c r="BJ170" s="11" t="s">
        <v>87</v>
      </c>
      <c r="BK170" s="10">
        <v>46303.805902777778</v>
      </c>
      <c r="BL170" s="11"/>
      <c r="BM170" s="11"/>
      <c r="BN170" s="10">
        <v>46303.625</v>
      </c>
      <c r="BO170" s="11"/>
      <c r="BP170" s="11"/>
      <c r="BQ170" s="11"/>
      <c r="BR170" s="11"/>
      <c r="BS170" s="11"/>
      <c r="BT170" s="11"/>
      <c r="BU170" s="11"/>
      <c r="BV170" s="2"/>
      <c r="BW170" s="11"/>
    </row>
    <row r="171" spans="1:75" ht="30" x14ac:dyDescent="0.25">
      <c r="A171" s="2">
        <v>6200169</v>
      </c>
      <c r="B171" s="10">
        <v>46303.805902777778</v>
      </c>
      <c r="C171" s="11" t="s">
        <v>82</v>
      </c>
      <c r="D171" s="11"/>
      <c r="E171" s="11" t="s">
        <v>88</v>
      </c>
      <c r="F171" s="11"/>
      <c r="G171" s="11" t="s">
        <v>593</v>
      </c>
      <c r="H171" s="3"/>
      <c r="I171" s="11" t="s">
        <v>75</v>
      </c>
      <c r="J171" s="11"/>
      <c r="K171" s="11"/>
      <c r="L171" s="11"/>
      <c r="M171" s="11"/>
      <c r="N171" s="2">
        <v>1.25</v>
      </c>
      <c r="O171" s="2"/>
      <c r="P171" s="2"/>
      <c r="Q171" s="2"/>
      <c r="R171" s="11"/>
      <c r="S171" s="11" t="s">
        <v>261</v>
      </c>
      <c r="T171" s="11" t="s">
        <v>85</v>
      </c>
      <c r="U171" s="11"/>
      <c r="V171" s="11"/>
      <c r="W171" s="11"/>
      <c r="X171" s="11"/>
      <c r="Y171" s="11"/>
      <c r="Z171" s="11"/>
      <c r="AA171" s="11"/>
      <c r="AB171" s="9"/>
      <c r="AC171" s="2"/>
      <c r="AD171" s="9"/>
      <c r="AE171" s="2"/>
      <c r="AF171" s="9"/>
      <c r="AG171" s="10"/>
      <c r="AH171" s="11"/>
      <c r="AI171" s="11" t="s">
        <v>86</v>
      </c>
      <c r="AJ171" s="11"/>
      <c r="AK171" s="2"/>
      <c r="AL171" s="11"/>
      <c r="AM171" s="11"/>
      <c r="AN171" s="11"/>
      <c r="AO171" s="2"/>
      <c r="AP171" s="3"/>
      <c r="AQ171" s="11"/>
      <c r="AR171" s="3"/>
      <c r="AS171" s="2"/>
      <c r="AT171" s="11"/>
      <c r="AU171" s="2"/>
      <c r="AV171" s="2"/>
      <c r="AW171" s="2"/>
      <c r="AX171" s="11"/>
      <c r="AY171" s="11"/>
      <c r="AZ171" s="9"/>
      <c r="BA171" s="2">
        <v>1875</v>
      </c>
      <c r="BB171" s="11"/>
      <c r="BC171" s="11"/>
      <c r="BD171" s="11"/>
      <c r="BE171" s="11"/>
      <c r="BF171" s="11"/>
      <c r="BG171" s="11"/>
      <c r="BH171" s="11"/>
      <c r="BI171" s="11"/>
      <c r="BJ171" s="11" t="s">
        <v>87</v>
      </c>
      <c r="BK171" s="10">
        <v>46303.805902777778</v>
      </c>
      <c r="BL171" s="11"/>
      <c r="BM171" s="11"/>
      <c r="BN171" s="10">
        <v>46303.625</v>
      </c>
      <c r="BO171" s="11"/>
      <c r="BP171" s="11"/>
      <c r="BQ171" s="11"/>
      <c r="BR171" s="11"/>
      <c r="BS171" s="11"/>
      <c r="BT171" s="11"/>
      <c r="BU171" s="11"/>
      <c r="BV171" s="2"/>
      <c r="BW171" s="11"/>
    </row>
    <row r="172" spans="1:75" ht="30" x14ac:dyDescent="0.25">
      <c r="A172" s="2">
        <v>6200170</v>
      </c>
      <c r="B172" s="10">
        <v>46303.805902777778</v>
      </c>
      <c r="C172" s="11" t="s">
        <v>82</v>
      </c>
      <c r="D172" s="11"/>
      <c r="E172" s="11" t="s">
        <v>92</v>
      </c>
      <c r="F172" s="11"/>
      <c r="G172" s="11" t="s">
        <v>592</v>
      </c>
      <c r="H172" s="3"/>
      <c r="I172" s="11" t="s">
        <v>75</v>
      </c>
      <c r="J172" s="11"/>
      <c r="K172" s="11"/>
      <c r="L172" s="11"/>
      <c r="M172" s="11"/>
      <c r="N172" s="2">
        <v>1.25</v>
      </c>
      <c r="O172" s="2"/>
      <c r="P172" s="2"/>
      <c r="Q172" s="2"/>
      <c r="R172" s="11"/>
      <c r="S172" s="11" t="s">
        <v>262</v>
      </c>
      <c r="T172" s="11" t="s">
        <v>85</v>
      </c>
      <c r="U172" s="11"/>
      <c r="V172" s="11"/>
      <c r="W172" s="11"/>
      <c r="X172" s="11"/>
      <c r="Y172" s="11"/>
      <c r="Z172" s="11"/>
      <c r="AA172" s="11"/>
      <c r="AB172" s="9"/>
      <c r="AC172" s="2"/>
      <c r="AD172" s="9"/>
      <c r="AE172" s="2"/>
      <c r="AF172" s="9"/>
      <c r="AG172" s="10"/>
      <c r="AH172" s="11"/>
      <c r="AI172" s="11" t="s">
        <v>86</v>
      </c>
      <c r="AJ172" s="11"/>
      <c r="AK172" s="2"/>
      <c r="AL172" s="11"/>
      <c r="AM172" s="11"/>
      <c r="AN172" s="11"/>
      <c r="AO172" s="2"/>
      <c r="AP172" s="3"/>
      <c r="AQ172" s="11"/>
      <c r="AR172" s="3"/>
      <c r="AS172" s="2"/>
      <c r="AT172" s="11"/>
      <c r="AU172" s="2"/>
      <c r="AV172" s="2"/>
      <c r="AW172" s="2"/>
      <c r="AX172" s="11"/>
      <c r="AY172" s="11"/>
      <c r="AZ172" s="9"/>
      <c r="BA172" s="2">
        <v>1875</v>
      </c>
      <c r="BB172" s="11"/>
      <c r="BC172" s="11"/>
      <c r="BD172" s="11"/>
      <c r="BE172" s="11"/>
      <c r="BF172" s="11"/>
      <c r="BG172" s="11"/>
      <c r="BH172" s="11"/>
      <c r="BI172" s="11"/>
      <c r="BJ172" s="11" t="s">
        <v>87</v>
      </c>
      <c r="BK172" s="10">
        <v>46303.805902777778</v>
      </c>
      <c r="BL172" s="11"/>
      <c r="BM172" s="11"/>
      <c r="BN172" s="10">
        <v>46303.625</v>
      </c>
      <c r="BO172" s="11"/>
      <c r="BP172" s="11"/>
      <c r="BQ172" s="11"/>
      <c r="BR172" s="11"/>
      <c r="BS172" s="11"/>
      <c r="BT172" s="11"/>
      <c r="BU172" s="11"/>
      <c r="BV172" s="2"/>
      <c r="BW172" s="11"/>
    </row>
    <row r="173" spans="1:75" ht="30" x14ac:dyDescent="0.25">
      <c r="A173" s="2">
        <v>6200171</v>
      </c>
      <c r="B173" s="10">
        <v>46303.805902777778</v>
      </c>
      <c r="C173" s="11" t="s">
        <v>82</v>
      </c>
      <c r="D173" s="11"/>
      <c r="E173" s="11" t="s">
        <v>83</v>
      </c>
      <c r="F173" s="11"/>
      <c r="G173" s="11" t="s">
        <v>89</v>
      </c>
      <c r="H173" s="3"/>
      <c r="I173" s="11" t="s">
        <v>90</v>
      </c>
      <c r="J173" s="11"/>
      <c r="K173" s="11"/>
      <c r="L173" s="11"/>
      <c r="M173" s="11"/>
      <c r="N173" s="2">
        <v>1.25</v>
      </c>
      <c r="O173" s="2"/>
      <c r="P173" s="2"/>
      <c r="Q173" s="2"/>
      <c r="R173" s="11"/>
      <c r="S173" s="11" t="s">
        <v>263</v>
      </c>
      <c r="T173" s="11" t="s">
        <v>85</v>
      </c>
      <c r="U173" s="11"/>
      <c r="V173" s="11"/>
      <c r="W173" s="11"/>
      <c r="X173" s="11"/>
      <c r="Y173" s="11"/>
      <c r="Z173" s="11"/>
      <c r="AA173" s="11"/>
      <c r="AB173" s="9"/>
      <c r="AC173" s="2"/>
      <c r="AD173" s="9"/>
      <c r="AE173" s="2"/>
      <c r="AF173" s="9"/>
      <c r="AG173" s="10"/>
      <c r="AH173" s="11"/>
      <c r="AI173" s="11" t="s">
        <v>86</v>
      </c>
      <c r="AJ173" s="11"/>
      <c r="AK173" s="2"/>
      <c r="AL173" s="11"/>
      <c r="AM173" s="11"/>
      <c r="AN173" s="11"/>
      <c r="AO173" s="2"/>
      <c r="AP173" s="3"/>
      <c r="AQ173" s="11"/>
      <c r="AR173" s="3"/>
      <c r="AS173" s="2"/>
      <c r="AT173" s="11"/>
      <c r="AU173" s="2"/>
      <c r="AV173" s="2"/>
      <c r="AW173" s="2"/>
      <c r="AX173" s="11"/>
      <c r="AY173" s="11"/>
      <c r="AZ173" s="9"/>
      <c r="BA173" s="2">
        <v>1875</v>
      </c>
      <c r="BB173" s="11"/>
      <c r="BC173" s="11"/>
      <c r="BD173" s="11"/>
      <c r="BE173" s="11"/>
      <c r="BF173" s="11"/>
      <c r="BG173" s="11"/>
      <c r="BH173" s="11"/>
      <c r="BI173" s="11"/>
      <c r="BJ173" s="11" t="s">
        <v>87</v>
      </c>
      <c r="BK173" s="10">
        <v>46303.805902777778</v>
      </c>
      <c r="BL173" s="11"/>
      <c r="BM173" s="11"/>
      <c r="BN173" s="10">
        <v>46303.625</v>
      </c>
      <c r="BO173" s="11"/>
      <c r="BP173" s="11"/>
      <c r="BQ173" s="11"/>
      <c r="BR173" s="11"/>
      <c r="BS173" s="11"/>
      <c r="BT173" s="11"/>
      <c r="BU173" s="11"/>
      <c r="BV173" s="2"/>
      <c r="BW173" s="11"/>
    </row>
    <row r="174" spans="1:75" ht="30" x14ac:dyDescent="0.25">
      <c r="A174" s="2">
        <v>6200172</v>
      </c>
      <c r="B174" s="10">
        <v>46303.805902777778</v>
      </c>
      <c r="C174" s="11" t="s">
        <v>82</v>
      </c>
      <c r="D174" s="11"/>
      <c r="E174" s="11" t="s">
        <v>88</v>
      </c>
      <c r="F174" s="11"/>
      <c r="G174" s="2">
        <v>470123456</v>
      </c>
      <c r="H174" s="3"/>
      <c r="I174" s="11" t="s">
        <v>75</v>
      </c>
      <c r="J174" s="11"/>
      <c r="K174" s="11"/>
      <c r="L174" s="11"/>
      <c r="M174" s="11"/>
      <c r="N174" s="2">
        <v>1.25</v>
      </c>
      <c r="O174" s="2"/>
      <c r="P174" s="2"/>
      <c r="Q174" s="2"/>
      <c r="R174" s="11"/>
      <c r="S174" s="11" t="s">
        <v>264</v>
      </c>
      <c r="T174" s="11" t="s">
        <v>85</v>
      </c>
      <c r="U174" s="11"/>
      <c r="V174" s="11"/>
      <c r="W174" s="11"/>
      <c r="X174" s="11"/>
      <c r="Y174" s="11"/>
      <c r="Z174" s="11"/>
      <c r="AA174" s="11"/>
      <c r="AB174" s="9"/>
      <c r="AC174" s="2"/>
      <c r="AD174" s="9"/>
      <c r="AE174" s="2"/>
      <c r="AF174" s="9"/>
      <c r="AG174" s="10"/>
      <c r="AH174" s="11"/>
      <c r="AI174" s="11" t="s">
        <v>86</v>
      </c>
      <c r="AJ174" s="11"/>
      <c r="AK174" s="2"/>
      <c r="AL174" s="11"/>
      <c r="AM174" s="11"/>
      <c r="AN174" s="11"/>
      <c r="AO174" s="2"/>
      <c r="AP174" s="3"/>
      <c r="AQ174" s="11"/>
      <c r="AR174" s="3"/>
      <c r="AS174" s="2"/>
      <c r="AT174" s="11"/>
      <c r="AU174" s="2"/>
      <c r="AV174" s="2"/>
      <c r="AW174" s="2"/>
      <c r="AX174" s="11"/>
      <c r="AY174" s="11"/>
      <c r="AZ174" s="9"/>
      <c r="BA174" s="2">
        <v>1875</v>
      </c>
      <c r="BB174" s="11"/>
      <c r="BC174" s="11"/>
      <c r="BD174" s="11"/>
      <c r="BE174" s="11"/>
      <c r="BF174" s="11"/>
      <c r="BG174" s="11"/>
      <c r="BH174" s="11"/>
      <c r="BI174" s="11"/>
      <c r="BJ174" s="11" t="s">
        <v>87</v>
      </c>
      <c r="BK174" s="10">
        <v>46303.805902777778</v>
      </c>
      <c r="BL174" s="11"/>
      <c r="BM174" s="11"/>
      <c r="BN174" s="10">
        <v>46303.625</v>
      </c>
      <c r="BO174" s="11"/>
      <c r="BP174" s="11"/>
      <c r="BQ174" s="11"/>
      <c r="BR174" s="11"/>
      <c r="BS174" s="11"/>
      <c r="BT174" s="11"/>
      <c r="BU174" s="11"/>
      <c r="BV174" s="2"/>
      <c r="BW174" s="11"/>
    </row>
    <row r="175" spans="1:75" ht="30" x14ac:dyDescent="0.25">
      <c r="A175" s="2">
        <v>6200173</v>
      </c>
      <c r="B175" s="10">
        <v>46303.805902777778</v>
      </c>
      <c r="C175" s="11" t="s">
        <v>82</v>
      </c>
      <c r="D175" s="11"/>
      <c r="E175" s="11" t="s">
        <v>92</v>
      </c>
      <c r="F175" s="11"/>
      <c r="G175" s="11" t="s">
        <v>94</v>
      </c>
      <c r="H175" s="3"/>
      <c r="I175" s="11" t="s">
        <v>90</v>
      </c>
      <c r="J175" s="11"/>
      <c r="K175" s="11"/>
      <c r="L175" s="11"/>
      <c r="M175" s="11"/>
      <c r="N175" s="2">
        <v>1.25</v>
      </c>
      <c r="O175" s="2"/>
      <c r="P175" s="2"/>
      <c r="Q175" s="2"/>
      <c r="R175" s="11"/>
      <c r="S175" s="11" t="s">
        <v>265</v>
      </c>
      <c r="T175" s="11" t="s">
        <v>85</v>
      </c>
      <c r="U175" s="11"/>
      <c r="V175" s="11"/>
      <c r="W175" s="11"/>
      <c r="X175" s="11"/>
      <c r="Y175" s="11"/>
      <c r="Z175" s="11"/>
      <c r="AA175" s="11"/>
      <c r="AB175" s="9"/>
      <c r="AC175" s="2"/>
      <c r="AD175" s="9"/>
      <c r="AE175" s="2"/>
      <c r="AF175" s="9"/>
      <c r="AG175" s="10"/>
      <c r="AH175" s="11"/>
      <c r="AI175" s="11" t="s">
        <v>86</v>
      </c>
      <c r="AJ175" s="11"/>
      <c r="AK175" s="2"/>
      <c r="AL175" s="11"/>
      <c r="AM175" s="11"/>
      <c r="AN175" s="11"/>
      <c r="AO175" s="2"/>
      <c r="AP175" s="3"/>
      <c r="AQ175" s="11"/>
      <c r="AR175" s="3"/>
      <c r="AS175" s="2"/>
      <c r="AT175" s="11"/>
      <c r="AU175" s="2"/>
      <c r="AV175" s="2"/>
      <c r="AW175" s="2"/>
      <c r="AX175" s="11"/>
      <c r="AY175" s="11"/>
      <c r="AZ175" s="9"/>
      <c r="BA175" s="2">
        <v>1875</v>
      </c>
      <c r="BB175" s="11"/>
      <c r="BC175" s="11"/>
      <c r="BD175" s="11"/>
      <c r="BE175" s="11"/>
      <c r="BF175" s="11"/>
      <c r="BG175" s="11"/>
      <c r="BH175" s="11"/>
      <c r="BI175" s="11"/>
      <c r="BJ175" s="11" t="s">
        <v>87</v>
      </c>
      <c r="BK175" s="10">
        <v>46303.805902777778</v>
      </c>
      <c r="BL175" s="11"/>
      <c r="BM175" s="11"/>
      <c r="BN175" s="10">
        <v>46303.625</v>
      </c>
      <c r="BO175" s="11"/>
      <c r="BP175" s="11"/>
      <c r="BQ175" s="11"/>
      <c r="BR175" s="11"/>
      <c r="BS175" s="11"/>
      <c r="BT175" s="11"/>
      <c r="BU175" s="11"/>
      <c r="BV175" s="2"/>
      <c r="BW175" s="11"/>
    </row>
    <row r="176" spans="1:75" ht="30" x14ac:dyDescent="0.25">
      <c r="A176" s="2">
        <v>6200174</v>
      </c>
      <c r="B176" s="10">
        <v>46303.805902777778</v>
      </c>
      <c r="C176" s="11" t="s">
        <v>82</v>
      </c>
      <c r="D176" s="11"/>
      <c r="E176" s="11" t="s">
        <v>83</v>
      </c>
      <c r="F176" s="11"/>
      <c r="G176" s="11" t="s">
        <v>593</v>
      </c>
      <c r="H176" s="3"/>
      <c r="I176" s="11" t="s">
        <v>75</v>
      </c>
      <c r="J176" s="11"/>
      <c r="K176" s="11"/>
      <c r="L176" s="11"/>
      <c r="M176" s="11"/>
      <c r="N176" s="2">
        <v>1.25</v>
      </c>
      <c r="O176" s="2"/>
      <c r="P176" s="2"/>
      <c r="Q176" s="2"/>
      <c r="R176" s="11"/>
      <c r="S176" s="11" t="s">
        <v>266</v>
      </c>
      <c r="T176" s="11" t="s">
        <v>85</v>
      </c>
      <c r="U176" s="11"/>
      <c r="V176" s="11"/>
      <c r="W176" s="11"/>
      <c r="X176" s="11"/>
      <c r="Y176" s="11"/>
      <c r="Z176" s="11"/>
      <c r="AA176" s="11"/>
      <c r="AB176" s="9"/>
      <c r="AC176" s="2"/>
      <c r="AD176" s="9"/>
      <c r="AE176" s="2"/>
      <c r="AF176" s="9"/>
      <c r="AG176" s="10"/>
      <c r="AH176" s="11"/>
      <c r="AI176" s="11" t="s">
        <v>86</v>
      </c>
      <c r="AJ176" s="11"/>
      <c r="AK176" s="2"/>
      <c r="AL176" s="11"/>
      <c r="AM176" s="11"/>
      <c r="AN176" s="11"/>
      <c r="AO176" s="2"/>
      <c r="AP176" s="3"/>
      <c r="AQ176" s="11"/>
      <c r="AR176" s="3"/>
      <c r="AS176" s="2"/>
      <c r="AT176" s="11"/>
      <c r="AU176" s="2"/>
      <c r="AV176" s="2"/>
      <c r="AW176" s="2"/>
      <c r="AX176" s="11"/>
      <c r="AY176" s="11"/>
      <c r="AZ176" s="9"/>
      <c r="BA176" s="2">
        <v>1875</v>
      </c>
      <c r="BB176" s="11"/>
      <c r="BC176" s="11"/>
      <c r="BD176" s="11"/>
      <c r="BE176" s="11"/>
      <c r="BF176" s="11"/>
      <c r="BG176" s="11"/>
      <c r="BH176" s="11"/>
      <c r="BI176" s="11"/>
      <c r="BJ176" s="11" t="s">
        <v>87</v>
      </c>
      <c r="BK176" s="10">
        <v>46303.805902777778</v>
      </c>
      <c r="BL176" s="11"/>
      <c r="BM176" s="11"/>
      <c r="BN176" s="10">
        <v>46303.625</v>
      </c>
      <c r="BO176" s="11"/>
      <c r="BP176" s="11"/>
      <c r="BQ176" s="11"/>
      <c r="BR176" s="11"/>
      <c r="BS176" s="11"/>
      <c r="BT176" s="11"/>
      <c r="BU176" s="11"/>
      <c r="BV176" s="2"/>
      <c r="BW176" s="11"/>
    </row>
    <row r="177" spans="1:75" ht="30" x14ac:dyDescent="0.25">
      <c r="A177" s="2">
        <v>6200175</v>
      </c>
      <c r="B177" s="10">
        <v>46303.805902777778</v>
      </c>
      <c r="C177" s="11" t="s">
        <v>82</v>
      </c>
      <c r="D177" s="11"/>
      <c r="E177" s="11" t="s">
        <v>88</v>
      </c>
      <c r="F177" s="11"/>
      <c r="G177" s="11" t="s">
        <v>592</v>
      </c>
      <c r="H177" s="3"/>
      <c r="I177" s="11" t="s">
        <v>75</v>
      </c>
      <c r="J177" s="11"/>
      <c r="K177" s="11"/>
      <c r="L177" s="11"/>
      <c r="M177" s="11"/>
      <c r="N177" s="2">
        <v>1.25</v>
      </c>
      <c r="O177" s="2"/>
      <c r="P177" s="2"/>
      <c r="Q177" s="2"/>
      <c r="R177" s="11"/>
      <c r="S177" s="11" t="s">
        <v>267</v>
      </c>
      <c r="T177" s="11" t="s">
        <v>85</v>
      </c>
      <c r="U177" s="11"/>
      <c r="V177" s="11"/>
      <c r="W177" s="11"/>
      <c r="X177" s="11"/>
      <c r="Y177" s="11"/>
      <c r="Z177" s="11"/>
      <c r="AA177" s="11"/>
      <c r="AB177" s="9"/>
      <c r="AC177" s="2"/>
      <c r="AD177" s="9"/>
      <c r="AE177" s="2"/>
      <c r="AF177" s="9"/>
      <c r="AG177" s="10"/>
      <c r="AH177" s="11"/>
      <c r="AI177" s="11" t="s">
        <v>86</v>
      </c>
      <c r="AJ177" s="11"/>
      <c r="AK177" s="2"/>
      <c r="AL177" s="11"/>
      <c r="AM177" s="11"/>
      <c r="AN177" s="11"/>
      <c r="AO177" s="2"/>
      <c r="AP177" s="3"/>
      <c r="AQ177" s="11"/>
      <c r="AR177" s="3"/>
      <c r="AS177" s="2"/>
      <c r="AT177" s="11"/>
      <c r="AU177" s="2"/>
      <c r="AV177" s="2"/>
      <c r="AW177" s="2"/>
      <c r="AX177" s="11"/>
      <c r="AY177" s="11"/>
      <c r="AZ177" s="9"/>
      <c r="BA177" s="2">
        <v>1875</v>
      </c>
      <c r="BB177" s="11"/>
      <c r="BC177" s="11"/>
      <c r="BD177" s="11"/>
      <c r="BE177" s="11"/>
      <c r="BF177" s="11"/>
      <c r="BG177" s="11"/>
      <c r="BH177" s="11"/>
      <c r="BI177" s="11"/>
      <c r="BJ177" s="11" t="s">
        <v>87</v>
      </c>
      <c r="BK177" s="10">
        <v>46303.805902777778</v>
      </c>
      <c r="BL177" s="11"/>
      <c r="BM177" s="11"/>
      <c r="BN177" s="10">
        <v>46303.625</v>
      </c>
      <c r="BO177" s="11"/>
      <c r="BP177" s="11"/>
      <c r="BQ177" s="11"/>
      <c r="BR177" s="11"/>
      <c r="BS177" s="11"/>
      <c r="BT177" s="11"/>
      <c r="BU177" s="11"/>
      <c r="BV177" s="2"/>
      <c r="BW177" s="11"/>
    </row>
    <row r="178" spans="1:75" ht="30" x14ac:dyDescent="0.25">
      <c r="A178" s="2">
        <v>6200176</v>
      </c>
      <c r="B178" s="10">
        <v>46303.805902777778</v>
      </c>
      <c r="C178" s="11" t="s">
        <v>82</v>
      </c>
      <c r="D178" s="11"/>
      <c r="E178" s="11" t="s">
        <v>92</v>
      </c>
      <c r="F178" s="11"/>
      <c r="G178" s="11" t="s">
        <v>89</v>
      </c>
      <c r="H178" s="3"/>
      <c r="I178" s="11" t="s">
        <v>90</v>
      </c>
      <c r="J178" s="11"/>
      <c r="K178" s="11"/>
      <c r="L178" s="11"/>
      <c r="M178" s="11"/>
      <c r="N178" s="2">
        <v>1.25</v>
      </c>
      <c r="O178" s="2"/>
      <c r="P178" s="2"/>
      <c r="Q178" s="2"/>
      <c r="R178" s="11"/>
      <c r="S178" s="11" t="s">
        <v>268</v>
      </c>
      <c r="T178" s="11" t="s">
        <v>85</v>
      </c>
      <c r="U178" s="11"/>
      <c r="V178" s="11"/>
      <c r="W178" s="11"/>
      <c r="X178" s="11"/>
      <c r="Y178" s="11"/>
      <c r="Z178" s="11"/>
      <c r="AA178" s="11"/>
      <c r="AB178" s="9"/>
      <c r="AC178" s="2"/>
      <c r="AD178" s="9"/>
      <c r="AE178" s="2"/>
      <c r="AF178" s="9"/>
      <c r="AG178" s="10"/>
      <c r="AH178" s="11"/>
      <c r="AI178" s="11" t="s">
        <v>86</v>
      </c>
      <c r="AJ178" s="11"/>
      <c r="AK178" s="2"/>
      <c r="AL178" s="11"/>
      <c r="AM178" s="11"/>
      <c r="AN178" s="11"/>
      <c r="AO178" s="2"/>
      <c r="AP178" s="3"/>
      <c r="AQ178" s="11"/>
      <c r="AR178" s="3"/>
      <c r="AS178" s="2"/>
      <c r="AT178" s="11"/>
      <c r="AU178" s="2"/>
      <c r="AV178" s="2"/>
      <c r="AW178" s="2"/>
      <c r="AX178" s="11"/>
      <c r="AY178" s="11"/>
      <c r="AZ178" s="9"/>
      <c r="BA178" s="2">
        <v>1875</v>
      </c>
      <c r="BB178" s="11"/>
      <c r="BC178" s="11"/>
      <c r="BD178" s="11"/>
      <c r="BE178" s="11"/>
      <c r="BF178" s="11"/>
      <c r="BG178" s="11"/>
      <c r="BH178" s="11"/>
      <c r="BI178" s="11"/>
      <c r="BJ178" s="11" t="s">
        <v>87</v>
      </c>
      <c r="BK178" s="10">
        <v>46303.805902777778</v>
      </c>
      <c r="BL178" s="11"/>
      <c r="BM178" s="11"/>
      <c r="BN178" s="10">
        <v>46303.625</v>
      </c>
      <c r="BO178" s="11"/>
      <c r="BP178" s="11"/>
      <c r="BQ178" s="11"/>
      <c r="BR178" s="11"/>
      <c r="BS178" s="11"/>
      <c r="BT178" s="11"/>
      <c r="BU178" s="11"/>
      <c r="BV178" s="2"/>
      <c r="BW178" s="11"/>
    </row>
    <row r="179" spans="1:75" ht="30" x14ac:dyDescent="0.25">
      <c r="A179" s="2">
        <v>6200177</v>
      </c>
      <c r="B179" s="10">
        <v>46303.805902777778</v>
      </c>
      <c r="C179" s="11" t="s">
        <v>82</v>
      </c>
      <c r="D179" s="11"/>
      <c r="E179" s="11" t="s">
        <v>83</v>
      </c>
      <c r="F179" s="11"/>
      <c r="G179" s="2">
        <v>470123456</v>
      </c>
      <c r="H179" s="3"/>
      <c r="I179" s="11" t="s">
        <v>75</v>
      </c>
      <c r="J179" s="11"/>
      <c r="K179" s="11"/>
      <c r="L179" s="11"/>
      <c r="M179" s="11"/>
      <c r="N179" s="2">
        <v>1.25</v>
      </c>
      <c r="O179" s="2"/>
      <c r="P179" s="2"/>
      <c r="Q179" s="2"/>
      <c r="R179" s="11"/>
      <c r="S179" s="11" t="s">
        <v>269</v>
      </c>
      <c r="T179" s="11" t="s">
        <v>85</v>
      </c>
      <c r="U179" s="11"/>
      <c r="V179" s="11"/>
      <c r="W179" s="11"/>
      <c r="X179" s="11"/>
      <c r="Y179" s="11"/>
      <c r="Z179" s="11"/>
      <c r="AA179" s="11"/>
      <c r="AB179" s="9"/>
      <c r="AC179" s="2"/>
      <c r="AD179" s="9"/>
      <c r="AE179" s="2"/>
      <c r="AF179" s="9"/>
      <c r="AG179" s="10"/>
      <c r="AH179" s="11"/>
      <c r="AI179" s="11" t="s">
        <v>86</v>
      </c>
      <c r="AJ179" s="11"/>
      <c r="AK179" s="2"/>
      <c r="AL179" s="11"/>
      <c r="AM179" s="11"/>
      <c r="AN179" s="11"/>
      <c r="AO179" s="2"/>
      <c r="AP179" s="3"/>
      <c r="AQ179" s="11"/>
      <c r="AR179" s="3"/>
      <c r="AS179" s="2"/>
      <c r="AT179" s="11"/>
      <c r="AU179" s="2"/>
      <c r="AV179" s="2"/>
      <c r="AW179" s="2"/>
      <c r="AX179" s="11"/>
      <c r="AY179" s="11"/>
      <c r="AZ179" s="9"/>
      <c r="BA179" s="2">
        <v>1875</v>
      </c>
      <c r="BB179" s="11"/>
      <c r="BC179" s="11"/>
      <c r="BD179" s="11"/>
      <c r="BE179" s="11"/>
      <c r="BF179" s="11"/>
      <c r="BG179" s="11"/>
      <c r="BH179" s="11"/>
      <c r="BI179" s="11"/>
      <c r="BJ179" s="11" t="s">
        <v>87</v>
      </c>
      <c r="BK179" s="10">
        <v>46303.805902777778</v>
      </c>
      <c r="BL179" s="11"/>
      <c r="BM179" s="11"/>
      <c r="BN179" s="10">
        <v>46303.625</v>
      </c>
      <c r="BO179" s="11"/>
      <c r="BP179" s="11"/>
      <c r="BQ179" s="11"/>
      <c r="BR179" s="11"/>
      <c r="BS179" s="11"/>
      <c r="BT179" s="11"/>
      <c r="BU179" s="11"/>
      <c r="BV179" s="2"/>
      <c r="BW179" s="11"/>
    </row>
    <row r="180" spans="1:75" ht="30" x14ac:dyDescent="0.25">
      <c r="A180" s="2">
        <v>6200178</v>
      </c>
      <c r="B180" s="10">
        <v>46303.805902777778</v>
      </c>
      <c r="C180" s="11" t="s">
        <v>82</v>
      </c>
      <c r="D180" s="11"/>
      <c r="E180" s="11" t="s">
        <v>88</v>
      </c>
      <c r="F180" s="11"/>
      <c r="G180" s="11" t="s">
        <v>94</v>
      </c>
      <c r="H180" s="3"/>
      <c r="I180" s="11" t="s">
        <v>90</v>
      </c>
      <c r="J180" s="11"/>
      <c r="K180" s="11"/>
      <c r="L180" s="11"/>
      <c r="M180" s="11"/>
      <c r="N180" s="2">
        <v>1.25</v>
      </c>
      <c r="O180" s="2"/>
      <c r="P180" s="2"/>
      <c r="Q180" s="2"/>
      <c r="R180" s="11"/>
      <c r="S180" s="11" t="s">
        <v>270</v>
      </c>
      <c r="T180" s="11" t="s">
        <v>85</v>
      </c>
      <c r="U180" s="11"/>
      <c r="V180" s="11"/>
      <c r="W180" s="11"/>
      <c r="X180" s="11"/>
      <c r="Y180" s="11"/>
      <c r="Z180" s="11"/>
      <c r="AA180" s="11"/>
      <c r="AB180" s="9"/>
      <c r="AC180" s="2"/>
      <c r="AD180" s="9"/>
      <c r="AE180" s="2"/>
      <c r="AF180" s="9"/>
      <c r="AG180" s="10"/>
      <c r="AH180" s="11"/>
      <c r="AI180" s="11" t="s">
        <v>86</v>
      </c>
      <c r="AJ180" s="11"/>
      <c r="AK180" s="2"/>
      <c r="AL180" s="11"/>
      <c r="AM180" s="11"/>
      <c r="AN180" s="11"/>
      <c r="AO180" s="2"/>
      <c r="AP180" s="3"/>
      <c r="AQ180" s="11"/>
      <c r="AR180" s="3"/>
      <c r="AS180" s="2"/>
      <c r="AT180" s="11"/>
      <c r="AU180" s="2"/>
      <c r="AV180" s="2"/>
      <c r="AW180" s="2"/>
      <c r="AX180" s="11"/>
      <c r="AY180" s="11"/>
      <c r="AZ180" s="9"/>
      <c r="BA180" s="2">
        <v>1875</v>
      </c>
      <c r="BB180" s="11"/>
      <c r="BC180" s="11"/>
      <c r="BD180" s="11"/>
      <c r="BE180" s="11"/>
      <c r="BF180" s="11"/>
      <c r="BG180" s="11"/>
      <c r="BH180" s="11"/>
      <c r="BI180" s="11"/>
      <c r="BJ180" s="11" t="s">
        <v>87</v>
      </c>
      <c r="BK180" s="10">
        <v>46303.805902777778</v>
      </c>
      <c r="BL180" s="11"/>
      <c r="BM180" s="11"/>
      <c r="BN180" s="10">
        <v>46303.625</v>
      </c>
      <c r="BO180" s="11"/>
      <c r="BP180" s="11"/>
      <c r="BQ180" s="11"/>
      <c r="BR180" s="11"/>
      <c r="BS180" s="11"/>
      <c r="BT180" s="11"/>
      <c r="BU180" s="11"/>
      <c r="BV180" s="2"/>
      <c r="BW180" s="11"/>
    </row>
    <row r="181" spans="1:75" ht="30" x14ac:dyDescent="0.25">
      <c r="A181" s="2">
        <v>6200179</v>
      </c>
      <c r="B181" s="10">
        <v>46303.805902777778</v>
      </c>
      <c r="C181" s="11" t="s">
        <v>82</v>
      </c>
      <c r="D181" s="11"/>
      <c r="E181" s="11" t="s">
        <v>92</v>
      </c>
      <c r="F181" s="11"/>
      <c r="G181" s="11" t="s">
        <v>593</v>
      </c>
      <c r="H181" s="3"/>
      <c r="I181" s="11" t="s">
        <v>75</v>
      </c>
      <c r="J181" s="11"/>
      <c r="K181" s="11"/>
      <c r="L181" s="11"/>
      <c r="M181" s="11"/>
      <c r="N181" s="2">
        <v>1.25</v>
      </c>
      <c r="O181" s="2"/>
      <c r="P181" s="2"/>
      <c r="Q181" s="2"/>
      <c r="R181" s="11"/>
      <c r="S181" s="11" t="s">
        <v>271</v>
      </c>
      <c r="T181" s="11" t="s">
        <v>85</v>
      </c>
      <c r="U181" s="11"/>
      <c r="V181" s="11"/>
      <c r="W181" s="11"/>
      <c r="X181" s="11"/>
      <c r="Y181" s="11"/>
      <c r="Z181" s="11"/>
      <c r="AA181" s="11"/>
      <c r="AB181" s="9"/>
      <c r="AC181" s="2"/>
      <c r="AD181" s="9"/>
      <c r="AE181" s="2"/>
      <c r="AF181" s="9"/>
      <c r="AG181" s="10"/>
      <c r="AH181" s="11"/>
      <c r="AI181" s="11" t="s">
        <v>86</v>
      </c>
      <c r="AJ181" s="11"/>
      <c r="AK181" s="2"/>
      <c r="AL181" s="11"/>
      <c r="AM181" s="11"/>
      <c r="AN181" s="11"/>
      <c r="AO181" s="2"/>
      <c r="AP181" s="3"/>
      <c r="AQ181" s="11"/>
      <c r="AR181" s="3"/>
      <c r="AS181" s="2"/>
      <c r="AT181" s="11"/>
      <c r="AU181" s="2"/>
      <c r="AV181" s="2"/>
      <c r="AW181" s="2"/>
      <c r="AX181" s="11"/>
      <c r="AY181" s="11"/>
      <c r="AZ181" s="9"/>
      <c r="BA181" s="2">
        <v>1875</v>
      </c>
      <c r="BB181" s="11"/>
      <c r="BC181" s="11"/>
      <c r="BD181" s="11"/>
      <c r="BE181" s="11"/>
      <c r="BF181" s="11"/>
      <c r="BG181" s="11"/>
      <c r="BH181" s="11"/>
      <c r="BI181" s="11"/>
      <c r="BJ181" s="11" t="s">
        <v>87</v>
      </c>
      <c r="BK181" s="10">
        <v>46303.805902777778</v>
      </c>
      <c r="BL181" s="11"/>
      <c r="BM181" s="11"/>
      <c r="BN181" s="10">
        <v>46303.625</v>
      </c>
      <c r="BO181" s="11"/>
      <c r="BP181" s="11"/>
      <c r="BQ181" s="11"/>
      <c r="BR181" s="11"/>
      <c r="BS181" s="11"/>
      <c r="BT181" s="11"/>
      <c r="BU181" s="11"/>
      <c r="BV181" s="2"/>
      <c r="BW181" s="11"/>
    </row>
    <row r="182" spans="1:75" ht="30" x14ac:dyDescent="0.25">
      <c r="A182" s="2">
        <v>6200180</v>
      </c>
      <c r="B182" s="10">
        <v>46303.805902777778</v>
      </c>
      <c r="C182" s="11" t="s">
        <v>82</v>
      </c>
      <c r="D182" s="11"/>
      <c r="E182" s="11" t="s">
        <v>83</v>
      </c>
      <c r="F182" s="11"/>
      <c r="G182" s="11" t="s">
        <v>592</v>
      </c>
      <c r="H182" s="3"/>
      <c r="I182" s="11" t="s">
        <v>75</v>
      </c>
      <c r="J182" s="11"/>
      <c r="K182" s="11"/>
      <c r="L182" s="11"/>
      <c r="M182" s="11"/>
      <c r="N182" s="2">
        <v>1.25</v>
      </c>
      <c r="O182" s="2"/>
      <c r="P182" s="2"/>
      <c r="Q182" s="2"/>
      <c r="R182" s="11"/>
      <c r="S182" s="11" t="s">
        <v>272</v>
      </c>
      <c r="T182" s="11" t="s">
        <v>85</v>
      </c>
      <c r="U182" s="11"/>
      <c r="V182" s="11"/>
      <c r="W182" s="11"/>
      <c r="X182" s="11"/>
      <c r="Y182" s="11"/>
      <c r="Z182" s="11"/>
      <c r="AA182" s="11"/>
      <c r="AB182" s="9"/>
      <c r="AC182" s="2"/>
      <c r="AD182" s="9"/>
      <c r="AE182" s="2"/>
      <c r="AF182" s="9"/>
      <c r="AG182" s="10"/>
      <c r="AH182" s="11"/>
      <c r="AI182" s="11" t="s">
        <v>86</v>
      </c>
      <c r="AJ182" s="11"/>
      <c r="AK182" s="2"/>
      <c r="AL182" s="11"/>
      <c r="AM182" s="11"/>
      <c r="AN182" s="11"/>
      <c r="AO182" s="2"/>
      <c r="AP182" s="3"/>
      <c r="AQ182" s="11"/>
      <c r="AR182" s="3"/>
      <c r="AS182" s="2"/>
      <c r="AT182" s="11"/>
      <c r="AU182" s="2"/>
      <c r="AV182" s="2"/>
      <c r="AW182" s="2"/>
      <c r="AX182" s="11"/>
      <c r="AY182" s="11"/>
      <c r="AZ182" s="9"/>
      <c r="BA182" s="2">
        <v>1875</v>
      </c>
      <c r="BB182" s="11"/>
      <c r="BC182" s="11"/>
      <c r="BD182" s="11"/>
      <c r="BE182" s="11"/>
      <c r="BF182" s="11"/>
      <c r="BG182" s="11"/>
      <c r="BH182" s="11"/>
      <c r="BI182" s="11"/>
      <c r="BJ182" s="11" t="s">
        <v>87</v>
      </c>
      <c r="BK182" s="10">
        <v>46303.805902777778</v>
      </c>
      <c r="BL182" s="11"/>
      <c r="BM182" s="11"/>
      <c r="BN182" s="10">
        <v>46303.625</v>
      </c>
      <c r="BO182" s="11"/>
      <c r="BP182" s="11"/>
      <c r="BQ182" s="11"/>
      <c r="BR182" s="11"/>
      <c r="BS182" s="11"/>
      <c r="BT182" s="11"/>
      <c r="BU182" s="11"/>
      <c r="BV182" s="2"/>
      <c r="BW182" s="11"/>
    </row>
    <row r="183" spans="1:75" ht="30" x14ac:dyDescent="0.25">
      <c r="A183" s="2">
        <v>6200181</v>
      </c>
      <c r="B183" s="10">
        <v>46303.805902777778</v>
      </c>
      <c r="C183" s="11" t="s">
        <v>82</v>
      </c>
      <c r="D183" s="11"/>
      <c r="E183" s="11" t="s">
        <v>88</v>
      </c>
      <c r="F183" s="11"/>
      <c r="G183" s="11" t="s">
        <v>89</v>
      </c>
      <c r="H183" s="3"/>
      <c r="I183" s="11" t="s">
        <v>90</v>
      </c>
      <c r="J183" s="11"/>
      <c r="K183" s="11"/>
      <c r="L183" s="11"/>
      <c r="M183" s="11"/>
      <c r="N183" s="2">
        <v>1.25</v>
      </c>
      <c r="O183" s="2"/>
      <c r="P183" s="2"/>
      <c r="Q183" s="2"/>
      <c r="R183" s="11"/>
      <c r="S183" s="11" t="s">
        <v>273</v>
      </c>
      <c r="T183" s="11" t="s">
        <v>85</v>
      </c>
      <c r="U183" s="11"/>
      <c r="V183" s="11"/>
      <c r="W183" s="11"/>
      <c r="X183" s="11"/>
      <c r="Y183" s="11"/>
      <c r="Z183" s="11"/>
      <c r="AA183" s="11"/>
      <c r="AB183" s="9"/>
      <c r="AC183" s="2"/>
      <c r="AD183" s="9"/>
      <c r="AE183" s="2"/>
      <c r="AF183" s="9"/>
      <c r="AG183" s="10"/>
      <c r="AH183" s="11"/>
      <c r="AI183" s="11" t="s">
        <v>86</v>
      </c>
      <c r="AJ183" s="11"/>
      <c r="AK183" s="2"/>
      <c r="AL183" s="11"/>
      <c r="AM183" s="11"/>
      <c r="AN183" s="11"/>
      <c r="AO183" s="2"/>
      <c r="AP183" s="3"/>
      <c r="AQ183" s="11"/>
      <c r="AR183" s="3"/>
      <c r="AS183" s="2"/>
      <c r="AT183" s="11"/>
      <c r="AU183" s="2"/>
      <c r="AV183" s="2"/>
      <c r="AW183" s="2"/>
      <c r="AX183" s="11"/>
      <c r="AY183" s="11"/>
      <c r="AZ183" s="9"/>
      <c r="BA183" s="2">
        <v>1875</v>
      </c>
      <c r="BB183" s="11"/>
      <c r="BC183" s="11"/>
      <c r="BD183" s="11"/>
      <c r="BE183" s="11"/>
      <c r="BF183" s="11"/>
      <c r="BG183" s="11"/>
      <c r="BH183" s="11"/>
      <c r="BI183" s="11"/>
      <c r="BJ183" s="11" t="s">
        <v>87</v>
      </c>
      <c r="BK183" s="10">
        <v>46303.805902777778</v>
      </c>
      <c r="BL183" s="11"/>
      <c r="BM183" s="11"/>
      <c r="BN183" s="10">
        <v>46303.625</v>
      </c>
      <c r="BO183" s="11"/>
      <c r="BP183" s="11"/>
      <c r="BQ183" s="11"/>
      <c r="BR183" s="11"/>
      <c r="BS183" s="11"/>
      <c r="BT183" s="11"/>
      <c r="BU183" s="11"/>
      <c r="BV183" s="2"/>
      <c r="BW183" s="11"/>
    </row>
    <row r="184" spans="1:75" ht="30" x14ac:dyDescent="0.25">
      <c r="A184" s="2">
        <v>6200182</v>
      </c>
      <c r="B184" s="10">
        <v>46303.805902777778</v>
      </c>
      <c r="C184" s="11" t="s">
        <v>82</v>
      </c>
      <c r="D184" s="11"/>
      <c r="E184" s="11" t="s">
        <v>92</v>
      </c>
      <c r="F184" s="11"/>
      <c r="G184" s="2">
        <v>470123456</v>
      </c>
      <c r="H184" s="3"/>
      <c r="I184" s="11" t="s">
        <v>75</v>
      </c>
      <c r="J184" s="11"/>
      <c r="K184" s="11"/>
      <c r="L184" s="11"/>
      <c r="M184" s="11"/>
      <c r="N184" s="2">
        <v>1.25</v>
      </c>
      <c r="O184" s="2"/>
      <c r="P184" s="2"/>
      <c r="Q184" s="2"/>
      <c r="R184" s="11"/>
      <c r="S184" s="11" t="s">
        <v>274</v>
      </c>
      <c r="T184" s="11" t="s">
        <v>85</v>
      </c>
      <c r="U184" s="11"/>
      <c r="V184" s="11"/>
      <c r="W184" s="11"/>
      <c r="X184" s="11"/>
      <c r="Y184" s="11"/>
      <c r="Z184" s="11"/>
      <c r="AA184" s="11"/>
      <c r="AB184" s="9"/>
      <c r="AC184" s="2"/>
      <c r="AD184" s="9"/>
      <c r="AE184" s="2"/>
      <c r="AF184" s="9"/>
      <c r="AG184" s="10"/>
      <c r="AH184" s="11"/>
      <c r="AI184" s="11" t="s">
        <v>86</v>
      </c>
      <c r="AJ184" s="11"/>
      <c r="AK184" s="2"/>
      <c r="AL184" s="11"/>
      <c r="AM184" s="11"/>
      <c r="AN184" s="11"/>
      <c r="AO184" s="2"/>
      <c r="AP184" s="3"/>
      <c r="AQ184" s="11"/>
      <c r="AR184" s="3"/>
      <c r="AS184" s="2"/>
      <c r="AT184" s="11"/>
      <c r="AU184" s="2"/>
      <c r="AV184" s="2"/>
      <c r="AW184" s="2"/>
      <c r="AX184" s="11"/>
      <c r="AY184" s="11"/>
      <c r="AZ184" s="9"/>
      <c r="BA184" s="2">
        <v>1875</v>
      </c>
      <c r="BB184" s="11"/>
      <c r="BC184" s="11"/>
      <c r="BD184" s="11"/>
      <c r="BE184" s="11"/>
      <c r="BF184" s="11"/>
      <c r="BG184" s="11"/>
      <c r="BH184" s="11"/>
      <c r="BI184" s="11"/>
      <c r="BJ184" s="11" t="s">
        <v>87</v>
      </c>
      <c r="BK184" s="10">
        <v>46303.805902777778</v>
      </c>
      <c r="BL184" s="11"/>
      <c r="BM184" s="11"/>
      <c r="BN184" s="10">
        <v>46303.625</v>
      </c>
      <c r="BO184" s="11"/>
      <c r="BP184" s="11"/>
      <c r="BQ184" s="11"/>
      <c r="BR184" s="11"/>
      <c r="BS184" s="11"/>
      <c r="BT184" s="11"/>
      <c r="BU184" s="11"/>
      <c r="BV184" s="2"/>
      <c r="BW184" s="11"/>
    </row>
    <row r="185" spans="1:75" ht="30" x14ac:dyDescent="0.25">
      <c r="A185" s="2">
        <v>6200183</v>
      </c>
      <c r="B185" s="10">
        <v>46303.805902777778</v>
      </c>
      <c r="C185" s="11" t="s">
        <v>82</v>
      </c>
      <c r="D185" s="11"/>
      <c r="E185" s="11" t="s">
        <v>83</v>
      </c>
      <c r="F185" s="11"/>
      <c r="G185" s="11" t="s">
        <v>94</v>
      </c>
      <c r="H185" s="3"/>
      <c r="I185" s="11" t="s">
        <v>90</v>
      </c>
      <c r="J185" s="11"/>
      <c r="K185" s="11"/>
      <c r="L185" s="11"/>
      <c r="M185" s="11"/>
      <c r="N185" s="2">
        <v>1.25</v>
      </c>
      <c r="O185" s="2"/>
      <c r="P185" s="2"/>
      <c r="Q185" s="2"/>
      <c r="R185" s="11"/>
      <c r="S185" s="11" t="s">
        <v>275</v>
      </c>
      <c r="T185" s="11" t="s">
        <v>85</v>
      </c>
      <c r="U185" s="11"/>
      <c r="V185" s="11"/>
      <c r="W185" s="11"/>
      <c r="X185" s="11"/>
      <c r="Y185" s="11"/>
      <c r="Z185" s="11"/>
      <c r="AA185" s="11"/>
      <c r="AB185" s="9"/>
      <c r="AC185" s="2"/>
      <c r="AD185" s="9"/>
      <c r="AE185" s="2"/>
      <c r="AF185" s="9"/>
      <c r="AG185" s="10"/>
      <c r="AH185" s="11"/>
      <c r="AI185" s="11" t="s">
        <v>86</v>
      </c>
      <c r="AJ185" s="11"/>
      <c r="AK185" s="2"/>
      <c r="AL185" s="11"/>
      <c r="AM185" s="11"/>
      <c r="AN185" s="11"/>
      <c r="AO185" s="2"/>
      <c r="AP185" s="3"/>
      <c r="AQ185" s="11"/>
      <c r="AR185" s="3"/>
      <c r="AS185" s="2"/>
      <c r="AT185" s="11"/>
      <c r="AU185" s="2"/>
      <c r="AV185" s="2"/>
      <c r="AW185" s="2"/>
      <c r="AX185" s="11"/>
      <c r="AY185" s="11"/>
      <c r="AZ185" s="9"/>
      <c r="BA185" s="2">
        <v>1875</v>
      </c>
      <c r="BB185" s="11"/>
      <c r="BC185" s="11"/>
      <c r="BD185" s="11"/>
      <c r="BE185" s="11"/>
      <c r="BF185" s="11"/>
      <c r="BG185" s="11"/>
      <c r="BH185" s="11"/>
      <c r="BI185" s="11"/>
      <c r="BJ185" s="11" t="s">
        <v>87</v>
      </c>
      <c r="BK185" s="10">
        <v>46303.805902777778</v>
      </c>
      <c r="BL185" s="11"/>
      <c r="BM185" s="11"/>
      <c r="BN185" s="10">
        <v>46303.625</v>
      </c>
      <c r="BO185" s="11"/>
      <c r="BP185" s="11"/>
      <c r="BQ185" s="11"/>
      <c r="BR185" s="11"/>
      <c r="BS185" s="11"/>
      <c r="BT185" s="11"/>
      <c r="BU185" s="11"/>
      <c r="BV185" s="2"/>
      <c r="BW185" s="11"/>
    </row>
    <row r="186" spans="1:75" ht="30" x14ac:dyDescent="0.25">
      <c r="A186" s="2">
        <v>6200184</v>
      </c>
      <c r="B186" s="10">
        <v>46303.805902777778</v>
      </c>
      <c r="C186" s="11" t="s">
        <v>82</v>
      </c>
      <c r="D186" s="11"/>
      <c r="E186" s="11" t="s">
        <v>88</v>
      </c>
      <c r="F186" s="11"/>
      <c r="G186" s="11" t="s">
        <v>593</v>
      </c>
      <c r="H186" s="3"/>
      <c r="I186" s="11" t="s">
        <v>75</v>
      </c>
      <c r="J186" s="11"/>
      <c r="K186" s="11"/>
      <c r="L186" s="11"/>
      <c r="M186" s="11"/>
      <c r="N186" s="2">
        <v>1.25</v>
      </c>
      <c r="O186" s="2"/>
      <c r="P186" s="2"/>
      <c r="Q186" s="2"/>
      <c r="R186" s="11"/>
      <c r="S186" s="11" t="s">
        <v>276</v>
      </c>
      <c r="T186" s="11" t="s">
        <v>85</v>
      </c>
      <c r="U186" s="11"/>
      <c r="V186" s="11"/>
      <c r="W186" s="11"/>
      <c r="X186" s="11"/>
      <c r="Y186" s="11"/>
      <c r="Z186" s="11"/>
      <c r="AA186" s="11"/>
      <c r="AB186" s="9"/>
      <c r="AC186" s="2"/>
      <c r="AD186" s="9"/>
      <c r="AE186" s="2"/>
      <c r="AF186" s="9"/>
      <c r="AG186" s="10"/>
      <c r="AH186" s="11"/>
      <c r="AI186" s="11" t="s">
        <v>86</v>
      </c>
      <c r="AJ186" s="11"/>
      <c r="AK186" s="2"/>
      <c r="AL186" s="11"/>
      <c r="AM186" s="11"/>
      <c r="AN186" s="11"/>
      <c r="AO186" s="2"/>
      <c r="AP186" s="3"/>
      <c r="AQ186" s="11"/>
      <c r="AR186" s="3"/>
      <c r="AS186" s="2"/>
      <c r="AT186" s="11"/>
      <c r="AU186" s="2"/>
      <c r="AV186" s="2"/>
      <c r="AW186" s="2"/>
      <c r="AX186" s="11"/>
      <c r="AY186" s="11"/>
      <c r="AZ186" s="9"/>
      <c r="BA186" s="2">
        <v>1875</v>
      </c>
      <c r="BB186" s="11"/>
      <c r="BC186" s="11"/>
      <c r="BD186" s="11"/>
      <c r="BE186" s="11"/>
      <c r="BF186" s="11"/>
      <c r="BG186" s="11"/>
      <c r="BH186" s="11"/>
      <c r="BI186" s="11"/>
      <c r="BJ186" s="11" t="s">
        <v>87</v>
      </c>
      <c r="BK186" s="10">
        <v>46303.805902777778</v>
      </c>
      <c r="BL186" s="11"/>
      <c r="BM186" s="11"/>
      <c r="BN186" s="10">
        <v>46303.625</v>
      </c>
      <c r="BO186" s="11"/>
      <c r="BP186" s="11"/>
      <c r="BQ186" s="11"/>
      <c r="BR186" s="11"/>
      <c r="BS186" s="11"/>
      <c r="BT186" s="11"/>
      <c r="BU186" s="11"/>
      <c r="BV186" s="2"/>
      <c r="BW186" s="11"/>
    </row>
    <row r="187" spans="1:75" ht="30" x14ac:dyDescent="0.25">
      <c r="A187" s="2">
        <v>6200185</v>
      </c>
      <c r="B187" s="10">
        <v>46303.805902777778</v>
      </c>
      <c r="C187" s="11" t="s">
        <v>82</v>
      </c>
      <c r="D187" s="11"/>
      <c r="E187" s="11" t="s">
        <v>92</v>
      </c>
      <c r="F187" s="11"/>
      <c r="G187" s="11" t="s">
        <v>592</v>
      </c>
      <c r="H187" s="3"/>
      <c r="I187" s="11" t="s">
        <v>75</v>
      </c>
      <c r="J187" s="11"/>
      <c r="K187" s="11"/>
      <c r="L187" s="11"/>
      <c r="M187" s="11"/>
      <c r="N187" s="2">
        <v>1.25</v>
      </c>
      <c r="O187" s="2"/>
      <c r="P187" s="2"/>
      <c r="Q187" s="2"/>
      <c r="R187" s="11"/>
      <c r="S187" s="11" t="s">
        <v>277</v>
      </c>
      <c r="T187" s="11" t="s">
        <v>85</v>
      </c>
      <c r="U187" s="11"/>
      <c r="V187" s="11"/>
      <c r="W187" s="11"/>
      <c r="X187" s="11"/>
      <c r="Y187" s="11"/>
      <c r="Z187" s="11"/>
      <c r="AA187" s="11"/>
      <c r="AB187" s="9"/>
      <c r="AC187" s="2"/>
      <c r="AD187" s="9"/>
      <c r="AE187" s="2"/>
      <c r="AF187" s="9"/>
      <c r="AG187" s="10"/>
      <c r="AH187" s="11"/>
      <c r="AI187" s="11" t="s">
        <v>86</v>
      </c>
      <c r="AJ187" s="11"/>
      <c r="AK187" s="2"/>
      <c r="AL187" s="11"/>
      <c r="AM187" s="11"/>
      <c r="AN187" s="11"/>
      <c r="AO187" s="2"/>
      <c r="AP187" s="3"/>
      <c r="AQ187" s="11"/>
      <c r="AR187" s="3"/>
      <c r="AS187" s="2"/>
      <c r="AT187" s="11"/>
      <c r="AU187" s="2"/>
      <c r="AV187" s="2"/>
      <c r="AW187" s="2"/>
      <c r="AX187" s="11"/>
      <c r="AY187" s="11"/>
      <c r="AZ187" s="9"/>
      <c r="BA187" s="2">
        <v>1875</v>
      </c>
      <c r="BB187" s="11"/>
      <c r="BC187" s="11"/>
      <c r="BD187" s="11"/>
      <c r="BE187" s="11"/>
      <c r="BF187" s="11"/>
      <c r="BG187" s="11"/>
      <c r="BH187" s="11"/>
      <c r="BI187" s="11"/>
      <c r="BJ187" s="11" t="s">
        <v>87</v>
      </c>
      <c r="BK187" s="10">
        <v>46303.805902777778</v>
      </c>
      <c r="BL187" s="11"/>
      <c r="BM187" s="11"/>
      <c r="BN187" s="10">
        <v>46303.625</v>
      </c>
      <c r="BO187" s="11"/>
      <c r="BP187" s="11"/>
      <c r="BQ187" s="11"/>
      <c r="BR187" s="11"/>
      <c r="BS187" s="11"/>
      <c r="BT187" s="11"/>
      <c r="BU187" s="11"/>
      <c r="BV187" s="2"/>
      <c r="BW187" s="11"/>
    </row>
    <row r="188" spans="1:75" ht="30" x14ac:dyDescent="0.25">
      <c r="A188" s="2">
        <v>6200186</v>
      </c>
      <c r="B188" s="10">
        <v>46303.805902777778</v>
      </c>
      <c r="C188" s="11" t="s">
        <v>82</v>
      </c>
      <c r="D188" s="11"/>
      <c r="E188" s="11" t="s">
        <v>83</v>
      </c>
      <c r="F188" s="11"/>
      <c r="G188" s="11" t="s">
        <v>89</v>
      </c>
      <c r="H188" s="3"/>
      <c r="I188" s="11" t="s">
        <v>90</v>
      </c>
      <c r="J188" s="11"/>
      <c r="K188" s="11"/>
      <c r="L188" s="11"/>
      <c r="M188" s="11"/>
      <c r="N188" s="2">
        <v>1.25</v>
      </c>
      <c r="O188" s="2"/>
      <c r="P188" s="2"/>
      <c r="Q188" s="2"/>
      <c r="R188" s="11"/>
      <c r="S188" s="11" t="s">
        <v>278</v>
      </c>
      <c r="T188" s="11" t="s">
        <v>85</v>
      </c>
      <c r="U188" s="11"/>
      <c r="V188" s="11"/>
      <c r="W188" s="11"/>
      <c r="X188" s="11"/>
      <c r="Y188" s="11"/>
      <c r="Z188" s="11"/>
      <c r="AA188" s="11"/>
      <c r="AB188" s="9"/>
      <c r="AC188" s="2"/>
      <c r="AD188" s="9"/>
      <c r="AE188" s="2"/>
      <c r="AF188" s="9"/>
      <c r="AG188" s="10"/>
      <c r="AH188" s="11"/>
      <c r="AI188" s="11" t="s">
        <v>86</v>
      </c>
      <c r="AJ188" s="11"/>
      <c r="AK188" s="2"/>
      <c r="AL188" s="11"/>
      <c r="AM188" s="11"/>
      <c r="AN188" s="11"/>
      <c r="AO188" s="2"/>
      <c r="AP188" s="3"/>
      <c r="AQ188" s="11"/>
      <c r="AR188" s="3"/>
      <c r="AS188" s="2"/>
      <c r="AT188" s="11"/>
      <c r="AU188" s="2"/>
      <c r="AV188" s="2"/>
      <c r="AW188" s="2"/>
      <c r="AX188" s="11"/>
      <c r="AY188" s="11"/>
      <c r="AZ188" s="9"/>
      <c r="BA188" s="2">
        <v>1875</v>
      </c>
      <c r="BB188" s="11"/>
      <c r="BC188" s="11"/>
      <c r="BD188" s="11"/>
      <c r="BE188" s="11"/>
      <c r="BF188" s="11"/>
      <c r="BG188" s="11"/>
      <c r="BH188" s="11"/>
      <c r="BI188" s="11"/>
      <c r="BJ188" s="11" t="s">
        <v>87</v>
      </c>
      <c r="BK188" s="10">
        <v>46303.805902777778</v>
      </c>
      <c r="BL188" s="11"/>
      <c r="BM188" s="11"/>
      <c r="BN188" s="10">
        <v>46303.625</v>
      </c>
      <c r="BO188" s="11"/>
      <c r="BP188" s="11"/>
      <c r="BQ188" s="11"/>
      <c r="BR188" s="11"/>
      <c r="BS188" s="11"/>
      <c r="BT188" s="11"/>
      <c r="BU188" s="11"/>
      <c r="BV188" s="2"/>
      <c r="BW188" s="11"/>
    </row>
    <row r="189" spans="1:75" ht="30" x14ac:dyDescent="0.25">
      <c r="A189" s="2">
        <v>6200187</v>
      </c>
      <c r="B189" s="10">
        <v>46303.805902777778</v>
      </c>
      <c r="C189" s="11" t="s">
        <v>82</v>
      </c>
      <c r="D189" s="11"/>
      <c r="E189" s="11" t="s">
        <v>88</v>
      </c>
      <c r="F189" s="11"/>
      <c r="G189" s="2">
        <v>470123456</v>
      </c>
      <c r="H189" s="3"/>
      <c r="I189" s="11" t="s">
        <v>75</v>
      </c>
      <c r="J189" s="11"/>
      <c r="K189" s="11"/>
      <c r="L189" s="11"/>
      <c r="M189" s="11"/>
      <c r="N189" s="2">
        <v>1.25</v>
      </c>
      <c r="O189" s="2"/>
      <c r="P189" s="2"/>
      <c r="Q189" s="2"/>
      <c r="R189" s="11"/>
      <c r="S189" s="11" t="s">
        <v>279</v>
      </c>
      <c r="T189" s="11" t="s">
        <v>85</v>
      </c>
      <c r="U189" s="11"/>
      <c r="V189" s="11"/>
      <c r="W189" s="11"/>
      <c r="X189" s="11"/>
      <c r="Y189" s="11"/>
      <c r="Z189" s="11"/>
      <c r="AA189" s="11"/>
      <c r="AB189" s="9"/>
      <c r="AC189" s="2"/>
      <c r="AD189" s="9"/>
      <c r="AE189" s="2"/>
      <c r="AF189" s="9"/>
      <c r="AG189" s="10"/>
      <c r="AH189" s="11"/>
      <c r="AI189" s="11" t="s">
        <v>86</v>
      </c>
      <c r="AJ189" s="11"/>
      <c r="AK189" s="2"/>
      <c r="AL189" s="11"/>
      <c r="AM189" s="11"/>
      <c r="AN189" s="11"/>
      <c r="AO189" s="2"/>
      <c r="AP189" s="3"/>
      <c r="AQ189" s="11"/>
      <c r="AR189" s="3"/>
      <c r="AS189" s="2"/>
      <c r="AT189" s="11"/>
      <c r="AU189" s="2"/>
      <c r="AV189" s="2"/>
      <c r="AW189" s="2"/>
      <c r="AX189" s="11"/>
      <c r="AY189" s="11"/>
      <c r="AZ189" s="9"/>
      <c r="BA189" s="2">
        <v>1875</v>
      </c>
      <c r="BB189" s="11"/>
      <c r="BC189" s="11"/>
      <c r="BD189" s="11"/>
      <c r="BE189" s="11"/>
      <c r="BF189" s="11"/>
      <c r="BG189" s="11"/>
      <c r="BH189" s="11"/>
      <c r="BI189" s="11"/>
      <c r="BJ189" s="11" t="s">
        <v>87</v>
      </c>
      <c r="BK189" s="10">
        <v>46303.805902777778</v>
      </c>
      <c r="BL189" s="11"/>
      <c r="BM189" s="11"/>
      <c r="BN189" s="10">
        <v>46303.625</v>
      </c>
      <c r="BO189" s="11"/>
      <c r="BP189" s="11"/>
      <c r="BQ189" s="11"/>
      <c r="BR189" s="11"/>
      <c r="BS189" s="11"/>
      <c r="BT189" s="11"/>
      <c r="BU189" s="11"/>
      <c r="BV189" s="2"/>
      <c r="BW189" s="11"/>
    </row>
    <row r="190" spans="1:75" ht="30" x14ac:dyDescent="0.25">
      <c r="A190" s="2">
        <v>6200188</v>
      </c>
      <c r="B190" s="10">
        <v>46303.805902777778</v>
      </c>
      <c r="C190" s="11" t="s">
        <v>82</v>
      </c>
      <c r="D190" s="11"/>
      <c r="E190" s="11" t="s">
        <v>92</v>
      </c>
      <c r="F190" s="11"/>
      <c r="G190" s="11" t="s">
        <v>94</v>
      </c>
      <c r="H190" s="3"/>
      <c r="I190" s="11" t="s">
        <v>90</v>
      </c>
      <c r="J190" s="11"/>
      <c r="K190" s="11"/>
      <c r="L190" s="11"/>
      <c r="M190" s="11"/>
      <c r="N190" s="2">
        <v>1.25</v>
      </c>
      <c r="O190" s="2"/>
      <c r="P190" s="2"/>
      <c r="Q190" s="2"/>
      <c r="R190" s="11"/>
      <c r="S190" s="11" t="s">
        <v>280</v>
      </c>
      <c r="T190" s="11" t="s">
        <v>85</v>
      </c>
      <c r="U190" s="11"/>
      <c r="V190" s="11"/>
      <c r="W190" s="11"/>
      <c r="X190" s="11"/>
      <c r="Y190" s="11"/>
      <c r="Z190" s="11"/>
      <c r="AA190" s="11"/>
      <c r="AB190" s="9"/>
      <c r="AC190" s="2"/>
      <c r="AD190" s="9"/>
      <c r="AE190" s="2"/>
      <c r="AF190" s="9"/>
      <c r="AG190" s="10"/>
      <c r="AH190" s="11"/>
      <c r="AI190" s="11" t="s">
        <v>86</v>
      </c>
      <c r="AJ190" s="11"/>
      <c r="AK190" s="2"/>
      <c r="AL190" s="11"/>
      <c r="AM190" s="11"/>
      <c r="AN190" s="11"/>
      <c r="AO190" s="2"/>
      <c r="AP190" s="3"/>
      <c r="AQ190" s="11"/>
      <c r="AR190" s="3"/>
      <c r="AS190" s="2"/>
      <c r="AT190" s="11"/>
      <c r="AU190" s="2"/>
      <c r="AV190" s="2"/>
      <c r="AW190" s="2"/>
      <c r="AX190" s="11"/>
      <c r="AY190" s="11"/>
      <c r="AZ190" s="9"/>
      <c r="BA190" s="2">
        <v>1875</v>
      </c>
      <c r="BB190" s="11"/>
      <c r="BC190" s="11"/>
      <c r="BD190" s="11"/>
      <c r="BE190" s="11"/>
      <c r="BF190" s="11"/>
      <c r="BG190" s="11"/>
      <c r="BH190" s="11"/>
      <c r="BI190" s="11"/>
      <c r="BJ190" s="11" t="s">
        <v>87</v>
      </c>
      <c r="BK190" s="10">
        <v>46303.805902777778</v>
      </c>
      <c r="BL190" s="11"/>
      <c r="BM190" s="11"/>
      <c r="BN190" s="10">
        <v>46303.625</v>
      </c>
      <c r="BO190" s="11"/>
      <c r="BP190" s="11"/>
      <c r="BQ190" s="11"/>
      <c r="BR190" s="11"/>
      <c r="BS190" s="11"/>
      <c r="BT190" s="11"/>
      <c r="BU190" s="11"/>
      <c r="BV190" s="2"/>
      <c r="BW190" s="11"/>
    </row>
    <row r="191" spans="1:75" ht="30" x14ac:dyDescent="0.25">
      <c r="A191" s="2">
        <v>6200189</v>
      </c>
      <c r="B191" s="10">
        <v>46303.805902777778</v>
      </c>
      <c r="C191" s="11" t="s">
        <v>82</v>
      </c>
      <c r="D191" s="11"/>
      <c r="E191" s="11" t="s">
        <v>83</v>
      </c>
      <c r="F191" s="11"/>
      <c r="G191" s="11" t="s">
        <v>593</v>
      </c>
      <c r="H191" s="3"/>
      <c r="I191" s="11" t="s">
        <v>75</v>
      </c>
      <c r="J191" s="11"/>
      <c r="K191" s="11"/>
      <c r="L191" s="11"/>
      <c r="M191" s="11"/>
      <c r="N191" s="2">
        <v>1.25</v>
      </c>
      <c r="O191" s="2"/>
      <c r="P191" s="2"/>
      <c r="Q191" s="2"/>
      <c r="R191" s="11"/>
      <c r="S191" s="11" t="s">
        <v>281</v>
      </c>
      <c r="T191" s="11" t="s">
        <v>85</v>
      </c>
      <c r="U191" s="11"/>
      <c r="V191" s="11"/>
      <c r="W191" s="11"/>
      <c r="X191" s="11"/>
      <c r="Y191" s="11"/>
      <c r="Z191" s="11"/>
      <c r="AA191" s="11"/>
      <c r="AB191" s="9"/>
      <c r="AC191" s="2"/>
      <c r="AD191" s="9"/>
      <c r="AE191" s="2"/>
      <c r="AF191" s="9"/>
      <c r="AG191" s="10"/>
      <c r="AH191" s="11"/>
      <c r="AI191" s="11" t="s">
        <v>86</v>
      </c>
      <c r="AJ191" s="11"/>
      <c r="AK191" s="2"/>
      <c r="AL191" s="11"/>
      <c r="AM191" s="11"/>
      <c r="AN191" s="11"/>
      <c r="AO191" s="2"/>
      <c r="AP191" s="3"/>
      <c r="AQ191" s="11"/>
      <c r="AR191" s="3"/>
      <c r="AS191" s="2"/>
      <c r="AT191" s="11"/>
      <c r="AU191" s="2"/>
      <c r="AV191" s="2"/>
      <c r="AW191" s="2"/>
      <c r="AX191" s="11"/>
      <c r="AY191" s="11"/>
      <c r="AZ191" s="9"/>
      <c r="BA191" s="2">
        <v>1875</v>
      </c>
      <c r="BB191" s="11"/>
      <c r="BC191" s="11"/>
      <c r="BD191" s="11"/>
      <c r="BE191" s="11"/>
      <c r="BF191" s="11"/>
      <c r="BG191" s="11"/>
      <c r="BH191" s="11"/>
      <c r="BI191" s="11"/>
      <c r="BJ191" s="11" t="s">
        <v>87</v>
      </c>
      <c r="BK191" s="10">
        <v>46303.805902777778</v>
      </c>
      <c r="BL191" s="11"/>
      <c r="BM191" s="11"/>
      <c r="BN191" s="10">
        <v>46303.625</v>
      </c>
      <c r="BO191" s="11"/>
      <c r="BP191" s="11"/>
      <c r="BQ191" s="11"/>
      <c r="BR191" s="11"/>
      <c r="BS191" s="11"/>
      <c r="BT191" s="11"/>
      <c r="BU191" s="11"/>
      <c r="BV191" s="2"/>
      <c r="BW191" s="11"/>
    </row>
    <row r="192" spans="1:75" ht="30" x14ac:dyDescent="0.25">
      <c r="A192" s="2">
        <v>6200190</v>
      </c>
      <c r="B192" s="10">
        <v>46303.805902777778</v>
      </c>
      <c r="C192" s="11" t="s">
        <v>82</v>
      </c>
      <c r="D192" s="11"/>
      <c r="E192" s="11" t="s">
        <v>88</v>
      </c>
      <c r="F192" s="11"/>
      <c r="G192" s="11" t="s">
        <v>592</v>
      </c>
      <c r="H192" s="3"/>
      <c r="I192" s="11" t="s">
        <v>75</v>
      </c>
      <c r="J192" s="11"/>
      <c r="K192" s="11"/>
      <c r="L192" s="11"/>
      <c r="M192" s="11"/>
      <c r="N192" s="2">
        <v>1.25</v>
      </c>
      <c r="O192" s="2"/>
      <c r="P192" s="2"/>
      <c r="Q192" s="2"/>
      <c r="R192" s="11"/>
      <c r="S192" s="11" t="s">
        <v>282</v>
      </c>
      <c r="T192" s="11" t="s">
        <v>85</v>
      </c>
      <c r="U192" s="11"/>
      <c r="V192" s="11"/>
      <c r="W192" s="11"/>
      <c r="X192" s="11"/>
      <c r="Y192" s="11"/>
      <c r="Z192" s="11"/>
      <c r="AA192" s="11"/>
      <c r="AB192" s="9"/>
      <c r="AC192" s="2"/>
      <c r="AD192" s="9"/>
      <c r="AE192" s="2"/>
      <c r="AF192" s="9"/>
      <c r="AG192" s="10"/>
      <c r="AH192" s="11"/>
      <c r="AI192" s="11" t="s">
        <v>86</v>
      </c>
      <c r="AJ192" s="11"/>
      <c r="AK192" s="2"/>
      <c r="AL192" s="11"/>
      <c r="AM192" s="11"/>
      <c r="AN192" s="11"/>
      <c r="AO192" s="2"/>
      <c r="AP192" s="3"/>
      <c r="AQ192" s="11"/>
      <c r="AR192" s="3"/>
      <c r="AS192" s="2"/>
      <c r="AT192" s="11"/>
      <c r="AU192" s="2"/>
      <c r="AV192" s="2"/>
      <c r="AW192" s="2"/>
      <c r="AX192" s="11"/>
      <c r="AY192" s="11"/>
      <c r="AZ192" s="9"/>
      <c r="BA192" s="2">
        <v>1875</v>
      </c>
      <c r="BB192" s="11"/>
      <c r="BC192" s="11"/>
      <c r="BD192" s="11"/>
      <c r="BE192" s="11"/>
      <c r="BF192" s="11"/>
      <c r="BG192" s="11"/>
      <c r="BH192" s="11"/>
      <c r="BI192" s="11"/>
      <c r="BJ192" s="11" t="s">
        <v>87</v>
      </c>
      <c r="BK192" s="10">
        <v>46303.805902777778</v>
      </c>
      <c r="BL192" s="11"/>
      <c r="BM192" s="11"/>
      <c r="BN192" s="10">
        <v>46303.625</v>
      </c>
      <c r="BO192" s="11"/>
      <c r="BP192" s="11"/>
      <c r="BQ192" s="11"/>
      <c r="BR192" s="11"/>
      <c r="BS192" s="11"/>
      <c r="BT192" s="11"/>
      <c r="BU192" s="11"/>
      <c r="BV192" s="2"/>
      <c r="BW192" s="11"/>
    </row>
    <row r="193" spans="1:75" ht="30" x14ac:dyDescent="0.25">
      <c r="A193" s="2">
        <v>6200191</v>
      </c>
      <c r="B193" s="10">
        <v>46303.805902777778</v>
      </c>
      <c r="C193" s="11" t="s">
        <v>82</v>
      </c>
      <c r="D193" s="11"/>
      <c r="E193" s="11" t="s">
        <v>92</v>
      </c>
      <c r="F193" s="11"/>
      <c r="G193" s="11" t="s">
        <v>89</v>
      </c>
      <c r="H193" s="3"/>
      <c r="I193" s="11" t="s">
        <v>90</v>
      </c>
      <c r="J193" s="11"/>
      <c r="K193" s="11"/>
      <c r="L193" s="11"/>
      <c r="M193" s="11"/>
      <c r="N193" s="2">
        <v>1.25</v>
      </c>
      <c r="O193" s="2"/>
      <c r="P193" s="2"/>
      <c r="Q193" s="2"/>
      <c r="R193" s="11"/>
      <c r="S193" s="11" t="s">
        <v>283</v>
      </c>
      <c r="T193" s="11" t="s">
        <v>85</v>
      </c>
      <c r="U193" s="11"/>
      <c r="V193" s="11"/>
      <c r="W193" s="11"/>
      <c r="X193" s="11"/>
      <c r="Y193" s="11"/>
      <c r="Z193" s="11"/>
      <c r="AA193" s="11"/>
      <c r="AB193" s="9"/>
      <c r="AC193" s="2"/>
      <c r="AD193" s="9"/>
      <c r="AE193" s="2"/>
      <c r="AF193" s="9"/>
      <c r="AG193" s="10"/>
      <c r="AH193" s="11"/>
      <c r="AI193" s="11" t="s">
        <v>86</v>
      </c>
      <c r="AJ193" s="11"/>
      <c r="AK193" s="2"/>
      <c r="AL193" s="11"/>
      <c r="AM193" s="11"/>
      <c r="AN193" s="11"/>
      <c r="AO193" s="2"/>
      <c r="AP193" s="3"/>
      <c r="AQ193" s="11"/>
      <c r="AR193" s="3"/>
      <c r="AS193" s="2"/>
      <c r="AT193" s="11"/>
      <c r="AU193" s="2"/>
      <c r="AV193" s="2"/>
      <c r="AW193" s="2"/>
      <c r="AX193" s="11"/>
      <c r="AY193" s="11"/>
      <c r="AZ193" s="9"/>
      <c r="BA193" s="2">
        <v>1875</v>
      </c>
      <c r="BB193" s="11"/>
      <c r="BC193" s="11"/>
      <c r="BD193" s="11"/>
      <c r="BE193" s="11"/>
      <c r="BF193" s="11"/>
      <c r="BG193" s="11"/>
      <c r="BH193" s="11"/>
      <c r="BI193" s="11"/>
      <c r="BJ193" s="11" t="s">
        <v>87</v>
      </c>
      <c r="BK193" s="10">
        <v>46303.805902777778</v>
      </c>
      <c r="BL193" s="11"/>
      <c r="BM193" s="11"/>
      <c r="BN193" s="10">
        <v>46303.625</v>
      </c>
      <c r="BO193" s="11"/>
      <c r="BP193" s="11"/>
      <c r="BQ193" s="11"/>
      <c r="BR193" s="11"/>
      <c r="BS193" s="11"/>
      <c r="BT193" s="11"/>
      <c r="BU193" s="11"/>
      <c r="BV193" s="2"/>
      <c r="BW193" s="11"/>
    </row>
    <row r="194" spans="1:75" ht="30" x14ac:dyDescent="0.25">
      <c r="A194" s="2">
        <v>6200192</v>
      </c>
      <c r="B194" s="10">
        <v>46303.805902777778</v>
      </c>
      <c r="C194" s="11" t="s">
        <v>82</v>
      </c>
      <c r="D194" s="11"/>
      <c r="E194" s="11" t="s">
        <v>83</v>
      </c>
      <c r="F194" s="11"/>
      <c r="G194" s="2">
        <v>470123456</v>
      </c>
      <c r="H194" s="3"/>
      <c r="I194" s="11" t="s">
        <v>75</v>
      </c>
      <c r="J194" s="11"/>
      <c r="K194" s="11"/>
      <c r="L194" s="11"/>
      <c r="M194" s="11"/>
      <c r="N194" s="2">
        <v>1.25</v>
      </c>
      <c r="O194" s="2"/>
      <c r="P194" s="2"/>
      <c r="Q194" s="2"/>
      <c r="R194" s="11"/>
      <c r="S194" s="11" t="s">
        <v>284</v>
      </c>
      <c r="T194" s="11" t="s">
        <v>85</v>
      </c>
      <c r="U194" s="11"/>
      <c r="V194" s="11"/>
      <c r="W194" s="11"/>
      <c r="X194" s="11"/>
      <c r="Y194" s="11"/>
      <c r="Z194" s="11"/>
      <c r="AA194" s="11"/>
      <c r="AB194" s="9"/>
      <c r="AC194" s="2"/>
      <c r="AD194" s="9"/>
      <c r="AE194" s="2"/>
      <c r="AF194" s="9"/>
      <c r="AG194" s="10"/>
      <c r="AH194" s="11"/>
      <c r="AI194" s="11" t="s">
        <v>86</v>
      </c>
      <c r="AJ194" s="11"/>
      <c r="AK194" s="2"/>
      <c r="AL194" s="11"/>
      <c r="AM194" s="11"/>
      <c r="AN194" s="11"/>
      <c r="AO194" s="2"/>
      <c r="AP194" s="3"/>
      <c r="AQ194" s="11"/>
      <c r="AR194" s="3"/>
      <c r="AS194" s="2"/>
      <c r="AT194" s="11"/>
      <c r="AU194" s="2"/>
      <c r="AV194" s="2"/>
      <c r="AW194" s="2"/>
      <c r="AX194" s="11"/>
      <c r="AY194" s="11"/>
      <c r="AZ194" s="9"/>
      <c r="BA194" s="2">
        <v>1875</v>
      </c>
      <c r="BB194" s="11"/>
      <c r="BC194" s="11"/>
      <c r="BD194" s="11"/>
      <c r="BE194" s="11"/>
      <c r="BF194" s="11"/>
      <c r="BG194" s="11"/>
      <c r="BH194" s="11"/>
      <c r="BI194" s="11"/>
      <c r="BJ194" s="11" t="s">
        <v>87</v>
      </c>
      <c r="BK194" s="10">
        <v>46303.805902777778</v>
      </c>
      <c r="BL194" s="11"/>
      <c r="BM194" s="11"/>
      <c r="BN194" s="10">
        <v>46303.625</v>
      </c>
      <c r="BO194" s="11"/>
      <c r="BP194" s="11"/>
      <c r="BQ194" s="11"/>
      <c r="BR194" s="11"/>
      <c r="BS194" s="11"/>
      <c r="BT194" s="11"/>
      <c r="BU194" s="11"/>
      <c r="BV194" s="2"/>
      <c r="BW194" s="11"/>
    </row>
    <row r="195" spans="1:75" ht="30" x14ac:dyDescent="0.25">
      <c r="A195" s="2">
        <v>6200193</v>
      </c>
      <c r="B195" s="10">
        <v>46303.805902777778</v>
      </c>
      <c r="C195" s="11" t="s">
        <v>82</v>
      </c>
      <c r="D195" s="11"/>
      <c r="E195" s="11" t="s">
        <v>88</v>
      </c>
      <c r="F195" s="11"/>
      <c r="G195" s="11" t="s">
        <v>94</v>
      </c>
      <c r="H195" s="3"/>
      <c r="I195" s="11" t="s">
        <v>90</v>
      </c>
      <c r="J195" s="11"/>
      <c r="K195" s="11"/>
      <c r="L195" s="11"/>
      <c r="M195" s="11"/>
      <c r="N195" s="2">
        <v>1.25</v>
      </c>
      <c r="O195" s="2"/>
      <c r="P195" s="2"/>
      <c r="Q195" s="2"/>
      <c r="R195" s="11"/>
      <c r="S195" s="11" t="s">
        <v>285</v>
      </c>
      <c r="T195" s="11" t="s">
        <v>85</v>
      </c>
      <c r="U195" s="11"/>
      <c r="V195" s="11"/>
      <c r="W195" s="11"/>
      <c r="X195" s="11"/>
      <c r="Y195" s="11"/>
      <c r="Z195" s="11"/>
      <c r="AA195" s="11"/>
      <c r="AB195" s="9"/>
      <c r="AC195" s="2"/>
      <c r="AD195" s="9"/>
      <c r="AE195" s="2"/>
      <c r="AF195" s="9"/>
      <c r="AG195" s="10"/>
      <c r="AH195" s="11"/>
      <c r="AI195" s="11" t="s">
        <v>86</v>
      </c>
      <c r="AJ195" s="11"/>
      <c r="AK195" s="2"/>
      <c r="AL195" s="11"/>
      <c r="AM195" s="11"/>
      <c r="AN195" s="11"/>
      <c r="AO195" s="2"/>
      <c r="AP195" s="3"/>
      <c r="AQ195" s="11"/>
      <c r="AR195" s="3"/>
      <c r="AS195" s="2"/>
      <c r="AT195" s="11"/>
      <c r="AU195" s="2"/>
      <c r="AV195" s="2"/>
      <c r="AW195" s="2"/>
      <c r="AX195" s="11"/>
      <c r="AY195" s="11"/>
      <c r="AZ195" s="9"/>
      <c r="BA195" s="2">
        <v>1875</v>
      </c>
      <c r="BB195" s="11"/>
      <c r="BC195" s="11"/>
      <c r="BD195" s="11"/>
      <c r="BE195" s="11"/>
      <c r="BF195" s="11"/>
      <c r="BG195" s="11"/>
      <c r="BH195" s="11"/>
      <c r="BI195" s="11"/>
      <c r="BJ195" s="11" t="s">
        <v>87</v>
      </c>
      <c r="BK195" s="10">
        <v>46303.805902777778</v>
      </c>
      <c r="BL195" s="11"/>
      <c r="BM195" s="11"/>
      <c r="BN195" s="10">
        <v>46303.625</v>
      </c>
      <c r="BO195" s="11"/>
      <c r="BP195" s="11"/>
      <c r="BQ195" s="11"/>
      <c r="BR195" s="11"/>
      <c r="BS195" s="11"/>
      <c r="BT195" s="11"/>
      <c r="BU195" s="11"/>
      <c r="BV195" s="2"/>
      <c r="BW195" s="11"/>
    </row>
    <row r="196" spans="1:75" ht="30" x14ac:dyDescent="0.25">
      <c r="A196" s="2">
        <v>6200194</v>
      </c>
      <c r="B196" s="10">
        <v>46303.805902777778</v>
      </c>
      <c r="C196" s="11" t="s">
        <v>82</v>
      </c>
      <c r="D196" s="11"/>
      <c r="E196" s="11" t="s">
        <v>92</v>
      </c>
      <c r="F196" s="11"/>
      <c r="G196" s="11" t="s">
        <v>593</v>
      </c>
      <c r="H196" s="3"/>
      <c r="I196" s="11" t="s">
        <v>75</v>
      </c>
      <c r="J196" s="11"/>
      <c r="K196" s="11"/>
      <c r="L196" s="11"/>
      <c r="M196" s="11"/>
      <c r="N196" s="2">
        <v>1.25</v>
      </c>
      <c r="O196" s="2"/>
      <c r="P196" s="2"/>
      <c r="Q196" s="2"/>
      <c r="R196" s="11"/>
      <c r="S196" s="11" t="s">
        <v>286</v>
      </c>
      <c r="T196" s="11" t="s">
        <v>85</v>
      </c>
      <c r="U196" s="11"/>
      <c r="V196" s="11"/>
      <c r="W196" s="11"/>
      <c r="X196" s="11"/>
      <c r="Y196" s="11"/>
      <c r="Z196" s="11"/>
      <c r="AA196" s="11"/>
      <c r="AB196" s="9"/>
      <c r="AC196" s="2"/>
      <c r="AD196" s="9"/>
      <c r="AE196" s="2"/>
      <c r="AF196" s="9"/>
      <c r="AG196" s="10"/>
      <c r="AH196" s="11"/>
      <c r="AI196" s="11" t="s">
        <v>86</v>
      </c>
      <c r="AJ196" s="11"/>
      <c r="AK196" s="2"/>
      <c r="AL196" s="11"/>
      <c r="AM196" s="11"/>
      <c r="AN196" s="11"/>
      <c r="AO196" s="2"/>
      <c r="AP196" s="3"/>
      <c r="AQ196" s="11"/>
      <c r="AR196" s="3"/>
      <c r="AS196" s="2"/>
      <c r="AT196" s="11"/>
      <c r="AU196" s="2"/>
      <c r="AV196" s="2"/>
      <c r="AW196" s="2"/>
      <c r="AX196" s="11"/>
      <c r="AY196" s="11"/>
      <c r="AZ196" s="9"/>
      <c r="BA196" s="2">
        <v>1875</v>
      </c>
      <c r="BB196" s="11"/>
      <c r="BC196" s="11"/>
      <c r="BD196" s="11"/>
      <c r="BE196" s="11"/>
      <c r="BF196" s="11"/>
      <c r="BG196" s="11"/>
      <c r="BH196" s="11"/>
      <c r="BI196" s="11"/>
      <c r="BJ196" s="11" t="s">
        <v>87</v>
      </c>
      <c r="BK196" s="10">
        <v>46303.805902777778</v>
      </c>
      <c r="BL196" s="11"/>
      <c r="BM196" s="11"/>
      <c r="BN196" s="10">
        <v>46303.625</v>
      </c>
      <c r="BO196" s="11"/>
      <c r="BP196" s="11"/>
      <c r="BQ196" s="11"/>
      <c r="BR196" s="11"/>
      <c r="BS196" s="11"/>
      <c r="BT196" s="11"/>
      <c r="BU196" s="11"/>
      <c r="BV196" s="2"/>
      <c r="BW196" s="11"/>
    </row>
    <row r="197" spans="1:75" ht="30" x14ac:dyDescent="0.25">
      <c r="A197" s="2">
        <v>6200195</v>
      </c>
      <c r="B197" s="10">
        <v>46303.805902777778</v>
      </c>
      <c r="C197" s="11" t="s">
        <v>82</v>
      </c>
      <c r="D197" s="11"/>
      <c r="E197" s="11" t="s">
        <v>83</v>
      </c>
      <c r="F197" s="11"/>
      <c r="G197" s="11" t="s">
        <v>592</v>
      </c>
      <c r="H197" s="3"/>
      <c r="I197" s="11" t="s">
        <v>75</v>
      </c>
      <c r="J197" s="11"/>
      <c r="K197" s="11"/>
      <c r="L197" s="11"/>
      <c r="M197" s="11"/>
      <c r="N197" s="2">
        <v>1.25</v>
      </c>
      <c r="O197" s="2"/>
      <c r="P197" s="2"/>
      <c r="Q197" s="2"/>
      <c r="R197" s="11"/>
      <c r="S197" s="11" t="s">
        <v>287</v>
      </c>
      <c r="T197" s="11" t="s">
        <v>85</v>
      </c>
      <c r="U197" s="11"/>
      <c r="V197" s="11"/>
      <c r="W197" s="11"/>
      <c r="X197" s="11"/>
      <c r="Y197" s="11"/>
      <c r="Z197" s="11"/>
      <c r="AA197" s="11"/>
      <c r="AB197" s="9"/>
      <c r="AC197" s="2"/>
      <c r="AD197" s="9"/>
      <c r="AE197" s="2"/>
      <c r="AF197" s="9"/>
      <c r="AG197" s="10"/>
      <c r="AH197" s="11"/>
      <c r="AI197" s="11" t="s">
        <v>86</v>
      </c>
      <c r="AJ197" s="11"/>
      <c r="AK197" s="2"/>
      <c r="AL197" s="11"/>
      <c r="AM197" s="11"/>
      <c r="AN197" s="11"/>
      <c r="AO197" s="2"/>
      <c r="AP197" s="3"/>
      <c r="AQ197" s="11"/>
      <c r="AR197" s="3"/>
      <c r="AS197" s="2"/>
      <c r="AT197" s="11"/>
      <c r="AU197" s="2"/>
      <c r="AV197" s="2"/>
      <c r="AW197" s="2"/>
      <c r="AX197" s="11"/>
      <c r="AY197" s="11"/>
      <c r="AZ197" s="9"/>
      <c r="BA197" s="2">
        <v>1875</v>
      </c>
      <c r="BB197" s="11"/>
      <c r="BC197" s="11"/>
      <c r="BD197" s="11"/>
      <c r="BE197" s="11"/>
      <c r="BF197" s="11"/>
      <c r="BG197" s="11"/>
      <c r="BH197" s="11"/>
      <c r="BI197" s="11"/>
      <c r="BJ197" s="11" t="s">
        <v>87</v>
      </c>
      <c r="BK197" s="10">
        <v>46303.805902777778</v>
      </c>
      <c r="BL197" s="11"/>
      <c r="BM197" s="11"/>
      <c r="BN197" s="10">
        <v>46303.625</v>
      </c>
      <c r="BO197" s="11"/>
      <c r="BP197" s="11"/>
      <c r="BQ197" s="11"/>
      <c r="BR197" s="11"/>
      <c r="BS197" s="11"/>
      <c r="BT197" s="11"/>
      <c r="BU197" s="11"/>
      <c r="BV197" s="2"/>
      <c r="BW197" s="11"/>
    </row>
    <row r="198" spans="1:75" ht="30" x14ac:dyDescent="0.25">
      <c r="A198" s="2">
        <v>6200196</v>
      </c>
      <c r="B198" s="10">
        <v>46303.805902777778</v>
      </c>
      <c r="C198" s="11" t="s">
        <v>82</v>
      </c>
      <c r="D198" s="11"/>
      <c r="E198" s="11" t="s">
        <v>88</v>
      </c>
      <c r="F198" s="11"/>
      <c r="G198" s="11" t="s">
        <v>89</v>
      </c>
      <c r="H198" s="3"/>
      <c r="I198" s="11" t="s">
        <v>90</v>
      </c>
      <c r="J198" s="11"/>
      <c r="K198" s="11"/>
      <c r="L198" s="11"/>
      <c r="M198" s="11"/>
      <c r="N198" s="2">
        <v>1.25</v>
      </c>
      <c r="O198" s="2"/>
      <c r="P198" s="2"/>
      <c r="Q198" s="2"/>
      <c r="R198" s="11"/>
      <c r="S198" s="11" t="s">
        <v>288</v>
      </c>
      <c r="T198" s="11" t="s">
        <v>85</v>
      </c>
      <c r="U198" s="11"/>
      <c r="V198" s="11"/>
      <c r="W198" s="11"/>
      <c r="X198" s="11"/>
      <c r="Y198" s="11"/>
      <c r="Z198" s="11"/>
      <c r="AA198" s="11"/>
      <c r="AB198" s="9"/>
      <c r="AC198" s="2"/>
      <c r="AD198" s="9"/>
      <c r="AE198" s="2"/>
      <c r="AF198" s="9"/>
      <c r="AG198" s="10"/>
      <c r="AH198" s="11"/>
      <c r="AI198" s="11" t="s">
        <v>86</v>
      </c>
      <c r="AJ198" s="11"/>
      <c r="AK198" s="2"/>
      <c r="AL198" s="11"/>
      <c r="AM198" s="11"/>
      <c r="AN198" s="11"/>
      <c r="AO198" s="2"/>
      <c r="AP198" s="3"/>
      <c r="AQ198" s="11"/>
      <c r="AR198" s="3"/>
      <c r="AS198" s="2"/>
      <c r="AT198" s="11"/>
      <c r="AU198" s="2"/>
      <c r="AV198" s="2"/>
      <c r="AW198" s="2"/>
      <c r="AX198" s="11"/>
      <c r="AY198" s="11"/>
      <c r="AZ198" s="9"/>
      <c r="BA198" s="2">
        <v>1875</v>
      </c>
      <c r="BB198" s="11"/>
      <c r="BC198" s="11"/>
      <c r="BD198" s="11"/>
      <c r="BE198" s="11"/>
      <c r="BF198" s="11"/>
      <c r="BG198" s="11"/>
      <c r="BH198" s="11"/>
      <c r="BI198" s="11"/>
      <c r="BJ198" s="11" t="s">
        <v>87</v>
      </c>
      <c r="BK198" s="10">
        <v>46303.805902777778</v>
      </c>
      <c r="BL198" s="11"/>
      <c r="BM198" s="11"/>
      <c r="BN198" s="10">
        <v>46303.625</v>
      </c>
      <c r="BO198" s="11"/>
      <c r="BP198" s="11"/>
      <c r="BQ198" s="11"/>
      <c r="BR198" s="11"/>
      <c r="BS198" s="11"/>
      <c r="BT198" s="11"/>
      <c r="BU198" s="11"/>
      <c r="BV198" s="2"/>
      <c r="BW198" s="11"/>
    </row>
    <row r="199" spans="1:75" ht="30" x14ac:dyDescent="0.25">
      <c r="A199" s="2">
        <v>6200197</v>
      </c>
      <c r="B199" s="10">
        <v>46303.805902777778</v>
      </c>
      <c r="C199" s="11" t="s">
        <v>82</v>
      </c>
      <c r="D199" s="11"/>
      <c r="E199" s="11" t="s">
        <v>92</v>
      </c>
      <c r="F199" s="11"/>
      <c r="G199" s="2">
        <v>470123456</v>
      </c>
      <c r="H199" s="3"/>
      <c r="I199" s="11" t="s">
        <v>75</v>
      </c>
      <c r="J199" s="11"/>
      <c r="K199" s="11"/>
      <c r="L199" s="11"/>
      <c r="M199" s="11"/>
      <c r="N199" s="2">
        <v>1.25</v>
      </c>
      <c r="O199" s="2"/>
      <c r="P199" s="2"/>
      <c r="Q199" s="2"/>
      <c r="R199" s="11"/>
      <c r="S199" s="11" t="s">
        <v>289</v>
      </c>
      <c r="T199" s="11" t="s">
        <v>85</v>
      </c>
      <c r="U199" s="11"/>
      <c r="V199" s="11"/>
      <c r="W199" s="11"/>
      <c r="X199" s="11"/>
      <c r="Y199" s="11"/>
      <c r="Z199" s="11"/>
      <c r="AA199" s="11"/>
      <c r="AB199" s="9"/>
      <c r="AC199" s="2"/>
      <c r="AD199" s="9"/>
      <c r="AE199" s="2"/>
      <c r="AF199" s="9"/>
      <c r="AG199" s="10"/>
      <c r="AH199" s="11"/>
      <c r="AI199" s="11" t="s">
        <v>86</v>
      </c>
      <c r="AJ199" s="11"/>
      <c r="AK199" s="2"/>
      <c r="AL199" s="11"/>
      <c r="AM199" s="11"/>
      <c r="AN199" s="11"/>
      <c r="AO199" s="2"/>
      <c r="AP199" s="3"/>
      <c r="AQ199" s="11"/>
      <c r="AR199" s="3"/>
      <c r="AS199" s="2"/>
      <c r="AT199" s="11"/>
      <c r="AU199" s="2"/>
      <c r="AV199" s="2"/>
      <c r="AW199" s="2"/>
      <c r="AX199" s="11"/>
      <c r="AY199" s="11"/>
      <c r="AZ199" s="9"/>
      <c r="BA199" s="2">
        <v>1875</v>
      </c>
      <c r="BB199" s="11"/>
      <c r="BC199" s="11"/>
      <c r="BD199" s="11"/>
      <c r="BE199" s="11"/>
      <c r="BF199" s="11"/>
      <c r="BG199" s="11"/>
      <c r="BH199" s="11"/>
      <c r="BI199" s="11"/>
      <c r="BJ199" s="11" t="s">
        <v>87</v>
      </c>
      <c r="BK199" s="10">
        <v>46303.805902777778</v>
      </c>
      <c r="BL199" s="11"/>
      <c r="BM199" s="11"/>
      <c r="BN199" s="10">
        <v>46303.625</v>
      </c>
      <c r="BO199" s="11"/>
      <c r="BP199" s="11"/>
      <c r="BQ199" s="11"/>
      <c r="BR199" s="11"/>
      <c r="BS199" s="11"/>
      <c r="BT199" s="11"/>
      <c r="BU199" s="11"/>
      <c r="BV199" s="2"/>
      <c r="BW199" s="11"/>
    </row>
    <row r="200" spans="1:75" ht="30" x14ac:dyDescent="0.25">
      <c r="A200" s="2">
        <v>6200198</v>
      </c>
      <c r="B200" s="10">
        <v>46303.805902777778</v>
      </c>
      <c r="C200" s="11" t="s">
        <v>82</v>
      </c>
      <c r="D200" s="11"/>
      <c r="E200" s="11" t="s">
        <v>83</v>
      </c>
      <c r="F200" s="11"/>
      <c r="G200" s="11" t="s">
        <v>94</v>
      </c>
      <c r="H200" s="3"/>
      <c r="I200" s="11" t="s">
        <v>90</v>
      </c>
      <c r="J200" s="11"/>
      <c r="K200" s="11"/>
      <c r="L200" s="11"/>
      <c r="M200" s="11"/>
      <c r="N200" s="2">
        <v>1.25</v>
      </c>
      <c r="O200" s="2"/>
      <c r="P200" s="2"/>
      <c r="Q200" s="2"/>
      <c r="R200" s="11"/>
      <c r="S200" s="11" t="s">
        <v>290</v>
      </c>
      <c r="T200" s="11" t="s">
        <v>85</v>
      </c>
      <c r="U200" s="11"/>
      <c r="V200" s="11"/>
      <c r="W200" s="11"/>
      <c r="X200" s="11"/>
      <c r="Y200" s="11"/>
      <c r="Z200" s="11"/>
      <c r="AA200" s="11"/>
      <c r="AB200" s="9"/>
      <c r="AC200" s="2"/>
      <c r="AD200" s="9"/>
      <c r="AE200" s="2"/>
      <c r="AF200" s="9"/>
      <c r="AG200" s="10"/>
      <c r="AH200" s="11"/>
      <c r="AI200" s="11" t="s">
        <v>86</v>
      </c>
      <c r="AJ200" s="11"/>
      <c r="AK200" s="2"/>
      <c r="AL200" s="11"/>
      <c r="AM200" s="11"/>
      <c r="AN200" s="11"/>
      <c r="AO200" s="2"/>
      <c r="AP200" s="3"/>
      <c r="AQ200" s="11"/>
      <c r="AR200" s="3"/>
      <c r="AS200" s="2"/>
      <c r="AT200" s="11"/>
      <c r="AU200" s="2"/>
      <c r="AV200" s="2"/>
      <c r="AW200" s="2"/>
      <c r="AX200" s="11"/>
      <c r="AY200" s="11"/>
      <c r="AZ200" s="9"/>
      <c r="BA200" s="2">
        <v>1875</v>
      </c>
      <c r="BB200" s="11"/>
      <c r="BC200" s="11"/>
      <c r="BD200" s="11"/>
      <c r="BE200" s="11"/>
      <c r="BF200" s="11"/>
      <c r="BG200" s="11"/>
      <c r="BH200" s="11"/>
      <c r="BI200" s="11"/>
      <c r="BJ200" s="11" t="s">
        <v>87</v>
      </c>
      <c r="BK200" s="10">
        <v>46303.805902777778</v>
      </c>
      <c r="BL200" s="11"/>
      <c r="BM200" s="11"/>
      <c r="BN200" s="10">
        <v>46303.625</v>
      </c>
      <c r="BO200" s="11"/>
      <c r="BP200" s="11"/>
      <c r="BQ200" s="11"/>
      <c r="BR200" s="11"/>
      <c r="BS200" s="11"/>
      <c r="BT200" s="11"/>
      <c r="BU200" s="11"/>
      <c r="BV200" s="2"/>
      <c r="BW200" s="11"/>
    </row>
    <row r="201" spans="1:75" ht="30" x14ac:dyDescent="0.25">
      <c r="A201" s="2">
        <v>6200199</v>
      </c>
      <c r="B201" s="10">
        <v>46303.805902777778</v>
      </c>
      <c r="C201" s="11" t="s">
        <v>82</v>
      </c>
      <c r="D201" s="11"/>
      <c r="E201" s="11" t="s">
        <v>88</v>
      </c>
      <c r="F201" s="11"/>
      <c r="G201" s="11" t="s">
        <v>593</v>
      </c>
      <c r="H201" s="3"/>
      <c r="I201" s="11" t="s">
        <v>75</v>
      </c>
      <c r="J201" s="11"/>
      <c r="K201" s="11"/>
      <c r="L201" s="11"/>
      <c r="M201" s="11"/>
      <c r="N201" s="2">
        <v>1.25</v>
      </c>
      <c r="O201" s="2"/>
      <c r="P201" s="2"/>
      <c r="Q201" s="2"/>
      <c r="R201" s="11"/>
      <c r="S201" s="11" t="s">
        <v>291</v>
      </c>
      <c r="T201" s="11" t="s">
        <v>85</v>
      </c>
      <c r="U201" s="11"/>
      <c r="V201" s="11"/>
      <c r="W201" s="11"/>
      <c r="X201" s="11"/>
      <c r="Y201" s="11"/>
      <c r="Z201" s="11"/>
      <c r="AA201" s="11"/>
      <c r="AB201" s="9"/>
      <c r="AC201" s="2"/>
      <c r="AD201" s="9"/>
      <c r="AE201" s="2"/>
      <c r="AF201" s="9"/>
      <c r="AG201" s="10"/>
      <c r="AH201" s="11"/>
      <c r="AI201" s="11" t="s">
        <v>86</v>
      </c>
      <c r="AJ201" s="11"/>
      <c r="AK201" s="2"/>
      <c r="AL201" s="11"/>
      <c r="AM201" s="11"/>
      <c r="AN201" s="11"/>
      <c r="AO201" s="2"/>
      <c r="AP201" s="3"/>
      <c r="AQ201" s="11"/>
      <c r="AR201" s="3"/>
      <c r="AS201" s="2"/>
      <c r="AT201" s="11"/>
      <c r="AU201" s="2"/>
      <c r="AV201" s="2"/>
      <c r="AW201" s="2"/>
      <c r="AX201" s="11"/>
      <c r="AY201" s="11"/>
      <c r="AZ201" s="9"/>
      <c r="BA201" s="2">
        <v>1875</v>
      </c>
      <c r="BB201" s="11"/>
      <c r="BC201" s="11"/>
      <c r="BD201" s="11"/>
      <c r="BE201" s="11"/>
      <c r="BF201" s="11"/>
      <c r="BG201" s="11"/>
      <c r="BH201" s="11"/>
      <c r="BI201" s="11"/>
      <c r="BJ201" s="11" t="s">
        <v>87</v>
      </c>
      <c r="BK201" s="10">
        <v>46303.805902777778</v>
      </c>
      <c r="BL201" s="11"/>
      <c r="BM201" s="11"/>
      <c r="BN201" s="10">
        <v>46303.625</v>
      </c>
      <c r="BO201" s="11"/>
      <c r="BP201" s="11"/>
      <c r="BQ201" s="11"/>
      <c r="BR201" s="11"/>
      <c r="BS201" s="11"/>
      <c r="BT201" s="11"/>
      <c r="BU201" s="11"/>
      <c r="BV201" s="2"/>
      <c r="BW201" s="11"/>
    </row>
    <row r="202" spans="1:75" ht="30" x14ac:dyDescent="0.25">
      <c r="A202" s="2">
        <v>6200200</v>
      </c>
      <c r="B202" s="10">
        <v>46303.805902777778</v>
      </c>
      <c r="C202" s="11" t="s">
        <v>82</v>
      </c>
      <c r="D202" s="11"/>
      <c r="E202" s="11" t="s">
        <v>92</v>
      </c>
      <c r="F202" s="11"/>
      <c r="G202" s="11" t="s">
        <v>592</v>
      </c>
      <c r="H202" s="3"/>
      <c r="I202" s="11" t="s">
        <v>75</v>
      </c>
      <c r="J202" s="11"/>
      <c r="K202" s="11"/>
      <c r="L202" s="11"/>
      <c r="M202" s="11"/>
      <c r="N202" s="2">
        <v>1.25</v>
      </c>
      <c r="O202" s="2"/>
      <c r="P202" s="2"/>
      <c r="Q202" s="2"/>
      <c r="R202" s="11"/>
      <c r="S202" s="11" t="s">
        <v>292</v>
      </c>
      <c r="T202" s="11" t="s">
        <v>85</v>
      </c>
      <c r="U202" s="11"/>
      <c r="V202" s="11"/>
      <c r="W202" s="11"/>
      <c r="X202" s="11"/>
      <c r="Y202" s="11"/>
      <c r="Z202" s="11"/>
      <c r="AA202" s="11"/>
      <c r="AB202" s="9"/>
      <c r="AC202" s="2"/>
      <c r="AD202" s="9"/>
      <c r="AE202" s="2"/>
      <c r="AF202" s="9"/>
      <c r="AG202" s="10"/>
      <c r="AH202" s="11"/>
      <c r="AI202" s="11" t="s">
        <v>86</v>
      </c>
      <c r="AJ202" s="11"/>
      <c r="AK202" s="2"/>
      <c r="AL202" s="11"/>
      <c r="AM202" s="11"/>
      <c r="AN202" s="11"/>
      <c r="AO202" s="2"/>
      <c r="AP202" s="3"/>
      <c r="AQ202" s="11"/>
      <c r="AR202" s="3"/>
      <c r="AS202" s="2"/>
      <c r="AT202" s="11"/>
      <c r="AU202" s="2"/>
      <c r="AV202" s="2"/>
      <c r="AW202" s="2"/>
      <c r="AX202" s="11"/>
      <c r="AY202" s="11"/>
      <c r="AZ202" s="9"/>
      <c r="BA202" s="2">
        <v>1875</v>
      </c>
      <c r="BB202" s="11"/>
      <c r="BC202" s="11"/>
      <c r="BD202" s="11"/>
      <c r="BE202" s="11"/>
      <c r="BF202" s="11"/>
      <c r="BG202" s="11"/>
      <c r="BH202" s="11"/>
      <c r="BI202" s="11"/>
      <c r="BJ202" s="11" t="s">
        <v>87</v>
      </c>
      <c r="BK202" s="10">
        <v>46303.805902777778</v>
      </c>
      <c r="BL202" s="11"/>
      <c r="BM202" s="11"/>
      <c r="BN202" s="10">
        <v>46303.625</v>
      </c>
      <c r="BO202" s="11"/>
      <c r="BP202" s="11"/>
      <c r="BQ202" s="11"/>
      <c r="BR202" s="11"/>
      <c r="BS202" s="11"/>
      <c r="BT202" s="11"/>
      <c r="BU202" s="11"/>
      <c r="BV202" s="2"/>
      <c r="BW202" s="11"/>
    </row>
    <row r="203" spans="1:75" ht="30" x14ac:dyDescent="0.25">
      <c r="A203" s="2">
        <v>6200201</v>
      </c>
      <c r="B203" s="10">
        <v>46303.805902777778</v>
      </c>
      <c r="C203" s="11" t="s">
        <v>82</v>
      </c>
      <c r="D203" s="11"/>
      <c r="E203" s="11" t="s">
        <v>83</v>
      </c>
      <c r="F203" s="11"/>
      <c r="G203" s="11" t="s">
        <v>89</v>
      </c>
      <c r="H203" s="3"/>
      <c r="I203" s="11" t="s">
        <v>90</v>
      </c>
      <c r="J203" s="11"/>
      <c r="K203" s="11"/>
      <c r="L203" s="11"/>
      <c r="M203" s="11"/>
      <c r="N203" s="2">
        <v>1.25</v>
      </c>
      <c r="O203" s="2"/>
      <c r="P203" s="2"/>
      <c r="Q203" s="2"/>
      <c r="R203" s="11"/>
      <c r="S203" s="11" t="s">
        <v>293</v>
      </c>
      <c r="T203" s="11" t="s">
        <v>85</v>
      </c>
      <c r="U203" s="11"/>
      <c r="V203" s="11"/>
      <c r="W203" s="11"/>
      <c r="X203" s="11"/>
      <c r="Y203" s="11"/>
      <c r="Z203" s="11"/>
      <c r="AA203" s="11"/>
      <c r="AB203" s="9"/>
      <c r="AC203" s="2"/>
      <c r="AD203" s="9"/>
      <c r="AE203" s="2"/>
      <c r="AF203" s="9"/>
      <c r="AG203" s="10"/>
      <c r="AH203" s="11"/>
      <c r="AI203" s="11" t="s">
        <v>86</v>
      </c>
      <c r="AJ203" s="11"/>
      <c r="AK203" s="2"/>
      <c r="AL203" s="11"/>
      <c r="AM203" s="11"/>
      <c r="AN203" s="11"/>
      <c r="AO203" s="2"/>
      <c r="AP203" s="3"/>
      <c r="AQ203" s="11"/>
      <c r="AR203" s="3"/>
      <c r="AS203" s="2"/>
      <c r="AT203" s="11"/>
      <c r="AU203" s="2"/>
      <c r="AV203" s="2"/>
      <c r="AW203" s="2"/>
      <c r="AX203" s="11"/>
      <c r="AY203" s="11"/>
      <c r="AZ203" s="9"/>
      <c r="BA203" s="2">
        <v>1875</v>
      </c>
      <c r="BB203" s="11"/>
      <c r="BC203" s="11"/>
      <c r="BD203" s="11"/>
      <c r="BE203" s="11"/>
      <c r="BF203" s="11"/>
      <c r="BG203" s="11"/>
      <c r="BH203" s="11"/>
      <c r="BI203" s="11"/>
      <c r="BJ203" s="11" t="s">
        <v>87</v>
      </c>
      <c r="BK203" s="10">
        <v>46303.805902777778</v>
      </c>
      <c r="BL203" s="11"/>
      <c r="BM203" s="11"/>
      <c r="BN203" s="10">
        <v>46303.625</v>
      </c>
      <c r="BO203" s="11"/>
      <c r="BP203" s="11"/>
      <c r="BQ203" s="11"/>
      <c r="BR203" s="11"/>
      <c r="BS203" s="11"/>
      <c r="BT203" s="11"/>
      <c r="BU203" s="11"/>
      <c r="BV203" s="2"/>
      <c r="BW203" s="11"/>
    </row>
    <row r="204" spans="1:75" ht="30" x14ac:dyDescent="0.25">
      <c r="A204" s="2">
        <v>6200202</v>
      </c>
      <c r="B204" s="10">
        <v>46303.805902777778</v>
      </c>
      <c r="C204" s="11" t="s">
        <v>82</v>
      </c>
      <c r="D204" s="11"/>
      <c r="E204" s="11" t="s">
        <v>88</v>
      </c>
      <c r="F204" s="11"/>
      <c r="G204" s="2">
        <v>470123456</v>
      </c>
      <c r="H204" s="3"/>
      <c r="I204" s="11" t="s">
        <v>75</v>
      </c>
      <c r="J204" s="11"/>
      <c r="K204" s="11"/>
      <c r="L204" s="11"/>
      <c r="M204" s="11"/>
      <c r="N204" s="2">
        <v>1.25</v>
      </c>
      <c r="O204" s="2"/>
      <c r="P204" s="2"/>
      <c r="Q204" s="2"/>
      <c r="R204" s="11"/>
      <c r="S204" s="11" t="s">
        <v>294</v>
      </c>
      <c r="T204" s="11" t="s">
        <v>85</v>
      </c>
      <c r="U204" s="11"/>
      <c r="V204" s="11"/>
      <c r="W204" s="11"/>
      <c r="X204" s="11"/>
      <c r="Y204" s="11"/>
      <c r="Z204" s="11"/>
      <c r="AA204" s="11"/>
      <c r="AB204" s="9"/>
      <c r="AC204" s="2"/>
      <c r="AD204" s="9"/>
      <c r="AE204" s="2"/>
      <c r="AF204" s="9"/>
      <c r="AG204" s="10"/>
      <c r="AH204" s="11"/>
      <c r="AI204" s="11" t="s">
        <v>86</v>
      </c>
      <c r="AJ204" s="11"/>
      <c r="AK204" s="2"/>
      <c r="AL204" s="11"/>
      <c r="AM204" s="11"/>
      <c r="AN204" s="11"/>
      <c r="AO204" s="2"/>
      <c r="AP204" s="3"/>
      <c r="AQ204" s="11"/>
      <c r="AR204" s="3"/>
      <c r="AS204" s="2"/>
      <c r="AT204" s="11"/>
      <c r="AU204" s="2"/>
      <c r="AV204" s="2"/>
      <c r="AW204" s="2"/>
      <c r="AX204" s="11"/>
      <c r="AY204" s="11"/>
      <c r="AZ204" s="9"/>
      <c r="BA204" s="2">
        <v>1875</v>
      </c>
      <c r="BB204" s="11"/>
      <c r="BC204" s="11"/>
      <c r="BD204" s="11"/>
      <c r="BE204" s="11"/>
      <c r="BF204" s="11"/>
      <c r="BG204" s="11"/>
      <c r="BH204" s="11"/>
      <c r="BI204" s="11"/>
      <c r="BJ204" s="11" t="s">
        <v>87</v>
      </c>
      <c r="BK204" s="10">
        <v>46303.805902777778</v>
      </c>
      <c r="BL204" s="11"/>
      <c r="BM204" s="11"/>
      <c r="BN204" s="10">
        <v>46303.625</v>
      </c>
      <c r="BO204" s="11"/>
      <c r="BP204" s="11"/>
      <c r="BQ204" s="11"/>
      <c r="BR204" s="11"/>
      <c r="BS204" s="11"/>
      <c r="BT204" s="11"/>
      <c r="BU204" s="11"/>
      <c r="BV204" s="2"/>
      <c r="BW204" s="11"/>
    </row>
    <row r="205" spans="1:75" ht="30" x14ac:dyDescent="0.25">
      <c r="A205" s="2">
        <v>6200203</v>
      </c>
      <c r="B205" s="10">
        <v>46303.805902777778</v>
      </c>
      <c r="C205" s="11" t="s">
        <v>82</v>
      </c>
      <c r="D205" s="11"/>
      <c r="E205" s="11" t="s">
        <v>92</v>
      </c>
      <c r="F205" s="11"/>
      <c r="G205" s="11" t="s">
        <v>94</v>
      </c>
      <c r="H205" s="3"/>
      <c r="I205" s="11" t="s">
        <v>90</v>
      </c>
      <c r="J205" s="11"/>
      <c r="K205" s="11"/>
      <c r="L205" s="11"/>
      <c r="M205" s="11"/>
      <c r="N205" s="2">
        <v>1.25</v>
      </c>
      <c r="O205" s="2"/>
      <c r="P205" s="2"/>
      <c r="Q205" s="2"/>
      <c r="R205" s="11"/>
      <c r="S205" s="11" t="s">
        <v>295</v>
      </c>
      <c r="T205" s="11" t="s">
        <v>85</v>
      </c>
      <c r="U205" s="11"/>
      <c r="V205" s="11"/>
      <c r="W205" s="11"/>
      <c r="X205" s="11"/>
      <c r="Y205" s="11"/>
      <c r="Z205" s="11"/>
      <c r="AA205" s="11"/>
      <c r="AB205" s="9"/>
      <c r="AC205" s="2"/>
      <c r="AD205" s="9"/>
      <c r="AE205" s="2"/>
      <c r="AF205" s="9"/>
      <c r="AG205" s="10"/>
      <c r="AH205" s="11"/>
      <c r="AI205" s="11" t="s">
        <v>86</v>
      </c>
      <c r="AJ205" s="11"/>
      <c r="AK205" s="2"/>
      <c r="AL205" s="11"/>
      <c r="AM205" s="11"/>
      <c r="AN205" s="11"/>
      <c r="AO205" s="2"/>
      <c r="AP205" s="3"/>
      <c r="AQ205" s="11"/>
      <c r="AR205" s="3"/>
      <c r="AS205" s="2"/>
      <c r="AT205" s="11"/>
      <c r="AU205" s="2"/>
      <c r="AV205" s="2"/>
      <c r="AW205" s="2"/>
      <c r="AX205" s="11"/>
      <c r="AY205" s="11"/>
      <c r="AZ205" s="9"/>
      <c r="BA205" s="2">
        <v>1875</v>
      </c>
      <c r="BB205" s="11"/>
      <c r="BC205" s="11"/>
      <c r="BD205" s="11"/>
      <c r="BE205" s="11"/>
      <c r="BF205" s="11"/>
      <c r="BG205" s="11"/>
      <c r="BH205" s="11"/>
      <c r="BI205" s="11"/>
      <c r="BJ205" s="11" t="s">
        <v>87</v>
      </c>
      <c r="BK205" s="10">
        <v>46303.805902777778</v>
      </c>
      <c r="BL205" s="11"/>
      <c r="BM205" s="11"/>
      <c r="BN205" s="10">
        <v>46303.625</v>
      </c>
      <c r="BO205" s="11"/>
      <c r="BP205" s="11"/>
      <c r="BQ205" s="11"/>
      <c r="BR205" s="11"/>
      <c r="BS205" s="11"/>
      <c r="BT205" s="11"/>
      <c r="BU205" s="11"/>
      <c r="BV205" s="2"/>
      <c r="BW205" s="11"/>
    </row>
    <row r="206" spans="1:75" ht="30" x14ac:dyDescent="0.25">
      <c r="A206" s="2">
        <v>6200204</v>
      </c>
      <c r="B206" s="10">
        <v>46303.805902777778</v>
      </c>
      <c r="C206" s="11" t="s">
        <v>82</v>
      </c>
      <c r="D206" s="11"/>
      <c r="E206" s="11" t="s">
        <v>83</v>
      </c>
      <c r="F206" s="11"/>
      <c r="G206" s="11" t="s">
        <v>593</v>
      </c>
      <c r="H206" s="3"/>
      <c r="I206" s="11" t="s">
        <v>75</v>
      </c>
      <c r="J206" s="11"/>
      <c r="K206" s="11"/>
      <c r="L206" s="11"/>
      <c r="M206" s="11"/>
      <c r="N206" s="2">
        <v>1.25</v>
      </c>
      <c r="O206" s="2"/>
      <c r="P206" s="2"/>
      <c r="Q206" s="2"/>
      <c r="R206" s="11"/>
      <c r="S206" s="11" t="s">
        <v>296</v>
      </c>
      <c r="T206" s="11" t="s">
        <v>85</v>
      </c>
      <c r="U206" s="11"/>
      <c r="V206" s="11"/>
      <c r="W206" s="11"/>
      <c r="X206" s="11"/>
      <c r="Y206" s="11"/>
      <c r="Z206" s="11"/>
      <c r="AA206" s="11"/>
      <c r="AB206" s="9"/>
      <c r="AC206" s="2"/>
      <c r="AD206" s="9"/>
      <c r="AE206" s="2"/>
      <c r="AF206" s="9"/>
      <c r="AG206" s="10"/>
      <c r="AH206" s="11"/>
      <c r="AI206" s="11" t="s">
        <v>86</v>
      </c>
      <c r="AJ206" s="11"/>
      <c r="AK206" s="2"/>
      <c r="AL206" s="11"/>
      <c r="AM206" s="11"/>
      <c r="AN206" s="11"/>
      <c r="AO206" s="2"/>
      <c r="AP206" s="3"/>
      <c r="AQ206" s="11"/>
      <c r="AR206" s="3"/>
      <c r="AS206" s="2"/>
      <c r="AT206" s="11"/>
      <c r="AU206" s="2"/>
      <c r="AV206" s="2"/>
      <c r="AW206" s="2"/>
      <c r="AX206" s="11"/>
      <c r="AY206" s="11"/>
      <c r="AZ206" s="9"/>
      <c r="BA206" s="2">
        <v>1875</v>
      </c>
      <c r="BB206" s="11"/>
      <c r="BC206" s="11"/>
      <c r="BD206" s="11"/>
      <c r="BE206" s="11"/>
      <c r="BF206" s="11"/>
      <c r="BG206" s="11"/>
      <c r="BH206" s="11"/>
      <c r="BI206" s="11"/>
      <c r="BJ206" s="11" t="s">
        <v>87</v>
      </c>
      <c r="BK206" s="10">
        <v>46303.805902777778</v>
      </c>
      <c r="BL206" s="11"/>
      <c r="BM206" s="11"/>
      <c r="BN206" s="10">
        <v>46303.625</v>
      </c>
      <c r="BO206" s="11"/>
      <c r="BP206" s="11"/>
      <c r="BQ206" s="11"/>
      <c r="BR206" s="11"/>
      <c r="BS206" s="11"/>
      <c r="BT206" s="11"/>
      <c r="BU206" s="11"/>
      <c r="BV206" s="2"/>
      <c r="BW206" s="11"/>
    </row>
    <row r="207" spans="1:75" ht="30" x14ac:dyDescent="0.25">
      <c r="A207" s="2">
        <v>6200205</v>
      </c>
      <c r="B207" s="10">
        <v>46303.805902777778</v>
      </c>
      <c r="C207" s="11" t="s">
        <v>82</v>
      </c>
      <c r="D207" s="11"/>
      <c r="E207" s="11" t="s">
        <v>88</v>
      </c>
      <c r="F207" s="11"/>
      <c r="G207" s="11" t="s">
        <v>592</v>
      </c>
      <c r="H207" s="3"/>
      <c r="I207" s="11" t="s">
        <v>75</v>
      </c>
      <c r="J207" s="11"/>
      <c r="K207" s="11"/>
      <c r="L207" s="11"/>
      <c r="M207" s="11"/>
      <c r="N207" s="2">
        <v>1.25</v>
      </c>
      <c r="O207" s="2"/>
      <c r="P207" s="2"/>
      <c r="Q207" s="2"/>
      <c r="R207" s="11"/>
      <c r="S207" s="11" t="s">
        <v>297</v>
      </c>
      <c r="T207" s="11" t="s">
        <v>85</v>
      </c>
      <c r="U207" s="11"/>
      <c r="V207" s="11"/>
      <c r="W207" s="11"/>
      <c r="X207" s="11"/>
      <c r="Y207" s="11"/>
      <c r="Z207" s="11"/>
      <c r="AA207" s="11"/>
      <c r="AB207" s="9"/>
      <c r="AC207" s="2"/>
      <c r="AD207" s="9"/>
      <c r="AE207" s="2"/>
      <c r="AF207" s="9"/>
      <c r="AG207" s="10"/>
      <c r="AH207" s="11"/>
      <c r="AI207" s="11" t="s">
        <v>86</v>
      </c>
      <c r="AJ207" s="11"/>
      <c r="AK207" s="2"/>
      <c r="AL207" s="11"/>
      <c r="AM207" s="11"/>
      <c r="AN207" s="11"/>
      <c r="AO207" s="2"/>
      <c r="AP207" s="3"/>
      <c r="AQ207" s="11"/>
      <c r="AR207" s="3"/>
      <c r="AS207" s="2"/>
      <c r="AT207" s="11"/>
      <c r="AU207" s="2"/>
      <c r="AV207" s="2"/>
      <c r="AW207" s="2"/>
      <c r="AX207" s="11"/>
      <c r="AY207" s="11"/>
      <c r="AZ207" s="9"/>
      <c r="BA207" s="2">
        <v>1875</v>
      </c>
      <c r="BB207" s="11"/>
      <c r="BC207" s="11"/>
      <c r="BD207" s="11"/>
      <c r="BE207" s="11"/>
      <c r="BF207" s="11"/>
      <c r="BG207" s="11"/>
      <c r="BH207" s="11"/>
      <c r="BI207" s="11"/>
      <c r="BJ207" s="11" t="s">
        <v>87</v>
      </c>
      <c r="BK207" s="10">
        <v>46303.805902777778</v>
      </c>
      <c r="BL207" s="11"/>
      <c r="BM207" s="11"/>
      <c r="BN207" s="10">
        <v>46303.625</v>
      </c>
      <c r="BO207" s="11"/>
      <c r="BP207" s="11"/>
      <c r="BQ207" s="11"/>
      <c r="BR207" s="11"/>
      <c r="BS207" s="11"/>
      <c r="BT207" s="11"/>
      <c r="BU207" s="11"/>
      <c r="BV207" s="2"/>
      <c r="BW207" s="11"/>
    </row>
    <row r="208" spans="1:75" ht="30" x14ac:dyDescent="0.25">
      <c r="A208" s="2">
        <v>6200206</v>
      </c>
      <c r="B208" s="10">
        <v>46303.805902777778</v>
      </c>
      <c r="C208" s="11" t="s">
        <v>82</v>
      </c>
      <c r="D208" s="11"/>
      <c r="E208" s="11" t="s">
        <v>92</v>
      </c>
      <c r="F208" s="11"/>
      <c r="G208" s="11" t="s">
        <v>89</v>
      </c>
      <c r="H208" s="3"/>
      <c r="I208" s="11" t="s">
        <v>90</v>
      </c>
      <c r="J208" s="11"/>
      <c r="K208" s="11"/>
      <c r="L208" s="11"/>
      <c r="M208" s="11"/>
      <c r="N208" s="2">
        <v>1.25</v>
      </c>
      <c r="O208" s="2"/>
      <c r="P208" s="2"/>
      <c r="Q208" s="2"/>
      <c r="R208" s="11"/>
      <c r="S208" s="11" t="s">
        <v>298</v>
      </c>
      <c r="T208" s="11" t="s">
        <v>85</v>
      </c>
      <c r="U208" s="11"/>
      <c r="V208" s="11"/>
      <c r="W208" s="11"/>
      <c r="X208" s="11"/>
      <c r="Y208" s="11"/>
      <c r="Z208" s="11"/>
      <c r="AA208" s="11"/>
      <c r="AB208" s="9"/>
      <c r="AC208" s="2"/>
      <c r="AD208" s="9"/>
      <c r="AE208" s="2"/>
      <c r="AF208" s="9"/>
      <c r="AG208" s="10"/>
      <c r="AH208" s="11"/>
      <c r="AI208" s="11" t="s">
        <v>86</v>
      </c>
      <c r="AJ208" s="11"/>
      <c r="AK208" s="2"/>
      <c r="AL208" s="11"/>
      <c r="AM208" s="11"/>
      <c r="AN208" s="11"/>
      <c r="AO208" s="2"/>
      <c r="AP208" s="3"/>
      <c r="AQ208" s="11"/>
      <c r="AR208" s="3"/>
      <c r="AS208" s="2"/>
      <c r="AT208" s="11"/>
      <c r="AU208" s="2"/>
      <c r="AV208" s="2"/>
      <c r="AW208" s="2"/>
      <c r="AX208" s="11"/>
      <c r="AY208" s="11"/>
      <c r="AZ208" s="9"/>
      <c r="BA208" s="2">
        <v>1875</v>
      </c>
      <c r="BB208" s="11"/>
      <c r="BC208" s="11"/>
      <c r="BD208" s="11"/>
      <c r="BE208" s="11"/>
      <c r="BF208" s="11"/>
      <c r="BG208" s="11"/>
      <c r="BH208" s="11"/>
      <c r="BI208" s="11"/>
      <c r="BJ208" s="11" t="s">
        <v>87</v>
      </c>
      <c r="BK208" s="10">
        <v>46303.805902777778</v>
      </c>
      <c r="BL208" s="11"/>
      <c r="BM208" s="11"/>
      <c r="BN208" s="10">
        <v>46303.625</v>
      </c>
      <c r="BO208" s="11"/>
      <c r="BP208" s="11"/>
      <c r="BQ208" s="11"/>
      <c r="BR208" s="11"/>
      <c r="BS208" s="11"/>
      <c r="BT208" s="11"/>
      <c r="BU208" s="11"/>
      <c r="BV208" s="2"/>
      <c r="BW208" s="11"/>
    </row>
    <row r="209" spans="1:75" ht="30" x14ac:dyDescent="0.25">
      <c r="A209" s="2">
        <v>6200207</v>
      </c>
      <c r="B209" s="10">
        <v>46303.805902777778</v>
      </c>
      <c r="C209" s="11" t="s">
        <v>82</v>
      </c>
      <c r="D209" s="11"/>
      <c r="E209" s="11" t="s">
        <v>83</v>
      </c>
      <c r="F209" s="11"/>
      <c r="G209" s="2">
        <v>470123456</v>
      </c>
      <c r="H209" s="3"/>
      <c r="I209" s="11" t="s">
        <v>75</v>
      </c>
      <c r="J209" s="11"/>
      <c r="K209" s="11"/>
      <c r="L209" s="11"/>
      <c r="M209" s="11"/>
      <c r="N209" s="2">
        <v>1.25</v>
      </c>
      <c r="O209" s="2"/>
      <c r="P209" s="2"/>
      <c r="Q209" s="2"/>
      <c r="R209" s="11"/>
      <c r="S209" s="11" t="s">
        <v>299</v>
      </c>
      <c r="T209" s="11" t="s">
        <v>85</v>
      </c>
      <c r="U209" s="11"/>
      <c r="V209" s="11"/>
      <c r="W209" s="11"/>
      <c r="X209" s="11"/>
      <c r="Y209" s="11"/>
      <c r="Z209" s="11"/>
      <c r="AA209" s="11"/>
      <c r="AB209" s="9"/>
      <c r="AC209" s="2"/>
      <c r="AD209" s="9"/>
      <c r="AE209" s="2"/>
      <c r="AF209" s="9"/>
      <c r="AG209" s="10"/>
      <c r="AH209" s="11"/>
      <c r="AI209" s="11" t="s">
        <v>86</v>
      </c>
      <c r="AJ209" s="11"/>
      <c r="AK209" s="2"/>
      <c r="AL209" s="11"/>
      <c r="AM209" s="11"/>
      <c r="AN209" s="11"/>
      <c r="AO209" s="2"/>
      <c r="AP209" s="3"/>
      <c r="AQ209" s="11"/>
      <c r="AR209" s="3"/>
      <c r="AS209" s="2"/>
      <c r="AT209" s="11"/>
      <c r="AU209" s="2"/>
      <c r="AV209" s="2"/>
      <c r="AW209" s="2"/>
      <c r="AX209" s="11"/>
      <c r="AY209" s="11"/>
      <c r="AZ209" s="9"/>
      <c r="BA209" s="2">
        <v>1875</v>
      </c>
      <c r="BB209" s="11"/>
      <c r="BC209" s="11"/>
      <c r="BD209" s="11"/>
      <c r="BE209" s="11"/>
      <c r="BF209" s="11"/>
      <c r="BG209" s="11"/>
      <c r="BH209" s="11"/>
      <c r="BI209" s="11"/>
      <c r="BJ209" s="11" t="s">
        <v>87</v>
      </c>
      <c r="BK209" s="10">
        <v>46303.805902777778</v>
      </c>
      <c r="BL209" s="11"/>
      <c r="BM209" s="11"/>
      <c r="BN209" s="10">
        <v>46303.625</v>
      </c>
      <c r="BO209" s="11"/>
      <c r="BP209" s="11"/>
      <c r="BQ209" s="11"/>
      <c r="BR209" s="11"/>
      <c r="BS209" s="11"/>
      <c r="BT209" s="11"/>
      <c r="BU209" s="11"/>
      <c r="BV209" s="2"/>
      <c r="BW209" s="11"/>
    </row>
    <row r="210" spans="1:75" ht="30" x14ac:dyDescent="0.25">
      <c r="A210" s="2">
        <v>6200208</v>
      </c>
      <c r="B210" s="10">
        <v>46303.805902777778</v>
      </c>
      <c r="C210" s="11" t="s">
        <v>82</v>
      </c>
      <c r="D210" s="11"/>
      <c r="E210" s="11" t="s">
        <v>88</v>
      </c>
      <c r="F210" s="11"/>
      <c r="G210" s="11" t="s">
        <v>94</v>
      </c>
      <c r="H210" s="3"/>
      <c r="I210" s="11" t="s">
        <v>90</v>
      </c>
      <c r="J210" s="11"/>
      <c r="K210" s="11"/>
      <c r="L210" s="11"/>
      <c r="M210" s="11"/>
      <c r="N210" s="2">
        <v>1.25</v>
      </c>
      <c r="O210" s="2"/>
      <c r="P210" s="2"/>
      <c r="Q210" s="2"/>
      <c r="R210" s="11"/>
      <c r="S210" s="11" t="s">
        <v>300</v>
      </c>
      <c r="T210" s="11" t="s">
        <v>85</v>
      </c>
      <c r="U210" s="11"/>
      <c r="V210" s="11"/>
      <c r="W210" s="11"/>
      <c r="X210" s="11"/>
      <c r="Y210" s="11"/>
      <c r="Z210" s="11"/>
      <c r="AA210" s="11"/>
      <c r="AB210" s="9"/>
      <c r="AC210" s="2"/>
      <c r="AD210" s="9"/>
      <c r="AE210" s="2"/>
      <c r="AF210" s="9"/>
      <c r="AG210" s="10"/>
      <c r="AH210" s="11"/>
      <c r="AI210" s="11" t="s">
        <v>86</v>
      </c>
      <c r="AJ210" s="11"/>
      <c r="AK210" s="2"/>
      <c r="AL210" s="11"/>
      <c r="AM210" s="11"/>
      <c r="AN210" s="11"/>
      <c r="AO210" s="2"/>
      <c r="AP210" s="3"/>
      <c r="AQ210" s="11"/>
      <c r="AR210" s="3"/>
      <c r="AS210" s="2"/>
      <c r="AT210" s="11"/>
      <c r="AU210" s="2"/>
      <c r="AV210" s="2"/>
      <c r="AW210" s="2"/>
      <c r="AX210" s="11"/>
      <c r="AY210" s="11"/>
      <c r="AZ210" s="9"/>
      <c r="BA210" s="2">
        <v>1875</v>
      </c>
      <c r="BB210" s="11"/>
      <c r="BC210" s="11"/>
      <c r="BD210" s="11"/>
      <c r="BE210" s="11"/>
      <c r="BF210" s="11"/>
      <c r="BG210" s="11"/>
      <c r="BH210" s="11"/>
      <c r="BI210" s="11"/>
      <c r="BJ210" s="11" t="s">
        <v>87</v>
      </c>
      <c r="BK210" s="10">
        <v>46303.805902777778</v>
      </c>
      <c r="BL210" s="11"/>
      <c r="BM210" s="11"/>
      <c r="BN210" s="10">
        <v>46303.625</v>
      </c>
      <c r="BO210" s="11"/>
      <c r="BP210" s="11"/>
      <c r="BQ210" s="11"/>
      <c r="BR210" s="11"/>
      <c r="BS210" s="11"/>
      <c r="BT210" s="11"/>
      <c r="BU210" s="11"/>
      <c r="BV210" s="2"/>
      <c r="BW210" s="11"/>
    </row>
    <row r="211" spans="1:75" ht="30" x14ac:dyDescent="0.25">
      <c r="A211" s="2">
        <v>6200209</v>
      </c>
      <c r="B211" s="10">
        <v>46303.805902777778</v>
      </c>
      <c r="C211" s="11" t="s">
        <v>82</v>
      </c>
      <c r="D211" s="11"/>
      <c r="E211" s="11" t="s">
        <v>92</v>
      </c>
      <c r="F211" s="11"/>
      <c r="G211" s="11" t="s">
        <v>593</v>
      </c>
      <c r="H211" s="3"/>
      <c r="I211" s="11" t="s">
        <v>75</v>
      </c>
      <c r="J211" s="11"/>
      <c r="K211" s="11"/>
      <c r="L211" s="11"/>
      <c r="M211" s="11"/>
      <c r="N211" s="2">
        <v>1.25</v>
      </c>
      <c r="O211" s="2"/>
      <c r="P211" s="2"/>
      <c r="Q211" s="2"/>
      <c r="R211" s="11"/>
      <c r="S211" s="11" t="s">
        <v>301</v>
      </c>
      <c r="T211" s="11" t="s">
        <v>85</v>
      </c>
      <c r="U211" s="11"/>
      <c r="V211" s="11"/>
      <c r="W211" s="11"/>
      <c r="X211" s="11"/>
      <c r="Y211" s="11"/>
      <c r="Z211" s="11"/>
      <c r="AA211" s="11"/>
      <c r="AB211" s="9"/>
      <c r="AC211" s="2"/>
      <c r="AD211" s="9"/>
      <c r="AE211" s="2"/>
      <c r="AF211" s="9"/>
      <c r="AG211" s="10"/>
      <c r="AH211" s="11"/>
      <c r="AI211" s="11" t="s">
        <v>86</v>
      </c>
      <c r="AJ211" s="11"/>
      <c r="AK211" s="2"/>
      <c r="AL211" s="11"/>
      <c r="AM211" s="11"/>
      <c r="AN211" s="11"/>
      <c r="AO211" s="2"/>
      <c r="AP211" s="3"/>
      <c r="AQ211" s="11"/>
      <c r="AR211" s="3"/>
      <c r="AS211" s="2"/>
      <c r="AT211" s="11"/>
      <c r="AU211" s="2"/>
      <c r="AV211" s="2"/>
      <c r="AW211" s="2"/>
      <c r="AX211" s="11"/>
      <c r="AY211" s="11"/>
      <c r="AZ211" s="9"/>
      <c r="BA211" s="2">
        <v>1875</v>
      </c>
      <c r="BB211" s="11"/>
      <c r="BC211" s="11"/>
      <c r="BD211" s="11"/>
      <c r="BE211" s="11"/>
      <c r="BF211" s="11"/>
      <c r="BG211" s="11"/>
      <c r="BH211" s="11"/>
      <c r="BI211" s="11"/>
      <c r="BJ211" s="11" t="s">
        <v>87</v>
      </c>
      <c r="BK211" s="10">
        <v>46303.805902777778</v>
      </c>
      <c r="BL211" s="11"/>
      <c r="BM211" s="11"/>
      <c r="BN211" s="10">
        <v>46303.625</v>
      </c>
      <c r="BO211" s="11"/>
      <c r="BP211" s="11"/>
      <c r="BQ211" s="11"/>
      <c r="BR211" s="11"/>
      <c r="BS211" s="11"/>
      <c r="BT211" s="11"/>
      <c r="BU211" s="11"/>
      <c r="BV211" s="2"/>
      <c r="BW211" s="11"/>
    </row>
    <row r="212" spans="1:75" ht="30" x14ac:dyDescent="0.25">
      <c r="A212" s="2">
        <v>6200210</v>
      </c>
      <c r="B212" s="10">
        <v>46303.805902777778</v>
      </c>
      <c r="C212" s="11" t="s">
        <v>82</v>
      </c>
      <c r="D212" s="11"/>
      <c r="E212" s="11" t="s">
        <v>83</v>
      </c>
      <c r="F212" s="11"/>
      <c r="G212" s="11" t="s">
        <v>592</v>
      </c>
      <c r="H212" s="3"/>
      <c r="I212" s="11" t="s">
        <v>75</v>
      </c>
      <c r="J212" s="11"/>
      <c r="K212" s="11"/>
      <c r="L212" s="11"/>
      <c r="M212" s="11"/>
      <c r="N212" s="2">
        <v>1.25</v>
      </c>
      <c r="O212" s="2"/>
      <c r="P212" s="2"/>
      <c r="Q212" s="2"/>
      <c r="R212" s="11"/>
      <c r="S212" s="11" t="s">
        <v>302</v>
      </c>
      <c r="T212" s="11" t="s">
        <v>85</v>
      </c>
      <c r="U212" s="11"/>
      <c r="V212" s="11"/>
      <c r="W212" s="11"/>
      <c r="X212" s="11"/>
      <c r="Y212" s="11"/>
      <c r="Z212" s="11"/>
      <c r="AA212" s="11"/>
      <c r="AB212" s="9"/>
      <c r="AC212" s="2"/>
      <c r="AD212" s="9"/>
      <c r="AE212" s="2"/>
      <c r="AF212" s="9"/>
      <c r="AG212" s="10"/>
      <c r="AH212" s="11"/>
      <c r="AI212" s="11" t="s">
        <v>86</v>
      </c>
      <c r="AJ212" s="11"/>
      <c r="AK212" s="2"/>
      <c r="AL212" s="11"/>
      <c r="AM212" s="11"/>
      <c r="AN212" s="11"/>
      <c r="AO212" s="2"/>
      <c r="AP212" s="3"/>
      <c r="AQ212" s="11"/>
      <c r="AR212" s="3"/>
      <c r="AS212" s="2"/>
      <c r="AT212" s="11"/>
      <c r="AU212" s="2"/>
      <c r="AV212" s="2"/>
      <c r="AW212" s="2"/>
      <c r="AX212" s="11"/>
      <c r="AY212" s="11"/>
      <c r="AZ212" s="9"/>
      <c r="BA212" s="2">
        <v>1875</v>
      </c>
      <c r="BB212" s="11"/>
      <c r="BC212" s="11"/>
      <c r="BD212" s="11"/>
      <c r="BE212" s="11"/>
      <c r="BF212" s="11"/>
      <c r="BG212" s="11"/>
      <c r="BH212" s="11"/>
      <c r="BI212" s="11"/>
      <c r="BJ212" s="11" t="s">
        <v>87</v>
      </c>
      <c r="BK212" s="10">
        <v>46303.805902777778</v>
      </c>
      <c r="BL212" s="11"/>
      <c r="BM212" s="11"/>
      <c r="BN212" s="10">
        <v>46303.625</v>
      </c>
      <c r="BO212" s="11"/>
      <c r="BP212" s="11"/>
      <c r="BQ212" s="11"/>
      <c r="BR212" s="11"/>
      <c r="BS212" s="11"/>
      <c r="BT212" s="11"/>
      <c r="BU212" s="11"/>
      <c r="BV212" s="2"/>
      <c r="BW212" s="11"/>
    </row>
    <row r="213" spans="1:75" ht="30" x14ac:dyDescent="0.25">
      <c r="A213" s="2">
        <v>6200211</v>
      </c>
      <c r="B213" s="10">
        <v>46303.805902777778</v>
      </c>
      <c r="C213" s="11" t="s">
        <v>82</v>
      </c>
      <c r="D213" s="11"/>
      <c r="E213" s="11" t="s">
        <v>88</v>
      </c>
      <c r="F213" s="11"/>
      <c r="G213" s="11" t="s">
        <v>89</v>
      </c>
      <c r="H213" s="3"/>
      <c r="I213" s="11" t="s">
        <v>90</v>
      </c>
      <c r="J213" s="11"/>
      <c r="K213" s="11"/>
      <c r="L213" s="11"/>
      <c r="M213" s="11"/>
      <c r="N213" s="2">
        <v>1.25</v>
      </c>
      <c r="O213" s="2"/>
      <c r="P213" s="2"/>
      <c r="Q213" s="2"/>
      <c r="R213" s="11"/>
      <c r="S213" s="11" t="s">
        <v>303</v>
      </c>
      <c r="T213" s="11" t="s">
        <v>85</v>
      </c>
      <c r="U213" s="11"/>
      <c r="V213" s="11"/>
      <c r="W213" s="11"/>
      <c r="X213" s="11"/>
      <c r="Y213" s="11"/>
      <c r="Z213" s="11"/>
      <c r="AA213" s="11"/>
      <c r="AB213" s="9"/>
      <c r="AC213" s="2"/>
      <c r="AD213" s="9"/>
      <c r="AE213" s="2"/>
      <c r="AF213" s="9"/>
      <c r="AG213" s="10"/>
      <c r="AH213" s="11"/>
      <c r="AI213" s="11" t="s">
        <v>86</v>
      </c>
      <c r="AJ213" s="11"/>
      <c r="AK213" s="2"/>
      <c r="AL213" s="11"/>
      <c r="AM213" s="11"/>
      <c r="AN213" s="11"/>
      <c r="AO213" s="2"/>
      <c r="AP213" s="3"/>
      <c r="AQ213" s="11"/>
      <c r="AR213" s="3"/>
      <c r="AS213" s="2"/>
      <c r="AT213" s="11"/>
      <c r="AU213" s="2"/>
      <c r="AV213" s="2"/>
      <c r="AW213" s="2"/>
      <c r="AX213" s="11"/>
      <c r="AY213" s="11"/>
      <c r="AZ213" s="9"/>
      <c r="BA213" s="2">
        <v>1875</v>
      </c>
      <c r="BB213" s="11"/>
      <c r="BC213" s="11"/>
      <c r="BD213" s="11"/>
      <c r="BE213" s="11"/>
      <c r="BF213" s="11"/>
      <c r="BG213" s="11"/>
      <c r="BH213" s="11"/>
      <c r="BI213" s="11"/>
      <c r="BJ213" s="11" t="s">
        <v>87</v>
      </c>
      <c r="BK213" s="10">
        <v>46303.805902777778</v>
      </c>
      <c r="BL213" s="11"/>
      <c r="BM213" s="11"/>
      <c r="BN213" s="10">
        <v>46303.625</v>
      </c>
      <c r="BO213" s="11"/>
      <c r="BP213" s="11"/>
      <c r="BQ213" s="11"/>
      <c r="BR213" s="11"/>
      <c r="BS213" s="11"/>
      <c r="BT213" s="11"/>
      <c r="BU213" s="11"/>
      <c r="BV213" s="2"/>
      <c r="BW213" s="11"/>
    </row>
    <row r="214" spans="1:75" ht="30" x14ac:dyDescent="0.25">
      <c r="A214" s="2">
        <v>6200212</v>
      </c>
      <c r="B214" s="10">
        <v>46303.805902777778</v>
      </c>
      <c r="C214" s="11" t="s">
        <v>82</v>
      </c>
      <c r="D214" s="11"/>
      <c r="E214" s="11" t="s">
        <v>92</v>
      </c>
      <c r="F214" s="11"/>
      <c r="G214" s="2">
        <v>470123456</v>
      </c>
      <c r="H214" s="3"/>
      <c r="I214" s="11" t="s">
        <v>75</v>
      </c>
      <c r="J214" s="11"/>
      <c r="K214" s="11"/>
      <c r="L214" s="11"/>
      <c r="M214" s="11"/>
      <c r="N214" s="2">
        <v>1.25</v>
      </c>
      <c r="O214" s="2"/>
      <c r="P214" s="2"/>
      <c r="Q214" s="2"/>
      <c r="R214" s="11"/>
      <c r="S214" s="11" t="s">
        <v>304</v>
      </c>
      <c r="T214" s="11" t="s">
        <v>85</v>
      </c>
      <c r="U214" s="11"/>
      <c r="V214" s="11"/>
      <c r="W214" s="11"/>
      <c r="X214" s="11"/>
      <c r="Y214" s="11"/>
      <c r="Z214" s="11"/>
      <c r="AA214" s="11"/>
      <c r="AB214" s="9"/>
      <c r="AC214" s="2"/>
      <c r="AD214" s="9"/>
      <c r="AE214" s="2"/>
      <c r="AF214" s="9"/>
      <c r="AG214" s="10"/>
      <c r="AH214" s="11"/>
      <c r="AI214" s="11" t="s">
        <v>86</v>
      </c>
      <c r="AJ214" s="11"/>
      <c r="AK214" s="2"/>
      <c r="AL214" s="11"/>
      <c r="AM214" s="11"/>
      <c r="AN214" s="11"/>
      <c r="AO214" s="2"/>
      <c r="AP214" s="3"/>
      <c r="AQ214" s="11"/>
      <c r="AR214" s="3"/>
      <c r="AS214" s="2"/>
      <c r="AT214" s="11"/>
      <c r="AU214" s="2"/>
      <c r="AV214" s="2"/>
      <c r="AW214" s="2"/>
      <c r="AX214" s="11"/>
      <c r="AY214" s="11"/>
      <c r="AZ214" s="9"/>
      <c r="BA214" s="2">
        <v>1875</v>
      </c>
      <c r="BB214" s="11"/>
      <c r="BC214" s="11"/>
      <c r="BD214" s="11"/>
      <c r="BE214" s="11"/>
      <c r="BF214" s="11"/>
      <c r="BG214" s="11"/>
      <c r="BH214" s="11"/>
      <c r="BI214" s="11"/>
      <c r="BJ214" s="11" t="s">
        <v>87</v>
      </c>
      <c r="BK214" s="10">
        <v>46303.805902777778</v>
      </c>
      <c r="BL214" s="11"/>
      <c r="BM214" s="11"/>
      <c r="BN214" s="10">
        <v>46303.625</v>
      </c>
      <c r="BO214" s="11"/>
      <c r="BP214" s="11"/>
      <c r="BQ214" s="11"/>
      <c r="BR214" s="11"/>
      <c r="BS214" s="11"/>
      <c r="BT214" s="11"/>
      <c r="BU214" s="11"/>
      <c r="BV214" s="2"/>
      <c r="BW214" s="11"/>
    </row>
    <row r="215" spans="1:75" ht="30" x14ac:dyDescent="0.25">
      <c r="A215" s="2">
        <v>6200213</v>
      </c>
      <c r="B215" s="10">
        <v>46303.805902777778</v>
      </c>
      <c r="C215" s="11" t="s">
        <v>82</v>
      </c>
      <c r="D215" s="11"/>
      <c r="E215" s="11" t="s">
        <v>83</v>
      </c>
      <c r="F215" s="11"/>
      <c r="G215" s="11" t="s">
        <v>94</v>
      </c>
      <c r="H215" s="3"/>
      <c r="I215" s="11" t="s">
        <v>90</v>
      </c>
      <c r="J215" s="11"/>
      <c r="K215" s="11"/>
      <c r="L215" s="11"/>
      <c r="M215" s="11"/>
      <c r="N215" s="2">
        <v>1.25</v>
      </c>
      <c r="O215" s="2"/>
      <c r="P215" s="2"/>
      <c r="Q215" s="2"/>
      <c r="R215" s="11"/>
      <c r="S215" s="11" t="s">
        <v>305</v>
      </c>
      <c r="T215" s="11" t="s">
        <v>85</v>
      </c>
      <c r="U215" s="11"/>
      <c r="V215" s="11"/>
      <c r="W215" s="11"/>
      <c r="X215" s="11"/>
      <c r="Y215" s="11"/>
      <c r="Z215" s="11"/>
      <c r="AA215" s="11"/>
      <c r="AB215" s="9"/>
      <c r="AC215" s="2"/>
      <c r="AD215" s="9"/>
      <c r="AE215" s="2"/>
      <c r="AF215" s="9"/>
      <c r="AG215" s="10"/>
      <c r="AH215" s="11"/>
      <c r="AI215" s="11" t="s">
        <v>86</v>
      </c>
      <c r="AJ215" s="11"/>
      <c r="AK215" s="2"/>
      <c r="AL215" s="11"/>
      <c r="AM215" s="11"/>
      <c r="AN215" s="11"/>
      <c r="AO215" s="2"/>
      <c r="AP215" s="3"/>
      <c r="AQ215" s="11"/>
      <c r="AR215" s="3"/>
      <c r="AS215" s="2"/>
      <c r="AT215" s="11"/>
      <c r="AU215" s="2"/>
      <c r="AV215" s="2"/>
      <c r="AW215" s="2"/>
      <c r="AX215" s="11"/>
      <c r="AY215" s="11"/>
      <c r="AZ215" s="9"/>
      <c r="BA215" s="2">
        <v>1875</v>
      </c>
      <c r="BB215" s="11"/>
      <c r="BC215" s="11"/>
      <c r="BD215" s="11"/>
      <c r="BE215" s="11"/>
      <c r="BF215" s="11"/>
      <c r="BG215" s="11"/>
      <c r="BH215" s="11"/>
      <c r="BI215" s="11"/>
      <c r="BJ215" s="11" t="s">
        <v>87</v>
      </c>
      <c r="BK215" s="10">
        <v>46303.805902777778</v>
      </c>
      <c r="BL215" s="11"/>
      <c r="BM215" s="11"/>
      <c r="BN215" s="10">
        <v>46303.625</v>
      </c>
      <c r="BO215" s="11"/>
      <c r="BP215" s="11"/>
      <c r="BQ215" s="11"/>
      <c r="BR215" s="11"/>
      <c r="BS215" s="11"/>
      <c r="BT215" s="11"/>
      <c r="BU215" s="11"/>
      <c r="BV215" s="2"/>
      <c r="BW215" s="11"/>
    </row>
    <row r="216" spans="1:75" ht="30" x14ac:dyDescent="0.25">
      <c r="A216" s="2">
        <v>6200214</v>
      </c>
      <c r="B216" s="10">
        <v>46303.805902777778</v>
      </c>
      <c r="C216" s="11" t="s">
        <v>82</v>
      </c>
      <c r="D216" s="11"/>
      <c r="E216" s="11" t="s">
        <v>88</v>
      </c>
      <c r="F216" s="11"/>
      <c r="G216" s="11" t="s">
        <v>593</v>
      </c>
      <c r="H216" s="3"/>
      <c r="I216" s="11" t="s">
        <v>75</v>
      </c>
      <c r="J216" s="11"/>
      <c r="K216" s="11"/>
      <c r="L216" s="11"/>
      <c r="M216" s="11"/>
      <c r="N216" s="2">
        <v>1.25</v>
      </c>
      <c r="O216" s="2"/>
      <c r="P216" s="2"/>
      <c r="Q216" s="2"/>
      <c r="R216" s="11"/>
      <c r="S216" s="11" t="s">
        <v>306</v>
      </c>
      <c r="T216" s="11" t="s">
        <v>85</v>
      </c>
      <c r="U216" s="11"/>
      <c r="V216" s="11"/>
      <c r="W216" s="11"/>
      <c r="X216" s="11"/>
      <c r="Y216" s="11"/>
      <c r="Z216" s="11"/>
      <c r="AA216" s="11"/>
      <c r="AB216" s="9"/>
      <c r="AC216" s="2"/>
      <c r="AD216" s="9"/>
      <c r="AE216" s="2"/>
      <c r="AF216" s="9"/>
      <c r="AG216" s="10"/>
      <c r="AH216" s="11"/>
      <c r="AI216" s="11" t="s">
        <v>86</v>
      </c>
      <c r="AJ216" s="11"/>
      <c r="AK216" s="2"/>
      <c r="AL216" s="11"/>
      <c r="AM216" s="11"/>
      <c r="AN216" s="11"/>
      <c r="AO216" s="2"/>
      <c r="AP216" s="3"/>
      <c r="AQ216" s="11"/>
      <c r="AR216" s="3"/>
      <c r="AS216" s="2"/>
      <c r="AT216" s="11"/>
      <c r="AU216" s="2"/>
      <c r="AV216" s="2"/>
      <c r="AW216" s="2"/>
      <c r="AX216" s="11"/>
      <c r="AY216" s="11"/>
      <c r="AZ216" s="9"/>
      <c r="BA216" s="2">
        <v>1875</v>
      </c>
      <c r="BB216" s="11"/>
      <c r="BC216" s="11"/>
      <c r="BD216" s="11"/>
      <c r="BE216" s="11"/>
      <c r="BF216" s="11"/>
      <c r="BG216" s="11"/>
      <c r="BH216" s="11"/>
      <c r="BI216" s="11"/>
      <c r="BJ216" s="11" t="s">
        <v>87</v>
      </c>
      <c r="BK216" s="10">
        <v>46303.805902777778</v>
      </c>
      <c r="BL216" s="11"/>
      <c r="BM216" s="11"/>
      <c r="BN216" s="10">
        <v>46303.625</v>
      </c>
      <c r="BO216" s="11"/>
      <c r="BP216" s="11"/>
      <c r="BQ216" s="11"/>
      <c r="BR216" s="11"/>
      <c r="BS216" s="11"/>
      <c r="BT216" s="11"/>
      <c r="BU216" s="11"/>
      <c r="BV216" s="2"/>
      <c r="BW216" s="11"/>
    </row>
    <row r="217" spans="1:75" ht="30" x14ac:dyDescent="0.25">
      <c r="A217" s="2">
        <v>6200215</v>
      </c>
      <c r="B217" s="10">
        <v>46303.805902777778</v>
      </c>
      <c r="C217" s="11" t="s">
        <v>82</v>
      </c>
      <c r="D217" s="11"/>
      <c r="E217" s="11" t="s">
        <v>92</v>
      </c>
      <c r="F217" s="11"/>
      <c r="G217" s="11" t="s">
        <v>592</v>
      </c>
      <c r="H217" s="3"/>
      <c r="I217" s="11" t="s">
        <v>75</v>
      </c>
      <c r="J217" s="11"/>
      <c r="K217" s="11"/>
      <c r="L217" s="11"/>
      <c r="M217" s="11"/>
      <c r="N217" s="2">
        <v>1.25</v>
      </c>
      <c r="O217" s="2"/>
      <c r="P217" s="2"/>
      <c r="Q217" s="2"/>
      <c r="R217" s="11"/>
      <c r="S217" s="11" t="s">
        <v>307</v>
      </c>
      <c r="T217" s="11" t="s">
        <v>85</v>
      </c>
      <c r="U217" s="11"/>
      <c r="V217" s="11"/>
      <c r="W217" s="11"/>
      <c r="X217" s="11"/>
      <c r="Y217" s="11"/>
      <c r="Z217" s="11"/>
      <c r="AA217" s="11"/>
      <c r="AB217" s="9"/>
      <c r="AC217" s="2"/>
      <c r="AD217" s="9"/>
      <c r="AE217" s="2"/>
      <c r="AF217" s="9"/>
      <c r="AG217" s="10"/>
      <c r="AH217" s="11"/>
      <c r="AI217" s="11" t="s">
        <v>86</v>
      </c>
      <c r="AJ217" s="11"/>
      <c r="AK217" s="2"/>
      <c r="AL217" s="11"/>
      <c r="AM217" s="11"/>
      <c r="AN217" s="11"/>
      <c r="AO217" s="2"/>
      <c r="AP217" s="3"/>
      <c r="AQ217" s="11"/>
      <c r="AR217" s="3"/>
      <c r="AS217" s="2"/>
      <c r="AT217" s="11"/>
      <c r="AU217" s="2"/>
      <c r="AV217" s="2"/>
      <c r="AW217" s="2"/>
      <c r="AX217" s="11"/>
      <c r="AY217" s="11"/>
      <c r="AZ217" s="9"/>
      <c r="BA217" s="2">
        <v>1875</v>
      </c>
      <c r="BB217" s="11"/>
      <c r="BC217" s="11"/>
      <c r="BD217" s="11"/>
      <c r="BE217" s="11"/>
      <c r="BF217" s="11"/>
      <c r="BG217" s="11"/>
      <c r="BH217" s="11"/>
      <c r="BI217" s="11"/>
      <c r="BJ217" s="11" t="s">
        <v>87</v>
      </c>
      <c r="BK217" s="10">
        <v>46303.805902777778</v>
      </c>
      <c r="BL217" s="11"/>
      <c r="BM217" s="11"/>
      <c r="BN217" s="10">
        <v>46303.625</v>
      </c>
      <c r="BO217" s="11"/>
      <c r="BP217" s="11"/>
      <c r="BQ217" s="11"/>
      <c r="BR217" s="11"/>
      <c r="BS217" s="11"/>
      <c r="BT217" s="11"/>
      <c r="BU217" s="11"/>
      <c r="BV217" s="2"/>
      <c r="BW217" s="11"/>
    </row>
    <row r="218" spans="1:75" ht="30" x14ac:dyDescent="0.25">
      <c r="A218" s="2">
        <v>6200216</v>
      </c>
      <c r="B218" s="10">
        <v>46303.805902777778</v>
      </c>
      <c r="C218" s="11" t="s">
        <v>82</v>
      </c>
      <c r="D218" s="11"/>
      <c r="E218" s="11" t="s">
        <v>83</v>
      </c>
      <c r="F218" s="11"/>
      <c r="G218" s="11" t="s">
        <v>89</v>
      </c>
      <c r="H218" s="3"/>
      <c r="I218" s="11" t="s">
        <v>90</v>
      </c>
      <c r="J218" s="11"/>
      <c r="K218" s="11"/>
      <c r="L218" s="11"/>
      <c r="M218" s="11"/>
      <c r="N218" s="2">
        <v>1.25</v>
      </c>
      <c r="O218" s="2"/>
      <c r="P218" s="2"/>
      <c r="Q218" s="2"/>
      <c r="R218" s="11"/>
      <c r="S218" s="11" t="s">
        <v>308</v>
      </c>
      <c r="T218" s="11" t="s">
        <v>85</v>
      </c>
      <c r="U218" s="11"/>
      <c r="V218" s="11"/>
      <c r="W218" s="11"/>
      <c r="X218" s="11"/>
      <c r="Y218" s="11"/>
      <c r="Z218" s="11"/>
      <c r="AA218" s="11"/>
      <c r="AB218" s="9"/>
      <c r="AC218" s="2"/>
      <c r="AD218" s="9"/>
      <c r="AE218" s="2"/>
      <c r="AF218" s="9"/>
      <c r="AG218" s="10"/>
      <c r="AH218" s="11"/>
      <c r="AI218" s="11" t="s">
        <v>86</v>
      </c>
      <c r="AJ218" s="11"/>
      <c r="AK218" s="2"/>
      <c r="AL218" s="11"/>
      <c r="AM218" s="11"/>
      <c r="AN218" s="11"/>
      <c r="AO218" s="2"/>
      <c r="AP218" s="3"/>
      <c r="AQ218" s="11"/>
      <c r="AR218" s="3"/>
      <c r="AS218" s="2"/>
      <c r="AT218" s="11"/>
      <c r="AU218" s="2"/>
      <c r="AV218" s="2"/>
      <c r="AW218" s="2"/>
      <c r="AX218" s="11"/>
      <c r="AY218" s="11"/>
      <c r="AZ218" s="9"/>
      <c r="BA218" s="2">
        <v>1875</v>
      </c>
      <c r="BB218" s="11"/>
      <c r="BC218" s="11"/>
      <c r="BD218" s="11"/>
      <c r="BE218" s="11"/>
      <c r="BF218" s="11"/>
      <c r="BG218" s="11"/>
      <c r="BH218" s="11"/>
      <c r="BI218" s="11"/>
      <c r="BJ218" s="11" t="s">
        <v>87</v>
      </c>
      <c r="BK218" s="10">
        <v>46303.805902777778</v>
      </c>
      <c r="BL218" s="11"/>
      <c r="BM218" s="11"/>
      <c r="BN218" s="10">
        <v>46303.625</v>
      </c>
      <c r="BO218" s="11"/>
      <c r="BP218" s="11"/>
      <c r="BQ218" s="11"/>
      <c r="BR218" s="11"/>
      <c r="BS218" s="11"/>
      <c r="BT218" s="11"/>
      <c r="BU218" s="11"/>
      <c r="BV218" s="2"/>
      <c r="BW218" s="11"/>
    </row>
    <row r="219" spans="1:75" ht="30" x14ac:dyDescent="0.25">
      <c r="A219" s="2">
        <v>6200217</v>
      </c>
      <c r="B219" s="10">
        <v>46303.805902777778</v>
      </c>
      <c r="C219" s="11" t="s">
        <v>82</v>
      </c>
      <c r="D219" s="11"/>
      <c r="E219" s="11" t="s">
        <v>88</v>
      </c>
      <c r="F219" s="11"/>
      <c r="G219" s="2">
        <v>470123456</v>
      </c>
      <c r="H219" s="3"/>
      <c r="I219" s="11" t="s">
        <v>75</v>
      </c>
      <c r="J219" s="11"/>
      <c r="K219" s="11"/>
      <c r="L219" s="11"/>
      <c r="M219" s="11"/>
      <c r="N219" s="2">
        <v>1.25</v>
      </c>
      <c r="O219" s="2"/>
      <c r="P219" s="2"/>
      <c r="Q219" s="2"/>
      <c r="R219" s="11"/>
      <c r="S219" s="11" t="s">
        <v>309</v>
      </c>
      <c r="T219" s="11" t="s">
        <v>85</v>
      </c>
      <c r="U219" s="11"/>
      <c r="V219" s="11"/>
      <c r="W219" s="11"/>
      <c r="X219" s="11"/>
      <c r="Y219" s="11"/>
      <c r="Z219" s="11"/>
      <c r="AA219" s="11"/>
      <c r="AB219" s="9"/>
      <c r="AC219" s="2"/>
      <c r="AD219" s="9"/>
      <c r="AE219" s="2"/>
      <c r="AF219" s="9"/>
      <c r="AG219" s="10"/>
      <c r="AH219" s="11"/>
      <c r="AI219" s="11" t="s">
        <v>86</v>
      </c>
      <c r="AJ219" s="11"/>
      <c r="AK219" s="2"/>
      <c r="AL219" s="11"/>
      <c r="AM219" s="11"/>
      <c r="AN219" s="11"/>
      <c r="AO219" s="2"/>
      <c r="AP219" s="3"/>
      <c r="AQ219" s="11"/>
      <c r="AR219" s="3"/>
      <c r="AS219" s="2"/>
      <c r="AT219" s="11"/>
      <c r="AU219" s="2"/>
      <c r="AV219" s="2"/>
      <c r="AW219" s="2"/>
      <c r="AX219" s="11"/>
      <c r="AY219" s="11"/>
      <c r="AZ219" s="9"/>
      <c r="BA219" s="2">
        <v>1875</v>
      </c>
      <c r="BB219" s="11"/>
      <c r="BC219" s="11"/>
      <c r="BD219" s="11"/>
      <c r="BE219" s="11"/>
      <c r="BF219" s="11"/>
      <c r="BG219" s="11"/>
      <c r="BH219" s="11"/>
      <c r="BI219" s="11"/>
      <c r="BJ219" s="11" t="s">
        <v>87</v>
      </c>
      <c r="BK219" s="10">
        <v>46303.805902777778</v>
      </c>
      <c r="BL219" s="11"/>
      <c r="BM219" s="11"/>
      <c r="BN219" s="10">
        <v>46303.625</v>
      </c>
      <c r="BO219" s="11"/>
      <c r="BP219" s="11"/>
      <c r="BQ219" s="11"/>
      <c r="BR219" s="11"/>
      <c r="BS219" s="11"/>
      <c r="BT219" s="11"/>
      <c r="BU219" s="11"/>
      <c r="BV219" s="2"/>
      <c r="BW219" s="11"/>
    </row>
    <row r="220" spans="1:75" ht="30" x14ac:dyDescent="0.25">
      <c r="A220" s="2">
        <v>6200218</v>
      </c>
      <c r="B220" s="10">
        <v>46303.805902777778</v>
      </c>
      <c r="C220" s="11" t="s">
        <v>82</v>
      </c>
      <c r="D220" s="11"/>
      <c r="E220" s="11" t="s">
        <v>92</v>
      </c>
      <c r="F220" s="11"/>
      <c r="G220" s="11" t="s">
        <v>94</v>
      </c>
      <c r="H220" s="3"/>
      <c r="I220" s="11" t="s">
        <v>90</v>
      </c>
      <c r="J220" s="11"/>
      <c r="K220" s="11"/>
      <c r="L220" s="11"/>
      <c r="M220" s="11"/>
      <c r="N220" s="2">
        <v>1.25</v>
      </c>
      <c r="O220" s="2"/>
      <c r="P220" s="2"/>
      <c r="Q220" s="2"/>
      <c r="R220" s="11"/>
      <c r="S220" s="11" t="s">
        <v>310</v>
      </c>
      <c r="T220" s="11" t="s">
        <v>85</v>
      </c>
      <c r="U220" s="11"/>
      <c r="V220" s="11"/>
      <c r="W220" s="11"/>
      <c r="X220" s="11"/>
      <c r="Y220" s="11"/>
      <c r="Z220" s="11"/>
      <c r="AA220" s="11"/>
      <c r="AB220" s="9"/>
      <c r="AC220" s="2"/>
      <c r="AD220" s="9"/>
      <c r="AE220" s="2"/>
      <c r="AF220" s="9"/>
      <c r="AG220" s="10"/>
      <c r="AH220" s="11"/>
      <c r="AI220" s="11" t="s">
        <v>86</v>
      </c>
      <c r="AJ220" s="11"/>
      <c r="AK220" s="2"/>
      <c r="AL220" s="11"/>
      <c r="AM220" s="11"/>
      <c r="AN220" s="11"/>
      <c r="AO220" s="2"/>
      <c r="AP220" s="3"/>
      <c r="AQ220" s="11"/>
      <c r="AR220" s="3"/>
      <c r="AS220" s="2"/>
      <c r="AT220" s="11"/>
      <c r="AU220" s="2"/>
      <c r="AV220" s="2"/>
      <c r="AW220" s="2"/>
      <c r="AX220" s="11"/>
      <c r="AY220" s="11"/>
      <c r="AZ220" s="9"/>
      <c r="BA220" s="2">
        <v>1875</v>
      </c>
      <c r="BB220" s="11"/>
      <c r="BC220" s="11"/>
      <c r="BD220" s="11"/>
      <c r="BE220" s="11"/>
      <c r="BF220" s="11"/>
      <c r="BG220" s="11"/>
      <c r="BH220" s="11"/>
      <c r="BI220" s="11"/>
      <c r="BJ220" s="11" t="s">
        <v>87</v>
      </c>
      <c r="BK220" s="10">
        <v>46303.805902777778</v>
      </c>
      <c r="BL220" s="11"/>
      <c r="BM220" s="11"/>
      <c r="BN220" s="10">
        <v>46303.625</v>
      </c>
      <c r="BO220" s="11"/>
      <c r="BP220" s="11"/>
      <c r="BQ220" s="11"/>
      <c r="BR220" s="11"/>
      <c r="BS220" s="11"/>
      <c r="BT220" s="11"/>
      <c r="BU220" s="11"/>
      <c r="BV220" s="2"/>
      <c r="BW220" s="11"/>
    </row>
    <row r="221" spans="1:75" ht="30" x14ac:dyDescent="0.25">
      <c r="A221" s="2">
        <v>6200219</v>
      </c>
      <c r="B221" s="10">
        <v>46303.805902777778</v>
      </c>
      <c r="C221" s="11" t="s">
        <v>82</v>
      </c>
      <c r="D221" s="11"/>
      <c r="E221" s="11" t="s">
        <v>83</v>
      </c>
      <c r="F221" s="11"/>
      <c r="G221" s="11" t="s">
        <v>593</v>
      </c>
      <c r="H221" s="3"/>
      <c r="I221" s="11" t="s">
        <v>75</v>
      </c>
      <c r="J221" s="11"/>
      <c r="K221" s="11"/>
      <c r="L221" s="11"/>
      <c r="M221" s="11"/>
      <c r="N221" s="2">
        <v>1.25</v>
      </c>
      <c r="O221" s="2"/>
      <c r="P221" s="2"/>
      <c r="Q221" s="2"/>
      <c r="R221" s="11"/>
      <c r="S221" s="11" t="s">
        <v>311</v>
      </c>
      <c r="T221" s="11" t="s">
        <v>85</v>
      </c>
      <c r="U221" s="11"/>
      <c r="V221" s="11"/>
      <c r="W221" s="11"/>
      <c r="X221" s="11"/>
      <c r="Y221" s="11"/>
      <c r="Z221" s="11"/>
      <c r="AA221" s="11"/>
      <c r="AB221" s="9"/>
      <c r="AC221" s="2"/>
      <c r="AD221" s="9"/>
      <c r="AE221" s="2"/>
      <c r="AF221" s="9"/>
      <c r="AG221" s="10"/>
      <c r="AH221" s="11"/>
      <c r="AI221" s="11" t="s">
        <v>86</v>
      </c>
      <c r="AJ221" s="11"/>
      <c r="AK221" s="2"/>
      <c r="AL221" s="11"/>
      <c r="AM221" s="11"/>
      <c r="AN221" s="11"/>
      <c r="AO221" s="2"/>
      <c r="AP221" s="3"/>
      <c r="AQ221" s="11"/>
      <c r="AR221" s="3"/>
      <c r="AS221" s="2"/>
      <c r="AT221" s="11"/>
      <c r="AU221" s="2"/>
      <c r="AV221" s="2"/>
      <c r="AW221" s="2"/>
      <c r="AX221" s="11"/>
      <c r="AY221" s="11"/>
      <c r="AZ221" s="9"/>
      <c r="BA221" s="2">
        <v>1875</v>
      </c>
      <c r="BB221" s="11"/>
      <c r="BC221" s="11"/>
      <c r="BD221" s="11"/>
      <c r="BE221" s="11"/>
      <c r="BF221" s="11"/>
      <c r="BG221" s="11"/>
      <c r="BH221" s="11"/>
      <c r="BI221" s="11"/>
      <c r="BJ221" s="11" t="s">
        <v>87</v>
      </c>
      <c r="BK221" s="10">
        <v>46303.805902777778</v>
      </c>
      <c r="BL221" s="11"/>
      <c r="BM221" s="11"/>
      <c r="BN221" s="10">
        <v>46303.625</v>
      </c>
      <c r="BO221" s="11"/>
      <c r="BP221" s="11"/>
      <c r="BQ221" s="11"/>
      <c r="BR221" s="11"/>
      <c r="BS221" s="11"/>
      <c r="BT221" s="11"/>
      <c r="BU221" s="11"/>
      <c r="BV221" s="2"/>
      <c r="BW221" s="11"/>
    </row>
    <row r="222" spans="1:75" ht="30" x14ac:dyDescent="0.25">
      <c r="A222" s="2">
        <v>6200220</v>
      </c>
      <c r="B222" s="10">
        <v>46303.805902777778</v>
      </c>
      <c r="C222" s="11" t="s">
        <v>82</v>
      </c>
      <c r="D222" s="11"/>
      <c r="E222" s="11" t="s">
        <v>88</v>
      </c>
      <c r="F222" s="11"/>
      <c r="G222" s="11" t="s">
        <v>592</v>
      </c>
      <c r="H222" s="3"/>
      <c r="I222" s="11" t="s">
        <v>75</v>
      </c>
      <c r="J222" s="11"/>
      <c r="K222" s="11"/>
      <c r="L222" s="11"/>
      <c r="M222" s="11"/>
      <c r="N222" s="2">
        <v>1.25</v>
      </c>
      <c r="O222" s="2"/>
      <c r="P222" s="2"/>
      <c r="Q222" s="2"/>
      <c r="R222" s="11"/>
      <c r="S222" s="11" t="s">
        <v>312</v>
      </c>
      <c r="T222" s="11" t="s">
        <v>85</v>
      </c>
      <c r="U222" s="11"/>
      <c r="V222" s="11"/>
      <c r="W222" s="11"/>
      <c r="X222" s="11"/>
      <c r="Y222" s="11"/>
      <c r="Z222" s="11"/>
      <c r="AA222" s="11"/>
      <c r="AB222" s="9"/>
      <c r="AC222" s="2"/>
      <c r="AD222" s="9"/>
      <c r="AE222" s="2"/>
      <c r="AF222" s="9"/>
      <c r="AG222" s="10"/>
      <c r="AH222" s="11"/>
      <c r="AI222" s="11" t="s">
        <v>86</v>
      </c>
      <c r="AJ222" s="11"/>
      <c r="AK222" s="2"/>
      <c r="AL222" s="11"/>
      <c r="AM222" s="11"/>
      <c r="AN222" s="11"/>
      <c r="AO222" s="2"/>
      <c r="AP222" s="3"/>
      <c r="AQ222" s="11"/>
      <c r="AR222" s="3"/>
      <c r="AS222" s="2"/>
      <c r="AT222" s="11"/>
      <c r="AU222" s="2"/>
      <c r="AV222" s="2"/>
      <c r="AW222" s="2"/>
      <c r="AX222" s="11"/>
      <c r="AY222" s="11"/>
      <c r="AZ222" s="9"/>
      <c r="BA222" s="2">
        <v>1875</v>
      </c>
      <c r="BB222" s="11"/>
      <c r="BC222" s="11"/>
      <c r="BD222" s="11"/>
      <c r="BE222" s="11"/>
      <c r="BF222" s="11"/>
      <c r="BG222" s="11"/>
      <c r="BH222" s="11"/>
      <c r="BI222" s="11"/>
      <c r="BJ222" s="11" t="s">
        <v>87</v>
      </c>
      <c r="BK222" s="10">
        <v>46303.805902777778</v>
      </c>
      <c r="BL222" s="11"/>
      <c r="BM222" s="11"/>
      <c r="BN222" s="10">
        <v>46303.625</v>
      </c>
      <c r="BO222" s="11"/>
      <c r="BP222" s="11"/>
      <c r="BQ222" s="11"/>
      <c r="BR222" s="11"/>
      <c r="BS222" s="11"/>
      <c r="BT222" s="11"/>
      <c r="BU222" s="11"/>
      <c r="BV222" s="2"/>
      <c r="BW222" s="11"/>
    </row>
    <row r="223" spans="1:75" ht="30" x14ac:dyDescent="0.25">
      <c r="A223" s="2">
        <v>6200221</v>
      </c>
      <c r="B223" s="10">
        <v>46303.805902777778</v>
      </c>
      <c r="C223" s="11" t="s">
        <v>82</v>
      </c>
      <c r="D223" s="11"/>
      <c r="E223" s="11" t="s">
        <v>92</v>
      </c>
      <c r="F223" s="11"/>
      <c r="G223" s="11" t="s">
        <v>89</v>
      </c>
      <c r="H223" s="3"/>
      <c r="I223" s="11" t="s">
        <v>90</v>
      </c>
      <c r="J223" s="11"/>
      <c r="K223" s="11"/>
      <c r="L223" s="11"/>
      <c r="M223" s="11"/>
      <c r="N223" s="2">
        <v>1.25</v>
      </c>
      <c r="O223" s="2"/>
      <c r="P223" s="2"/>
      <c r="Q223" s="2"/>
      <c r="R223" s="11"/>
      <c r="S223" s="11" t="s">
        <v>313</v>
      </c>
      <c r="T223" s="11" t="s">
        <v>85</v>
      </c>
      <c r="U223" s="11"/>
      <c r="V223" s="11"/>
      <c r="W223" s="11"/>
      <c r="X223" s="11"/>
      <c r="Y223" s="11"/>
      <c r="Z223" s="11"/>
      <c r="AA223" s="11"/>
      <c r="AB223" s="9"/>
      <c r="AC223" s="2"/>
      <c r="AD223" s="9"/>
      <c r="AE223" s="2"/>
      <c r="AF223" s="9"/>
      <c r="AG223" s="10"/>
      <c r="AH223" s="11"/>
      <c r="AI223" s="11" t="s">
        <v>86</v>
      </c>
      <c r="AJ223" s="11"/>
      <c r="AK223" s="2"/>
      <c r="AL223" s="11"/>
      <c r="AM223" s="11"/>
      <c r="AN223" s="11"/>
      <c r="AO223" s="2"/>
      <c r="AP223" s="3"/>
      <c r="AQ223" s="11"/>
      <c r="AR223" s="3"/>
      <c r="AS223" s="2"/>
      <c r="AT223" s="11"/>
      <c r="AU223" s="2"/>
      <c r="AV223" s="2"/>
      <c r="AW223" s="2"/>
      <c r="AX223" s="11"/>
      <c r="AY223" s="11"/>
      <c r="AZ223" s="9"/>
      <c r="BA223" s="2">
        <v>1875</v>
      </c>
      <c r="BB223" s="11"/>
      <c r="BC223" s="11"/>
      <c r="BD223" s="11"/>
      <c r="BE223" s="11"/>
      <c r="BF223" s="11"/>
      <c r="BG223" s="11"/>
      <c r="BH223" s="11"/>
      <c r="BI223" s="11"/>
      <c r="BJ223" s="11" t="s">
        <v>87</v>
      </c>
      <c r="BK223" s="10">
        <v>46303.805902777778</v>
      </c>
      <c r="BL223" s="11"/>
      <c r="BM223" s="11"/>
      <c r="BN223" s="10">
        <v>46303.625</v>
      </c>
      <c r="BO223" s="11"/>
      <c r="BP223" s="11"/>
      <c r="BQ223" s="11"/>
      <c r="BR223" s="11"/>
      <c r="BS223" s="11"/>
      <c r="BT223" s="11"/>
      <c r="BU223" s="11"/>
      <c r="BV223" s="2"/>
      <c r="BW223" s="11"/>
    </row>
    <row r="224" spans="1:75" ht="30" x14ac:dyDescent="0.25">
      <c r="A224" s="2">
        <v>6200222</v>
      </c>
      <c r="B224" s="10">
        <v>46303.805902777778</v>
      </c>
      <c r="C224" s="11" t="s">
        <v>82</v>
      </c>
      <c r="D224" s="11"/>
      <c r="E224" s="11" t="s">
        <v>83</v>
      </c>
      <c r="F224" s="11"/>
      <c r="G224" s="2">
        <v>470123456</v>
      </c>
      <c r="H224" s="3"/>
      <c r="I224" s="11" t="s">
        <v>75</v>
      </c>
      <c r="J224" s="11"/>
      <c r="K224" s="11"/>
      <c r="L224" s="11"/>
      <c r="M224" s="11"/>
      <c r="N224" s="2">
        <v>1.25</v>
      </c>
      <c r="O224" s="2"/>
      <c r="P224" s="2"/>
      <c r="Q224" s="2"/>
      <c r="R224" s="11"/>
      <c r="S224" s="11" t="s">
        <v>314</v>
      </c>
      <c r="T224" s="11" t="s">
        <v>85</v>
      </c>
      <c r="U224" s="11"/>
      <c r="V224" s="11"/>
      <c r="W224" s="11"/>
      <c r="X224" s="11"/>
      <c r="Y224" s="11"/>
      <c r="Z224" s="11"/>
      <c r="AA224" s="11"/>
      <c r="AB224" s="9"/>
      <c r="AC224" s="2"/>
      <c r="AD224" s="9"/>
      <c r="AE224" s="2"/>
      <c r="AF224" s="9"/>
      <c r="AG224" s="10"/>
      <c r="AH224" s="11"/>
      <c r="AI224" s="11" t="s">
        <v>86</v>
      </c>
      <c r="AJ224" s="11"/>
      <c r="AK224" s="2"/>
      <c r="AL224" s="11"/>
      <c r="AM224" s="11"/>
      <c r="AN224" s="11"/>
      <c r="AO224" s="2"/>
      <c r="AP224" s="3"/>
      <c r="AQ224" s="11"/>
      <c r="AR224" s="3"/>
      <c r="AS224" s="2"/>
      <c r="AT224" s="11"/>
      <c r="AU224" s="2"/>
      <c r="AV224" s="2"/>
      <c r="AW224" s="2"/>
      <c r="AX224" s="11"/>
      <c r="AY224" s="11"/>
      <c r="AZ224" s="9"/>
      <c r="BA224" s="2">
        <v>1875</v>
      </c>
      <c r="BB224" s="11"/>
      <c r="BC224" s="11"/>
      <c r="BD224" s="11"/>
      <c r="BE224" s="11"/>
      <c r="BF224" s="11"/>
      <c r="BG224" s="11"/>
      <c r="BH224" s="11"/>
      <c r="BI224" s="11"/>
      <c r="BJ224" s="11" t="s">
        <v>87</v>
      </c>
      <c r="BK224" s="10">
        <v>46303.805902777778</v>
      </c>
      <c r="BL224" s="11"/>
      <c r="BM224" s="11"/>
      <c r="BN224" s="10">
        <v>46303.625</v>
      </c>
      <c r="BO224" s="11"/>
      <c r="BP224" s="11"/>
      <c r="BQ224" s="11"/>
      <c r="BR224" s="11"/>
      <c r="BS224" s="11"/>
      <c r="BT224" s="11"/>
      <c r="BU224" s="11"/>
      <c r="BV224" s="2"/>
      <c r="BW224" s="11"/>
    </row>
    <row r="225" spans="1:75" ht="30" x14ac:dyDescent="0.25">
      <c r="A225" s="2">
        <v>6200223</v>
      </c>
      <c r="B225" s="10">
        <v>46303.805902777778</v>
      </c>
      <c r="C225" s="11" t="s">
        <v>82</v>
      </c>
      <c r="D225" s="11"/>
      <c r="E225" s="11" t="s">
        <v>88</v>
      </c>
      <c r="F225" s="11"/>
      <c r="G225" s="11" t="s">
        <v>94</v>
      </c>
      <c r="H225" s="3"/>
      <c r="I225" s="11" t="s">
        <v>90</v>
      </c>
      <c r="J225" s="11"/>
      <c r="K225" s="11"/>
      <c r="L225" s="11"/>
      <c r="M225" s="11"/>
      <c r="N225" s="2">
        <v>1.25</v>
      </c>
      <c r="O225" s="2"/>
      <c r="P225" s="2"/>
      <c r="Q225" s="2"/>
      <c r="R225" s="11"/>
      <c r="S225" s="11" t="s">
        <v>315</v>
      </c>
      <c r="T225" s="11" t="s">
        <v>85</v>
      </c>
      <c r="U225" s="11"/>
      <c r="V225" s="11"/>
      <c r="W225" s="11"/>
      <c r="X225" s="11"/>
      <c r="Y225" s="11"/>
      <c r="Z225" s="11"/>
      <c r="AA225" s="11"/>
      <c r="AB225" s="9"/>
      <c r="AC225" s="2"/>
      <c r="AD225" s="9"/>
      <c r="AE225" s="2"/>
      <c r="AF225" s="9"/>
      <c r="AG225" s="10"/>
      <c r="AH225" s="11"/>
      <c r="AI225" s="11" t="s">
        <v>86</v>
      </c>
      <c r="AJ225" s="11"/>
      <c r="AK225" s="2"/>
      <c r="AL225" s="11"/>
      <c r="AM225" s="11"/>
      <c r="AN225" s="11"/>
      <c r="AO225" s="2"/>
      <c r="AP225" s="3"/>
      <c r="AQ225" s="11"/>
      <c r="AR225" s="3"/>
      <c r="AS225" s="2"/>
      <c r="AT225" s="11"/>
      <c r="AU225" s="2"/>
      <c r="AV225" s="2"/>
      <c r="AW225" s="2"/>
      <c r="AX225" s="11"/>
      <c r="AY225" s="11"/>
      <c r="AZ225" s="9"/>
      <c r="BA225" s="2">
        <v>1875</v>
      </c>
      <c r="BB225" s="11"/>
      <c r="BC225" s="11"/>
      <c r="BD225" s="11"/>
      <c r="BE225" s="11"/>
      <c r="BF225" s="11"/>
      <c r="BG225" s="11"/>
      <c r="BH225" s="11"/>
      <c r="BI225" s="11"/>
      <c r="BJ225" s="11" t="s">
        <v>87</v>
      </c>
      <c r="BK225" s="10">
        <v>46303.805902777778</v>
      </c>
      <c r="BL225" s="11"/>
      <c r="BM225" s="11"/>
      <c r="BN225" s="10">
        <v>46303.625</v>
      </c>
      <c r="BO225" s="11"/>
      <c r="BP225" s="11"/>
      <c r="BQ225" s="11"/>
      <c r="BR225" s="11"/>
      <c r="BS225" s="11"/>
      <c r="BT225" s="11"/>
      <c r="BU225" s="11"/>
      <c r="BV225" s="2"/>
      <c r="BW225" s="11"/>
    </row>
    <row r="226" spans="1:75" ht="30" x14ac:dyDescent="0.25">
      <c r="A226" s="2">
        <v>6200224</v>
      </c>
      <c r="B226" s="10">
        <v>46303.805902777778</v>
      </c>
      <c r="C226" s="11" t="s">
        <v>82</v>
      </c>
      <c r="D226" s="11"/>
      <c r="E226" s="11" t="s">
        <v>92</v>
      </c>
      <c r="F226" s="11"/>
      <c r="G226" s="11" t="s">
        <v>593</v>
      </c>
      <c r="H226" s="3"/>
      <c r="I226" s="11" t="s">
        <v>75</v>
      </c>
      <c r="J226" s="11"/>
      <c r="K226" s="11"/>
      <c r="L226" s="11"/>
      <c r="M226" s="11"/>
      <c r="N226" s="2">
        <v>1.25</v>
      </c>
      <c r="O226" s="2"/>
      <c r="P226" s="2"/>
      <c r="Q226" s="2"/>
      <c r="R226" s="11"/>
      <c r="S226" s="11" t="s">
        <v>316</v>
      </c>
      <c r="T226" s="11" t="s">
        <v>85</v>
      </c>
      <c r="U226" s="11"/>
      <c r="V226" s="11"/>
      <c r="W226" s="11"/>
      <c r="X226" s="11"/>
      <c r="Y226" s="11"/>
      <c r="Z226" s="11"/>
      <c r="AA226" s="11"/>
      <c r="AB226" s="9"/>
      <c r="AC226" s="2"/>
      <c r="AD226" s="9"/>
      <c r="AE226" s="2"/>
      <c r="AF226" s="9"/>
      <c r="AG226" s="10"/>
      <c r="AH226" s="11"/>
      <c r="AI226" s="11" t="s">
        <v>86</v>
      </c>
      <c r="AJ226" s="11"/>
      <c r="AK226" s="2"/>
      <c r="AL226" s="11"/>
      <c r="AM226" s="11"/>
      <c r="AN226" s="11"/>
      <c r="AO226" s="2"/>
      <c r="AP226" s="3"/>
      <c r="AQ226" s="11"/>
      <c r="AR226" s="3"/>
      <c r="AS226" s="2"/>
      <c r="AT226" s="11"/>
      <c r="AU226" s="2"/>
      <c r="AV226" s="2"/>
      <c r="AW226" s="2"/>
      <c r="AX226" s="11"/>
      <c r="AY226" s="11"/>
      <c r="AZ226" s="9"/>
      <c r="BA226" s="2">
        <v>1875</v>
      </c>
      <c r="BB226" s="11"/>
      <c r="BC226" s="11"/>
      <c r="BD226" s="11"/>
      <c r="BE226" s="11"/>
      <c r="BF226" s="11"/>
      <c r="BG226" s="11"/>
      <c r="BH226" s="11"/>
      <c r="BI226" s="11"/>
      <c r="BJ226" s="11" t="s">
        <v>87</v>
      </c>
      <c r="BK226" s="10">
        <v>46303.805902777778</v>
      </c>
      <c r="BL226" s="11"/>
      <c r="BM226" s="11"/>
      <c r="BN226" s="10">
        <v>46303.625</v>
      </c>
      <c r="BO226" s="11"/>
      <c r="BP226" s="11"/>
      <c r="BQ226" s="11"/>
      <c r="BR226" s="11"/>
      <c r="BS226" s="11"/>
      <c r="BT226" s="11"/>
      <c r="BU226" s="11"/>
      <c r="BV226" s="2"/>
      <c r="BW226" s="11"/>
    </row>
    <row r="227" spans="1:75" ht="30" x14ac:dyDescent="0.25">
      <c r="A227" s="2">
        <v>6200225</v>
      </c>
      <c r="B227" s="10">
        <v>46303.805902777778</v>
      </c>
      <c r="C227" s="11" t="s">
        <v>82</v>
      </c>
      <c r="D227" s="11"/>
      <c r="E227" s="11" t="s">
        <v>83</v>
      </c>
      <c r="F227" s="11"/>
      <c r="G227" s="11" t="s">
        <v>592</v>
      </c>
      <c r="H227" s="3"/>
      <c r="I227" s="11" t="s">
        <v>75</v>
      </c>
      <c r="J227" s="11"/>
      <c r="K227" s="11"/>
      <c r="L227" s="11"/>
      <c r="M227" s="11"/>
      <c r="N227" s="2">
        <v>1.25</v>
      </c>
      <c r="O227" s="2"/>
      <c r="P227" s="2"/>
      <c r="Q227" s="2"/>
      <c r="R227" s="11"/>
      <c r="S227" s="11" t="s">
        <v>317</v>
      </c>
      <c r="T227" s="11" t="s">
        <v>85</v>
      </c>
      <c r="U227" s="11"/>
      <c r="V227" s="11"/>
      <c r="W227" s="11"/>
      <c r="X227" s="11"/>
      <c r="Y227" s="11"/>
      <c r="Z227" s="11"/>
      <c r="AA227" s="11"/>
      <c r="AB227" s="9"/>
      <c r="AC227" s="2"/>
      <c r="AD227" s="9"/>
      <c r="AE227" s="2"/>
      <c r="AF227" s="9"/>
      <c r="AG227" s="10"/>
      <c r="AH227" s="11"/>
      <c r="AI227" s="11" t="s">
        <v>86</v>
      </c>
      <c r="AJ227" s="11"/>
      <c r="AK227" s="2"/>
      <c r="AL227" s="11"/>
      <c r="AM227" s="11"/>
      <c r="AN227" s="11"/>
      <c r="AO227" s="2"/>
      <c r="AP227" s="3"/>
      <c r="AQ227" s="11"/>
      <c r="AR227" s="3"/>
      <c r="AS227" s="2"/>
      <c r="AT227" s="11"/>
      <c r="AU227" s="2"/>
      <c r="AV227" s="2"/>
      <c r="AW227" s="2"/>
      <c r="AX227" s="11"/>
      <c r="AY227" s="11"/>
      <c r="AZ227" s="9"/>
      <c r="BA227" s="2">
        <v>1875</v>
      </c>
      <c r="BB227" s="11"/>
      <c r="BC227" s="11"/>
      <c r="BD227" s="11"/>
      <c r="BE227" s="11"/>
      <c r="BF227" s="11"/>
      <c r="BG227" s="11"/>
      <c r="BH227" s="11"/>
      <c r="BI227" s="11"/>
      <c r="BJ227" s="11" t="s">
        <v>87</v>
      </c>
      <c r="BK227" s="10">
        <v>46303.805902777778</v>
      </c>
      <c r="BL227" s="11"/>
      <c r="BM227" s="11"/>
      <c r="BN227" s="10">
        <v>46303.625</v>
      </c>
      <c r="BO227" s="11"/>
      <c r="BP227" s="11"/>
      <c r="BQ227" s="11"/>
      <c r="BR227" s="11"/>
      <c r="BS227" s="11"/>
      <c r="BT227" s="11"/>
      <c r="BU227" s="11"/>
      <c r="BV227" s="2"/>
      <c r="BW227" s="11"/>
    </row>
    <row r="228" spans="1:75" ht="30" x14ac:dyDescent="0.25">
      <c r="A228" s="2">
        <v>6200226</v>
      </c>
      <c r="B228" s="10">
        <v>46303.805902777778</v>
      </c>
      <c r="C228" s="11" t="s">
        <v>82</v>
      </c>
      <c r="D228" s="11"/>
      <c r="E228" s="11" t="s">
        <v>88</v>
      </c>
      <c r="F228" s="11"/>
      <c r="G228" s="11" t="s">
        <v>89</v>
      </c>
      <c r="H228" s="3"/>
      <c r="I228" s="11" t="s">
        <v>90</v>
      </c>
      <c r="J228" s="11"/>
      <c r="K228" s="11"/>
      <c r="L228" s="11"/>
      <c r="M228" s="11"/>
      <c r="N228" s="2">
        <v>1.25</v>
      </c>
      <c r="O228" s="2"/>
      <c r="P228" s="2"/>
      <c r="Q228" s="2"/>
      <c r="R228" s="11"/>
      <c r="S228" s="11" t="s">
        <v>318</v>
      </c>
      <c r="T228" s="11" t="s">
        <v>85</v>
      </c>
      <c r="U228" s="11"/>
      <c r="V228" s="11"/>
      <c r="W228" s="11"/>
      <c r="X228" s="11"/>
      <c r="Y228" s="11"/>
      <c r="Z228" s="11"/>
      <c r="AA228" s="11"/>
      <c r="AB228" s="9"/>
      <c r="AC228" s="2"/>
      <c r="AD228" s="9"/>
      <c r="AE228" s="2"/>
      <c r="AF228" s="9"/>
      <c r="AG228" s="10"/>
      <c r="AH228" s="11"/>
      <c r="AI228" s="11" t="s">
        <v>86</v>
      </c>
      <c r="AJ228" s="11"/>
      <c r="AK228" s="2"/>
      <c r="AL228" s="11"/>
      <c r="AM228" s="11"/>
      <c r="AN228" s="11"/>
      <c r="AO228" s="2"/>
      <c r="AP228" s="3"/>
      <c r="AQ228" s="11"/>
      <c r="AR228" s="3"/>
      <c r="AS228" s="2"/>
      <c r="AT228" s="11"/>
      <c r="AU228" s="2"/>
      <c r="AV228" s="2"/>
      <c r="AW228" s="2"/>
      <c r="AX228" s="11"/>
      <c r="AY228" s="11"/>
      <c r="AZ228" s="9"/>
      <c r="BA228" s="2">
        <v>1875</v>
      </c>
      <c r="BB228" s="11"/>
      <c r="BC228" s="11"/>
      <c r="BD228" s="11"/>
      <c r="BE228" s="11"/>
      <c r="BF228" s="11"/>
      <c r="BG228" s="11"/>
      <c r="BH228" s="11"/>
      <c r="BI228" s="11"/>
      <c r="BJ228" s="11" t="s">
        <v>87</v>
      </c>
      <c r="BK228" s="10">
        <v>46303.805902777778</v>
      </c>
      <c r="BL228" s="11"/>
      <c r="BM228" s="11"/>
      <c r="BN228" s="10">
        <v>46303.625</v>
      </c>
      <c r="BO228" s="11"/>
      <c r="BP228" s="11"/>
      <c r="BQ228" s="11"/>
      <c r="BR228" s="11"/>
      <c r="BS228" s="11"/>
      <c r="BT228" s="11"/>
      <c r="BU228" s="11"/>
      <c r="BV228" s="2"/>
      <c r="BW228" s="11"/>
    </row>
    <row r="229" spans="1:75" ht="30" x14ac:dyDescent="0.25">
      <c r="A229" s="2">
        <v>6200227</v>
      </c>
      <c r="B229" s="10">
        <v>46303.805902777778</v>
      </c>
      <c r="C229" s="11" t="s">
        <v>82</v>
      </c>
      <c r="D229" s="11"/>
      <c r="E229" s="11" t="s">
        <v>92</v>
      </c>
      <c r="F229" s="11"/>
      <c r="G229" s="2">
        <v>470123456</v>
      </c>
      <c r="H229" s="3"/>
      <c r="I229" s="11" t="s">
        <v>75</v>
      </c>
      <c r="J229" s="11"/>
      <c r="K229" s="11"/>
      <c r="L229" s="11"/>
      <c r="M229" s="11"/>
      <c r="N229" s="2">
        <v>1.25</v>
      </c>
      <c r="O229" s="2"/>
      <c r="P229" s="2"/>
      <c r="Q229" s="2"/>
      <c r="R229" s="11"/>
      <c r="S229" s="11" t="s">
        <v>319</v>
      </c>
      <c r="T229" s="11" t="s">
        <v>85</v>
      </c>
      <c r="U229" s="11"/>
      <c r="V229" s="11"/>
      <c r="W229" s="11"/>
      <c r="X229" s="11"/>
      <c r="Y229" s="11"/>
      <c r="Z229" s="11"/>
      <c r="AA229" s="11"/>
      <c r="AB229" s="9"/>
      <c r="AC229" s="2"/>
      <c r="AD229" s="9"/>
      <c r="AE229" s="2"/>
      <c r="AF229" s="9"/>
      <c r="AG229" s="10"/>
      <c r="AH229" s="11"/>
      <c r="AI229" s="11" t="s">
        <v>86</v>
      </c>
      <c r="AJ229" s="11"/>
      <c r="AK229" s="2"/>
      <c r="AL229" s="11"/>
      <c r="AM229" s="11"/>
      <c r="AN229" s="11"/>
      <c r="AO229" s="2"/>
      <c r="AP229" s="3"/>
      <c r="AQ229" s="11"/>
      <c r="AR229" s="3"/>
      <c r="AS229" s="2"/>
      <c r="AT229" s="11"/>
      <c r="AU229" s="2"/>
      <c r="AV229" s="2"/>
      <c r="AW229" s="2"/>
      <c r="AX229" s="11"/>
      <c r="AY229" s="11"/>
      <c r="AZ229" s="9"/>
      <c r="BA229" s="2">
        <v>1875</v>
      </c>
      <c r="BB229" s="11"/>
      <c r="BC229" s="11"/>
      <c r="BD229" s="11"/>
      <c r="BE229" s="11"/>
      <c r="BF229" s="11"/>
      <c r="BG229" s="11"/>
      <c r="BH229" s="11"/>
      <c r="BI229" s="11"/>
      <c r="BJ229" s="11" t="s">
        <v>87</v>
      </c>
      <c r="BK229" s="10">
        <v>46303.805902777778</v>
      </c>
      <c r="BL229" s="11"/>
      <c r="BM229" s="11"/>
      <c r="BN229" s="10">
        <v>46303.625</v>
      </c>
      <c r="BO229" s="11"/>
      <c r="BP229" s="11"/>
      <c r="BQ229" s="11"/>
      <c r="BR229" s="11"/>
      <c r="BS229" s="11"/>
      <c r="BT229" s="11"/>
      <c r="BU229" s="11"/>
      <c r="BV229" s="2"/>
      <c r="BW229" s="11"/>
    </row>
    <row r="230" spans="1:75" ht="30" x14ac:dyDescent="0.25">
      <c r="A230" s="2">
        <v>6200228</v>
      </c>
      <c r="B230" s="10">
        <v>46303.805902777778</v>
      </c>
      <c r="C230" s="11" t="s">
        <v>82</v>
      </c>
      <c r="D230" s="11"/>
      <c r="E230" s="11" t="s">
        <v>83</v>
      </c>
      <c r="F230" s="11"/>
      <c r="G230" s="11" t="s">
        <v>94</v>
      </c>
      <c r="H230" s="3"/>
      <c r="I230" s="11" t="s">
        <v>90</v>
      </c>
      <c r="J230" s="11"/>
      <c r="K230" s="11"/>
      <c r="L230" s="11"/>
      <c r="M230" s="11"/>
      <c r="N230" s="2">
        <v>1.25</v>
      </c>
      <c r="O230" s="2"/>
      <c r="P230" s="2"/>
      <c r="Q230" s="2"/>
      <c r="R230" s="11"/>
      <c r="S230" s="11" t="s">
        <v>320</v>
      </c>
      <c r="T230" s="11" t="s">
        <v>85</v>
      </c>
      <c r="U230" s="11"/>
      <c r="V230" s="11"/>
      <c r="W230" s="11"/>
      <c r="X230" s="11"/>
      <c r="Y230" s="11"/>
      <c r="Z230" s="11"/>
      <c r="AA230" s="11"/>
      <c r="AB230" s="9"/>
      <c r="AC230" s="2"/>
      <c r="AD230" s="9"/>
      <c r="AE230" s="2"/>
      <c r="AF230" s="9"/>
      <c r="AG230" s="10"/>
      <c r="AH230" s="11"/>
      <c r="AI230" s="11" t="s">
        <v>86</v>
      </c>
      <c r="AJ230" s="11"/>
      <c r="AK230" s="2"/>
      <c r="AL230" s="11"/>
      <c r="AM230" s="11"/>
      <c r="AN230" s="11"/>
      <c r="AO230" s="2"/>
      <c r="AP230" s="3"/>
      <c r="AQ230" s="11"/>
      <c r="AR230" s="3"/>
      <c r="AS230" s="2"/>
      <c r="AT230" s="11"/>
      <c r="AU230" s="2"/>
      <c r="AV230" s="2"/>
      <c r="AW230" s="2"/>
      <c r="AX230" s="11"/>
      <c r="AY230" s="11"/>
      <c r="AZ230" s="9"/>
      <c r="BA230" s="2">
        <v>1875</v>
      </c>
      <c r="BB230" s="11"/>
      <c r="BC230" s="11"/>
      <c r="BD230" s="11"/>
      <c r="BE230" s="11"/>
      <c r="BF230" s="11"/>
      <c r="BG230" s="11"/>
      <c r="BH230" s="11"/>
      <c r="BI230" s="11"/>
      <c r="BJ230" s="11" t="s">
        <v>87</v>
      </c>
      <c r="BK230" s="10">
        <v>46303.805902777778</v>
      </c>
      <c r="BL230" s="11"/>
      <c r="BM230" s="11"/>
      <c r="BN230" s="10">
        <v>46303.625</v>
      </c>
      <c r="BO230" s="11"/>
      <c r="BP230" s="11"/>
      <c r="BQ230" s="11"/>
      <c r="BR230" s="11"/>
      <c r="BS230" s="11"/>
      <c r="BT230" s="11"/>
      <c r="BU230" s="11"/>
      <c r="BV230" s="2"/>
      <c r="BW230" s="11"/>
    </row>
    <row r="231" spans="1:75" ht="30" x14ac:dyDescent="0.25">
      <c r="A231" s="2">
        <v>6200229</v>
      </c>
      <c r="B231" s="10">
        <v>46303.805902777778</v>
      </c>
      <c r="C231" s="11" t="s">
        <v>82</v>
      </c>
      <c r="D231" s="11"/>
      <c r="E231" s="11" t="s">
        <v>88</v>
      </c>
      <c r="F231" s="11"/>
      <c r="G231" s="11" t="s">
        <v>593</v>
      </c>
      <c r="H231" s="3"/>
      <c r="I231" s="11" t="s">
        <v>75</v>
      </c>
      <c r="J231" s="11"/>
      <c r="K231" s="11"/>
      <c r="L231" s="11"/>
      <c r="M231" s="11"/>
      <c r="N231" s="2">
        <v>1.25</v>
      </c>
      <c r="O231" s="2"/>
      <c r="P231" s="2"/>
      <c r="Q231" s="2"/>
      <c r="R231" s="11"/>
      <c r="S231" s="11" t="s">
        <v>321</v>
      </c>
      <c r="T231" s="11" t="s">
        <v>85</v>
      </c>
      <c r="U231" s="11"/>
      <c r="V231" s="11"/>
      <c r="W231" s="11"/>
      <c r="X231" s="11"/>
      <c r="Y231" s="11"/>
      <c r="Z231" s="11"/>
      <c r="AA231" s="11"/>
      <c r="AB231" s="9"/>
      <c r="AC231" s="2"/>
      <c r="AD231" s="9"/>
      <c r="AE231" s="2"/>
      <c r="AF231" s="9"/>
      <c r="AG231" s="10"/>
      <c r="AH231" s="11"/>
      <c r="AI231" s="11" t="s">
        <v>86</v>
      </c>
      <c r="AJ231" s="11"/>
      <c r="AK231" s="2"/>
      <c r="AL231" s="11"/>
      <c r="AM231" s="11"/>
      <c r="AN231" s="11"/>
      <c r="AO231" s="2"/>
      <c r="AP231" s="3"/>
      <c r="AQ231" s="11"/>
      <c r="AR231" s="3"/>
      <c r="AS231" s="2"/>
      <c r="AT231" s="11"/>
      <c r="AU231" s="2"/>
      <c r="AV231" s="2"/>
      <c r="AW231" s="2"/>
      <c r="AX231" s="11"/>
      <c r="AY231" s="11"/>
      <c r="AZ231" s="9"/>
      <c r="BA231" s="2">
        <v>1875</v>
      </c>
      <c r="BB231" s="11"/>
      <c r="BC231" s="11"/>
      <c r="BD231" s="11"/>
      <c r="BE231" s="11"/>
      <c r="BF231" s="11"/>
      <c r="BG231" s="11"/>
      <c r="BH231" s="11"/>
      <c r="BI231" s="11"/>
      <c r="BJ231" s="11" t="s">
        <v>87</v>
      </c>
      <c r="BK231" s="10">
        <v>46303.805902777778</v>
      </c>
      <c r="BL231" s="11"/>
      <c r="BM231" s="11"/>
      <c r="BN231" s="10">
        <v>46303.625</v>
      </c>
      <c r="BO231" s="11"/>
      <c r="BP231" s="11"/>
      <c r="BQ231" s="11"/>
      <c r="BR231" s="11"/>
      <c r="BS231" s="11"/>
      <c r="BT231" s="11"/>
      <c r="BU231" s="11"/>
      <c r="BV231" s="2"/>
      <c r="BW231" s="11"/>
    </row>
    <row r="232" spans="1:75" ht="30" x14ac:dyDescent="0.25">
      <c r="A232" s="2">
        <v>6200230</v>
      </c>
      <c r="B232" s="10">
        <v>46303.805902777778</v>
      </c>
      <c r="C232" s="11" t="s">
        <v>82</v>
      </c>
      <c r="D232" s="11"/>
      <c r="E232" s="11" t="s">
        <v>92</v>
      </c>
      <c r="F232" s="11"/>
      <c r="G232" s="11" t="s">
        <v>592</v>
      </c>
      <c r="H232" s="3"/>
      <c r="I232" s="11" t="s">
        <v>75</v>
      </c>
      <c r="J232" s="11"/>
      <c r="K232" s="11"/>
      <c r="L232" s="11"/>
      <c r="M232" s="11"/>
      <c r="N232" s="2">
        <v>1.25</v>
      </c>
      <c r="O232" s="2"/>
      <c r="P232" s="2"/>
      <c r="Q232" s="2"/>
      <c r="R232" s="11"/>
      <c r="S232" s="11" t="s">
        <v>322</v>
      </c>
      <c r="T232" s="11" t="s">
        <v>85</v>
      </c>
      <c r="U232" s="11"/>
      <c r="V232" s="11"/>
      <c r="W232" s="11"/>
      <c r="X232" s="11"/>
      <c r="Y232" s="11"/>
      <c r="Z232" s="11"/>
      <c r="AA232" s="11"/>
      <c r="AB232" s="9"/>
      <c r="AC232" s="2"/>
      <c r="AD232" s="9"/>
      <c r="AE232" s="2"/>
      <c r="AF232" s="9"/>
      <c r="AG232" s="10"/>
      <c r="AH232" s="11"/>
      <c r="AI232" s="11" t="s">
        <v>86</v>
      </c>
      <c r="AJ232" s="11"/>
      <c r="AK232" s="2"/>
      <c r="AL232" s="11"/>
      <c r="AM232" s="11"/>
      <c r="AN232" s="11"/>
      <c r="AO232" s="2"/>
      <c r="AP232" s="3"/>
      <c r="AQ232" s="11"/>
      <c r="AR232" s="3"/>
      <c r="AS232" s="2"/>
      <c r="AT232" s="11"/>
      <c r="AU232" s="2"/>
      <c r="AV232" s="2"/>
      <c r="AW232" s="2"/>
      <c r="AX232" s="11"/>
      <c r="AY232" s="11"/>
      <c r="AZ232" s="9"/>
      <c r="BA232" s="2">
        <v>1875</v>
      </c>
      <c r="BB232" s="11"/>
      <c r="BC232" s="11"/>
      <c r="BD232" s="11"/>
      <c r="BE232" s="11"/>
      <c r="BF232" s="11"/>
      <c r="BG232" s="11"/>
      <c r="BH232" s="11"/>
      <c r="BI232" s="11"/>
      <c r="BJ232" s="11" t="s">
        <v>87</v>
      </c>
      <c r="BK232" s="10">
        <v>46303.805902777778</v>
      </c>
      <c r="BL232" s="11"/>
      <c r="BM232" s="11"/>
      <c r="BN232" s="10">
        <v>46303.625</v>
      </c>
      <c r="BO232" s="11"/>
      <c r="BP232" s="11"/>
      <c r="BQ232" s="11"/>
      <c r="BR232" s="11"/>
      <c r="BS232" s="11"/>
      <c r="BT232" s="11"/>
      <c r="BU232" s="11"/>
      <c r="BV232" s="2"/>
      <c r="BW232" s="11"/>
    </row>
    <row r="233" spans="1:75" ht="30" x14ac:dyDescent="0.25">
      <c r="A233" s="2">
        <v>6200231</v>
      </c>
      <c r="B233" s="10">
        <v>46303.805902777778</v>
      </c>
      <c r="C233" s="11" t="s">
        <v>82</v>
      </c>
      <c r="D233" s="11"/>
      <c r="E233" s="11" t="s">
        <v>83</v>
      </c>
      <c r="F233" s="11"/>
      <c r="G233" s="11" t="s">
        <v>89</v>
      </c>
      <c r="H233" s="3"/>
      <c r="I233" s="11" t="s">
        <v>90</v>
      </c>
      <c r="J233" s="11"/>
      <c r="K233" s="11"/>
      <c r="L233" s="11"/>
      <c r="M233" s="11"/>
      <c r="N233" s="2">
        <v>1.25</v>
      </c>
      <c r="O233" s="2"/>
      <c r="P233" s="2"/>
      <c r="Q233" s="2"/>
      <c r="R233" s="11"/>
      <c r="S233" s="11" t="s">
        <v>323</v>
      </c>
      <c r="T233" s="11" t="s">
        <v>85</v>
      </c>
      <c r="U233" s="11"/>
      <c r="V233" s="11"/>
      <c r="W233" s="11"/>
      <c r="X233" s="11"/>
      <c r="Y233" s="11"/>
      <c r="Z233" s="11"/>
      <c r="AA233" s="11"/>
      <c r="AB233" s="9"/>
      <c r="AC233" s="2"/>
      <c r="AD233" s="9"/>
      <c r="AE233" s="2"/>
      <c r="AF233" s="9"/>
      <c r="AG233" s="10"/>
      <c r="AH233" s="11"/>
      <c r="AI233" s="11" t="s">
        <v>86</v>
      </c>
      <c r="AJ233" s="11"/>
      <c r="AK233" s="2"/>
      <c r="AL233" s="11"/>
      <c r="AM233" s="11"/>
      <c r="AN233" s="11"/>
      <c r="AO233" s="2"/>
      <c r="AP233" s="3"/>
      <c r="AQ233" s="11"/>
      <c r="AR233" s="3"/>
      <c r="AS233" s="2"/>
      <c r="AT233" s="11"/>
      <c r="AU233" s="2"/>
      <c r="AV233" s="2"/>
      <c r="AW233" s="2"/>
      <c r="AX233" s="11"/>
      <c r="AY233" s="11"/>
      <c r="AZ233" s="9"/>
      <c r="BA233" s="2">
        <v>1875</v>
      </c>
      <c r="BB233" s="11"/>
      <c r="BC233" s="11"/>
      <c r="BD233" s="11"/>
      <c r="BE233" s="11"/>
      <c r="BF233" s="11"/>
      <c r="BG233" s="11"/>
      <c r="BH233" s="11"/>
      <c r="BI233" s="11"/>
      <c r="BJ233" s="11" t="s">
        <v>87</v>
      </c>
      <c r="BK233" s="10">
        <v>46303.805902777778</v>
      </c>
      <c r="BL233" s="11"/>
      <c r="BM233" s="11"/>
      <c r="BN233" s="10">
        <v>46303.625</v>
      </c>
      <c r="BO233" s="11"/>
      <c r="BP233" s="11"/>
      <c r="BQ233" s="11"/>
      <c r="BR233" s="11"/>
      <c r="BS233" s="11"/>
      <c r="BT233" s="11"/>
      <c r="BU233" s="11"/>
      <c r="BV233" s="2"/>
      <c r="BW233" s="11"/>
    </row>
    <row r="234" spans="1:75" ht="30" x14ac:dyDescent="0.25">
      <c r="A234" s="2">
        <v>6200232</v>
      </c>
      <c r="B234" s="10">
        <v>46303.805902777778</v>
      </c>
      <c r="C234" s="11" t="s">
        <v>82</v>
      </c>
      <c r="D234" s="11"/>
      <c r="E234" s="11" t="s">
        <v>88</v>
      </c>
      <c r="F234" s="11"/>
      <c r="G234" s="2">
        <v>470123456</v>
      </c>
      <c r="H234" s="3"/>
      <c r="I234" s="11" t="s">
        <v>75</v>
      </c>
      <c r="J234" s="11"/>
      <c r="K234" s="11"/>
      <c r="L234" s="11"/>
      <c r="M234" s="11"/>
      <c r="N234" s="2">
        <v>1.25</v>
      </c>
      <c r="O234" s="2"/>
      <c r="P234" s="2"/>
      <c r="Q234" s="2"/>
      <c r="R234" s="11"/>
      <c r="S234" s="11" t="s">
        <v>324</v>
      </c>
      <c r="T234" s="11" t="s">
        <v>85</v>
      </c>
      <c r="U234" s="11"/>
      <c r="V234" s="11"/>
      <c r="W234" s="11"/>
      <c r="X234" s="11"/>
      <c r="Y234" s="11"/>
      <c r="Z234" s="11"/>
      <c r="AA234" s="11"/>
      <c r="AB234" s="9"/>
      <c r="AC234" s="2"/>
      <c r="AD234" s="9"/>
      <c r="AE234" s="2"/>
      <c r="AF234" s="9"/>
      <c r="AG234" s="10"/>
      <c r="AH234" s="11"/>
      <c r="AI234" s="11" t="s">
        <v>86</v>
      </c>
      <c r="AJ234" s="11"/>
      <c r="AK234" s="2"/>
      <c r="AL234" s="11"/>
      <c r="AM234" s="11"/>
      <c r="AN234" s="11"/>
      <c r="AO234" s="2"/>
      <c r="AP234" s="3"/>
      <c r="AQ234" s="11"/>
      <c r="AR234" s="3"/>
      <c r="AS234" s="2"/>
      <c r="AT234" s="11"/>
      <c r="AU234" s="2"/>
      <c r="AV234" s="2"/>
      <c r="AW234" s="2"/>
      <c r="AX234" s="11"/>
      <c r="AY234" s="11"/>
      <c r="AZ234" s="9"/>
      <c r="BA234" s="2">
        <v>1875</v>
      </c>
      <c r="BB234" s="11"/>
      <c r="BC234" s="11"/>
      <c r="BD234" s="11"/>
      <c r="BE234" s="11"/>
      <c r="BF234" s="11"/>
      <c r="BG234" s="11"/>
      <c r="BH234" s="11"/>
      <c r="BI234" s="11"/>
      <c r="BJ234" s="11" t="s">
        <v>87</v>
      </c>
      <c r="BK234" s="10">
        <v>46303.805902777778</v>
      </c>
      <c r="BL234" s="11"/>
      <c r="BM234" s="11"/>
      <c r="BN234" s="10">
        <v>46303.625</v>
      </c>
      <c r="BO234" s="11"/>
      <c r="BP234" s="11"/>
      <c r="BQ234" s="11"/>
      <c r="BR234" s="11"/>
      <c r="BS234" s="11"/>
      <c r="BT234" s="11"/>
      <c r="BU234" s="11"/>
      <c r="BV234" s="2"/>
      <c r="BW234" s="11"/>
    </row>
    <row r="235" spans="1:75" ht="30" x14ac:dyDescent="0.25">
      <c r="A235" s="2">
        <v>6200233</v>
      </c>
      <c r="B235" s="10">
        <v>46303.805902777778</v>
      </c>
      <c r="C235" s="11" t="s">
        <v>82</v>
      </c>
      <c r="D235" s="11"/>
      <c r="E235" s="11" t="s">
        <v>92</v>
      </c>
      <c r="F235" s="11"/>
      <c r="G235" s="11" t="s">
        <v>94</v>
      </c>
      <c r="H235" s="3"/>
      <c r="I235" s="11" t="s">
        <v>90</v>
      </c>
      <c r="J235" s="11"/>
      <c r="K235" s="11"/>
      <c r="L235" s="11"/>
      <c r="M235" s="11"/>
      <c r="N235" s="2">
        <v>1.25</v>
      </c>
      <c r="O235" s="2"/>
      <c r="P235" s="2"/>
      <c r="Q235" s="2"/>
      <c r="R235" s="11"/>
      <c r="S235" s="11" t="s">
        <v>325</v>
      </c>
      <c r="T235" s="11" t="s">
        <v>85</v>
      </c>
      <c r="U235" s="11"/>
      <c r="V235" s="11"/>
      <c r="W235" s="11"/>
      <c r="X235" s="11"/>
      <c r="Y235" s="11"/>
      <c r="Z235" s="11"/>
      <c r="AA235" s="11"/>
      <c r="AB235" s="9"/>
      <c r="AC235" s="2"/>
      <c r="AD235" s="9"/>
      <c r="AE235" s="2"/>
      <c r="AF235" s="9"/>
      <c r="AG235" s="10"/>
      <c r="AH235" s="11"/>
      <c r="AI235" s="11" t="s">
        <v>86</v>
      </c>
      <c r="AJ235" s="11"/>
      <c r="AK235" s="2"/>
      <c r="AL235" s="11"/>
      <c r="AM235" s="11"/>
      <c r="AN235" s="11"/>
      <c r="AO235" s="2"/>
      <c r="AP235" s="3"/>
      <c r="AQ235" s="11"/>
      <c r="AR235" s="3"/>
      <c r="AS235" s="2"/>
      <c r="AT235" s="11"/>
      <c r="AU235" s="2"/>
      <c r="AV235" s="2"/>
      <c r="AW235" s="2"/>
      <c r="AX235" s="11"/>
      <c r="AY235" s="11"/>
      <c r="AZ235" s="9"/>
      <c r="BA235" s="2">
        <v>1875</v>
      </c>
      <c r="BB235" s="11"/>
      <c r="BC235" s="11"/>
      <c r="BD235" s="11"/>
      <c r="BE235" s="11"/>
      <c r="BF235" s="11"/>
      <c r="BG235" s="11"/>
      <c r="BH235" s="11"/>
      <c r="BI235" s="11"/>
      <c r="BJ235" s="11" t="s">
        <v>87</v>
      </c>
      <c r="BK235" s="10">
        <v>46303.805902777778</v>
      </c>
      <c r="BL235" s="11"/>
      <c r="BM235" s="11"/>
      <c r="BN235" s="10">
        <v>46303.625</v>
      </c>
      <c r="BO235" s="11"/>
      <c r="BP235" s="11"/>
      <c r="BQ235" s="11"/>
      <c r="BR235" s="11"/>
      <c r="BS235" s="11"/>
      <c r="BT235" s="11"/>
      <c r="BU235" s="11"/>
      <c r="BV235" s="2"/>
      <c r="BW235" s="11"/>
    </row>
    <row r="236" spans="1:75" ht="30" x14ac:dyDescent="0.25">
      <c r="A236" s="2">
        <v>6200234</v>
      </c>
      <c r="B236" s="10">
        <v>46303.805902777778</v>
      </c>
      <c r="C236" s="11" t="s">
        <v>82</v>
      </c>
      <c r="D236" s="11"/>
      <c r="E236" s="11" t="s">
        <v>83</v>
      </c>
      <c r="F236" s="11"/>
      <c r="G236" s="11" t="s">
        <v>593</v>
      </c>
      <c r="H236" s="3"/>
      <c r="I236" s="11" t="s">
        <v>75</v>
      </c>
      <c r="J236" s="11"/>
      <c r="K236" s="11"/>
      <c r="L236" s="11"/>
      <c r="M236" s="11"/>
      <c r="N236" s="2">
        <v>1.25</v>
      </c>
      <c r="O236" s="2"/>
      <c r="P236" s="2"/>
      <c r="Q236" s="2"/>
      <c r="R236" s="11"/>
      <c r="S236" s="11" t="s">
        <v>326</v>
      </c>
      <c r="T236" s="11" t="s">
        <v>85</v>
      </c>
      <c r="U236" s="11"/>
      <c r="V236" s="11"/>
      <c r="W236" s="11"/>
      <c r="X236" s="11"/>
      <c r="Y236" s="11"/>
      <c r="Z236" s="11"/>
      <c r="AA236" s="11"/>
      <c r="AB236" s="9"/>
      <c r="AC236" s="2"/>
      <c r="AD236" s="9"/>
      <c r="AE236" s="2"/>
      <c r="AF236" s="9"/>
      <c r="AG236" s="10"/>
      <c r="AH236" s="11"/>
      <c r="AI236" s="11" t="s">
        <v>86</v>
      </c>
      <c r="AJ236" s="11"/>
      <c r="AK236" s="2"/>
      <c r="AL236" s="11"/>
      <c r="AM236" s="11"/>
      <c r="AN236" s="11"/>
      <c r="AO236" s="2"/>
      <c r="AP236" s="3"/>
      <c r="AQ236" s="11"/>
      <c r="AR236" s="3"/>
      <c r="AS236" s="2"/>
      <c r="AT236" s="11"/>
      <c r="AU236" s="2"/>
      <c r="AV236" s="2"/>
      <c r="AW236" s="2"/>
      <c r="AX236" s="11"/>
      <c r="AY236" s="11"/>
      <c r="AZ236" s="9"/>
      <c r="BA236" s="2">
        <v>1875</v>
      </c>
      <c r="BB236" s="11"/>
      <c r="BC236" s="11"/>
      <c r="BD236" s="11"/>
      <c r="BE236" s="11"/>
      <c r="BF236" s="11"/>
      <c r="BG236" s="11"/>
      <c r="BH236" s="11"/>
      <c r="BI236" s="11"/>
      <c r="BJ236" s="11" t="s">
        <v>87</v>
      </c>
      <c r="BK236" s="10">
        <v>46303.805902777778</v>
      </c>
      <c r="BL236" s="11"/>
      <c r="BM236" s="11"/>
      <c r="BN236" s="10">
        <v>46303.625</v>
      </c>
      <c r="BO236" s="11"/>
      <c r="BP236" s="11"/>
      <c r="BQ236" s="11"/>
      <c r="BR236" s="11"/>
      <c r="BS236" s="11"/>
      <c r="BT236" s="11"/>
      <c r="BU236" s="11"/>
      <c r="BV236" s="2"/>
      <c r="BW236" s="11"/>
    </row>
    <row r="237" spans="1:75" ht="30" x14ac:dyDescent="0.25">
      <c r="A237" s="2">
        <v>6200235</v>
      </c>
      <c r="B237" s="10">
        <v>46303.805902777778</v>
      </c>
      <c r="C237" s="11" t="s">
        <v>82</v>
      </c>
      <c r="D237" s="11"/>
      <c r="E237" s="11" t="s">
        <v>88</v>
      </c>
      <c r="F237" s="11"/>
      <c r="G237" s="11" t="s">
        <v>592</v>
      </c>
      <c r="H237" s="3"/>
      <c r="I237" s="11" t="s">
        <v>75</v>
      </c>
      <c r="J237" s="11"/>
      <c r="K237" s="11"/>
      <c r="L237" s="11"/>
      <c r="M237" s="11"/>
      <c r="N237" s="2">
        <v>1.25</v>
      </c>
      <c r="O237" s="2"/>
      <c r="P237" s="2"/>
      <c r="Q237" s="2"/>
      <c r="R237" s="11"/>
      <c r="S237" s="11" t="s">
        <v>327</v>
      </c>
      <c r="T237" s="11" t="s">
        <v>85</v>
      </c>
      <c r="U237" s="11"/>
      <c r="V237" s="11"/>
      <c r="W237" s="11"/>
      <c r="X237" s="11"/>
      <c r="Y237" s="11"/>
      <c r="Z237" s="11"/>
      <c r="AA237" s="11"/>
      <c r="AB237" s="9"/>
      <c r="AC237" s="2"/>
      <c r="AD237" s="9"/>
      <c r="AE237" s="2"/>
      <c r="AF237" s="9"/>
      <c r="AG237" s="10"/>
      <c r="AH237" s="11"/>
      <c r="AI237" s="11" t="s">
        <v>86</v>
      </c>
      <c r="AJ237" s="11"/>
      <c r="AK237" s="2"/>
      <c r="AL237" s="11"/>
      <c r="AM237" s="11"/>
      <c r="AN237" s="11"/>
      <c r="AO237" s="2"/>
      <c r="AP237" s="3"/>
      <c r="AQ237" s="11"/>
      <c r="AR237" s="3"/>
      <c r="AS237" s="2"/>
      <c r="AT237" s="11"/>
      <c r="AU237" s="2"/>
      <c r="AV237" s="2"/>
      <c r="AW237" s="2"/>
      <c r="AX237" s="11"/>
      <c r="AY237" s="11"/>
      <c r="AZ237" s="9"/>
      <c r="BA237" s="2">
        <v>1875</v>
      </c>
      <c r="BB237" s="11"/>
      <c r="BC237" s="11"/>
      <c r="BD237" s="11"/>
      <c r="BE237" s="11"/>
      <c r="BF237" s="11"/>
      <c r="BG237" s="11"/>
      <c r="BH237" s="11"/>
      <c r="BI237" s="11"/>
      <c r="BJ237" s="11" t="s">
        <v>87</v>
      </c>
      <c r="BK237" s="10">
        <v>46303.805902777778</v>
      </c>
      <c r="BL237" s="11"/>
      <c r="BM237" s="11"/>
      <c r="BN237" s="10">
        <v>46303.625</v>
      </c>
      <c r="BO237" s="11"/>
      <c r="BP237" s="11"/>
      <c r="BQ237" s="11"/>
      <c r="BR237" s="11"/>
      <c r="BS237" s="11"/>
      <c r="BT237" s="11"/>
      <c r="BU237" s="11"/>
      <c r="BV237" s="2"/>
      <c r="BW237" s="11"/>
    </row>
    <row r="238" spans="1:75" ht="30" x14ac:dyDescent="0.25">
      <c r="A238" s="2">
        <v>6200236</v>
      </c>
      <c r="B238" s="10">
        <v>46303.805902777778</v>
      </c>
      <c r="C238" s="11" t="s">
        <v>82</v>
      </c>
      <c r="D238" s="11"/>
      <c r="E238" s="11" t="s">
        <v>92</v>
      </c>
      <c r="F238" s="11"/>
      <c r="G238" s="11" t="s">
        <v>89</v>
      </c>
      <c r="H238" s="3"/>
      <c r="I238" s="11" t="s">
        <v>90</v>
      </c>
      <c r="J238" s="11"/>
      <c r="K238" s="11"/>
      <c r="L238" s="11"/>
      <c r="M238" s="11"/>
      <c r="N238" s="2">
        <v>1.25</v>
      </c>
      <c r="O238" s="2"/>
      <c r="P238" s="2"/>
      <c r="Q238" s="2"/>
      <c r="R238" s="11"/>
      <c r="S238" s="11" t="s">
        <v>328</v>
      </c>
      <c r="T238" s="11" t="s">
        <v>85</v>
      </c>
      <c r="U238" s="11"/>
      <c r="V238" s="11"/>
      <c r="W238" s="11"/>
      <c r="X238" s="11"/>
      <c r="Y238" s="11"/>
      <c r="Z238" s="11"/>
      <c r="AA238" s="11"/>
      <c r="AB238" s="9"/>
      <c r="AC238" s="2"/>
      <c r="AD238" s="9"/>
      <c r="AE238" s="2"/>
      <c r="AF238" s="9"/>
      <c r="AG238" s="10"/>
      <c r="AH238" s="11"/>
      <c r="AI238" s="11" t="s">
        <v>86</v>
      </c>
      <c r="AJ238" s="11"/>
      <c r="AK238" s="2"/>
      <c r="AL238" s="11"/>
      <c r="AM238" s="11"/>
      <c r="AN238" s="11"/>
      <c r="AO238" s="2"/>
      <c r="AP238" s="3"/>
      <c r="AQ238" s="11"/>
      <c r="AR238" s="3"/>
      <c r="AS238" s="2"/>
      <c r="AT238" s="11"/>
      <c r="AU238" s="2"/>
      <c r="AV238" s="2"/>
      <c r="AW238" s="2"/>
      <c r="AX238" s="11"/>
      <c r="AY238" s="11"/>
      <c r="AZ238" s="9"/>
      <c r="BA238" s="2">
        <v>1875</v>
      </c>
      <c r="BB238" s="11"/>
      <c r="BC238" s="11"/>
      <c r="BD238" s="11"/>
      <c r="BE238" s="11"/>
      <c r="BF238" s="11"/>
      <c r="BG238" s="11"/>
      <c r="BH238" s="11"/>
      <c r="BI238" s="11"/>
      <c r="BJ238" s="11" t="s">
        <v>87</v>
      </c>
      <c r="BK238" s="10">
        <v>46303.805902777778</v>
      </c>
      <c r="BL238" s="11"/>
      <c r="BM238" s="11"/>
      <c r="BN238" s="10">
        <v>46303.625</v>
      </c>
      <c r="BO238" s="11"/>
      <c r="BP238" s="11"/>
      <c r="BQ238" s="11"/>
      <c r="BR238" s="11"/>
      <c r="BS238" s="11"/>
      <c r="BT238" s="11"/>
      <c r="BU238" s="11"/>
      <c r="BV238" s="2"/>
      <c r="BW238" s="11"/>
    </row>
    <row r="239" spans="1:75" ht="30" x14ac:dyDescent="0.25">
      <c r="A239" s="2">
        <v>6200237</v>
      </c>
      <c r="B239" s="10">
        <v>46303.805902777778</v>
      </c>
      <c r="C239" s="11" t="s">
        <v>82</v>
      </c>
      <c r="D239" s="11"/>
      <c r="E239" s="11" t="s">
        <v>83</v>
      </c>
      <c r="F239" s="11"/>
      <c r="G239" s="2">
        <v>470123456</v>
      </c>
      <c r="H239" s="3"/>
      <c r="I239" s="11" t="s">
        <v>75</v>
      </c>
      <c r="J239" s="11"/>
      <c r="K239" s="11"/>
      <c r="L239" s="11"/>
      <c r="M239" s="11"/>
      <c r="N239" s="2">
        <v>1.25</v>
      </c>
      <c r="O239" s="2"/>
      <c r="P239" s="2"/>
      <c r="Q239" s="2"/>
      <c r="R239" s="11"/>
      <c r="S239" s="11" t="s">
        <v>329</v>
      </c>
      <c r="T239" s="11" t="s">
        <v>85</v>
      </c>
      <c r="U239" s="11"/>
      <c r="V239" s="11"/>
      <c r="W239" s="11"/>
      <c r="X239" s="11"/>
      <c r="Y239" s="11"/>
      <c r="Z239" s="11"/>
      <c r="AA239" s="11"/>
      <c r="AB239" s="9"/>
      <c r="AC239" s="2"/>
      <c r="AD239" s="9"/>
      <c r="AE239" s="2"/>
      <c r="AF239" s="9"/>
      <c r="AG239" s="10"/>
      <c r="AH239" s="11"/>
      <c r="AI239" s="11" t="s">
        <v>86</v>
      </c>
      <c r="AJ239" s="11"/>
      <c r="AK239" s="2"/>
      <c r="AL239" s="11"/>
      <c r="AM239" s="11"/>
      <c r="AN239" s="11"/>
      <c r="AO239" s="2"/>
      <c r="AP239" s="3"/>
      <c r="AQ239" s="11"/>
      <c r="AR239" s="3"/>
      <c r="AS239" s="2"/>
      <c r="AT239" s="11"/>
      <c r="AU239" s="2"/>
      <c r="AV239" s="2"/>
      <c r="AW239" s="2"/>
      <c r="AX239" s="11"/>
      <c r="AY239" s="11"/>
      <c r="AZ239" s="9"/>
      <c r="BA239" s="2">
        <v>1875</v>
      </c>
      <c r="BB239" s="11"/>
      <c r="BC239" s="11"/>
      <c r="BD239" s="11"/>
      <c r="BE239" s="11"/>
      <c r="BF239" s="11"/>
      <c r="BG239" s="11"/>
      <c r="BH239" s="11"/>
      <c r="BI239" s="11"/>
      <c r="BJ239" s="11" t="s">
        <v>87</v>
      </c>
      <c r="BK239" s="10">
        <v>46303.805902777778</v>
      </c>
      <c r="BL239" s="11"/>
      <c r="BM239" s="11"/>
      <c r="BN239" s="10">
        <v>46303.625</v>
      </c>
      <c r="BO239" s="11"/>
      <c r="BP239" s="11"/>
      <c r="BQ239" s="11"/>
      <c r="BR239" s="11"/>
      <c r="BS239" s="11"/>
      <c r="BT239" s="11"/>
      <c r="BU239" s="11"/>
      <c r="BV239" s="2"/>
      <c r="BW239" s="11"/>
    </row>
    <row r="240" spans="1:75" ht="30" x14ac:dyDescent="0.25">
      <c r="A240" s="2">
        <v>6200238</v>
      </c>
      <c r="B240" s="10">
        <v>46303.805902777778</v>
      </c>
      <c r="C240" s="11" t="s">
        <v>82</v>
      </c>
      <c r="D240" s="11"/>
      <c r="E240" s="11" t="s">
        <v>88</v>
      </c>
      <c r="F240" s="11"/>
      <c r="G240" s="11" t="s">
        <v>94</v>
      </c>
      <c r="H240" s="3"/>
      <c r="I240" s="11" t="s">
        <v>90</v>
      </c>
      <c r="J240" s="11"/>
      <c r="K240" s="11"/>
      <c r="L240" s="11"/>
      <c r="M240" s="11"/>
      <c r="N240" s="2">
        <v>1.25</v>
      </c>
      <c r="O240" s="2"/>
      <c r="P240" s="2"/>
      <c r="Q240" s="2"/>
      <c r="R240" s="11"/>
      <c r="S240" s="11" t="s">
        <v>330</v>
      </c>
      <c r="T240" s="11" t="s">
        <v>85</v>
      </c>
      <c r="U240" s="11"/>
      <c r="V240" s="11"/>
      <c r="W240" s="11"/>
      <c r="X240" s="11"/>
      <c r="Y240" s="11"/>
      <c r="Z240" s="11"/>
      <c r="AA240" s="11"/>
      <c r="AB240" s="9"/>
      <c r="AC240" s="2"/>
      <c r="AD240" s="9"/>
      <c r="AE240" s="2"/>
      <c r="AF240" s="9"/>
      <c r="AG240" s="10"/>
      <c r="AH240" s="11"/>
      <c r="AI240" s="11" t="s">
        <v>86</v>
      </c>
      <c r="AJ240" s="11"/>
      <c r="AK240" s="2"/>
      <c r="AL240" s="11"/>
      <c r="AM240" s="11"/>
      <c r="AN240" s="11"/>
      <c r="AO240" s="2"/>
      <c r="AP240" s="3"/>
      <c r="AQ240" s="11"/>
      <c r="AR240" s="3"/>
      <c r="AS240" s="2"/>
      <c r="AT240" s="11"/>
      <c r="AU240" s="2"/>
      <c r="AV240" s="2"/>
      <c r="AW240" s="2"/>
      <c r="AX240" s="11"/>
      <c r="AY240" s="11"/>
      <c r="AZ240" s="9"/>
      <c r="BA240" s="2">
        <v>1875</v>
      </c>
      <c r="BB240" s="11"/>
      <c r="BC240" s="11"/>
      <c r="BD240" s="11"/>
      <c r="BE240" s="11"/>
      <c r="BF240" s="11"/>
      <c r="BG240" s="11"/>
      <c r="BH240" s="11"/>
      <c r="BI240" s="11"/>
      <c r="BJ240" s="11" t="s">
        <v>87</v>
      </c>
      <c r="BK240" s="10">
        <v>46303.805902777778</v>
      </c>
      <c r="BL240" s="11"/>
      <c r="BM240" s="11"/>
      <c r="BN240" s="10">
        <v>46303.625</v>
      </c>
      <c r="BO240" s="11"/>
      <c r="BP240" s="11"/>
      <c r="BQ240" s="11"/>
      <c r="BR240" s="11"/>
      <c r="BS240" s="11"/>
      <c r="BT240" s="11"/>
      <c r="BU240" s="11"/>
      <c r="BV240" s="2"/>
      <c r="BW240" s="11"/>
    </row>
    <row r="241" spans="1:75" ht="30" x14ac:dyDescent="0.25">
      <c r="A241" s="2">
        <v>6200239</v>
      </c>
      <c r="B241" s="10">
        <v>46303.805902777778</v>
      </c>
      <c r="C241" s="11" t="s">
        <v>82</v>
      </c>
      <c r="D241" s="11"/>
      <c r="E241" s="11" t="s">
        <v>92</v>
      </c>
      <c r="F241" s="11"/>
      <c r="G241" s="11" t="s">
        <v>593</v>
      </c>
      <c r="H241" s="3"/>
      <c r="I241" s="11" t="s">
        <v>75</v>
      </c>
      <c r="J241" s="11"/>
      <c r="K241" s="11"/>
      <c r="L241" s="11"/>
      <c r="M241" s="11"/>
      <c r="N241" s="2">
        <v>1.25</v>
      </c>
      <c r="O241" s="2"/>
      <c r="P241" s="2"/>
      <c r="Q241" s="2"/>
      <c r="R241" s="11"/>
      <c r="S241" s="11" t="s">
        <v>331</v>
      </c>
      <c r="T241" s="11" t="s">
        <v>85</v>
      </c>
      <c r="U241" s="11"/>
      <c r="V241" s="11"/>
      <c r="W241" s="11"/>
      <c r="X241" s="11"/>
      <c r="Y241" s="11"/>
      <c r="Z241" s="11"/>
      <c r="AA241" s="11"/>
      <c r="AB241" s="9"/>
      <c r="AC241" s="2"/>
      <c r="AD241" s="9"/>
      <c r="AE241" s="2"/>
      <c r="AF241" s="9"/>
      <c r="AG241" s="10"/>
      <c r="AH241" s="11"/>
      <c r="AI241" s="11" t="s">
        <v>86</v>
      </c>
      <c r="AJ241" s="11"/>
      <c r="AK241" s="2"/>
      <c r="AL241" s="11"/>
      <c r="AM241" s="11"/>
      <c r="AN241" s="11"/>
      <c r="AO241" s="2"/>
      <c r="AP241" s="3"/>
      <c r="AQ241" s="11"/>
      <c r="AR241" s="3"/>
      <c r="AS241" s="2"/>
      <c r="AT241" s="11"/>
      <c r="AU241" s="2"/>
      <c r="AV241" s="2"/>
      <c r="AW241" s="2"/>
      <c r="AX241" s="11"/>
      <c r="AY241" s="11"/>
      <c r="AZ241" s="9"/>
      <c r="BA241" s="2">
        <v>1875</v>
      </c>
      <c r="BB241" s="11"/>
      <c r="BC241" s="11"/>
      <c r="BD241" s="11"/>
      <c r="BE241" s="11"/>
      <c r="BF241" s="11"/>
      <c r="BG241" s="11"/>
      <c r="BH241" s="11"/>
      <c r="BI241" s="11"/>
      <c r="BJ241" s="11" t="s">
        <v>87</v>
      </c>
      <c r="BK241" s="10">
        <v>46303.805902777778</v>
      </c>
      <c r="BL241" s="11"/>
      <c r="BM241" s="11"/>
      <c r="BN241" s="10">
        <v>46303.625</v>
      </c>
      <c r="BO241" s="11"/>
      <c r="BP241" s="11"/>
      <c r="BQ241" s="11"/>
      <c r="BR241" s="11"/>
      <c r="BS241" s="11"/>
      <c r="BT241" s="11"/>
      <c r="BU241" s="11"/>
      <c r="BV241" s="2"/>
      <c r="BW241" s="11"/>
    </row>
    <row r="242" spans="1:75" ht="30" x14ac:dyDescent="0.25">
      <c r="A242" s="2">
        <v>6200240</v>
      </c>
      <c r="B242" s="10">
        <v>46303.805902777778</v>
      </c>
      <c r="C242" s="11" t="s">
        <v>82</v>
      </c>
      <c r="D242" s="11"/>
      <c r="E242" s="11" t="s">
        <v>83</v>
      </c>
      <c r="F242" s="11"/>
      <c r="G242" s="11" t="s">
        <v>592</v>
      </c>
      <c r="H242" s="3"/>
      <c r="I242" s="11" t="s">
        <v>75</v>
      </c>
      <c r="J242" s="11"/>
      <c r="K242" s="11"/>
      <c r="L242" s="11"/>
      <c r="M242" s="11"/>
      <c r="N242" s="2">
        <v>1.25</v>
      </c>
      <c r="O242" s="2"/>
      <c r="P242" s="2"/>
      <c r="Q242" s="2"/>
      <c r="R242" s="11"/>
      <c r="S242" s="11" t="s">
        <v>332</v>
      </c>
      <c r="T242" s="11" t="s">
        <v>85</v>
      </c>
      <c r="U242" s="11"/>
      <c r="V242" s="11"/>
      <c r="W242" s="11"/>
      <c r="X242" s="11"/>
      <c r="Y242" s="11"/>
      <c r="Z242" s="11"/>
      <c r="AA242" s="11"/>
      <c r="AB242" s="9"/>
      <c r="AC242" s="2"/>
      <c r="AD242" s="9"/>
      <c r="AE242" s="2"/>
      <c r="AF242" s="9"/>
      <c r="AG242" s="10"/>
      <c r="AH242" s="11"/>
      <c r="AI242" s="11" t="s">
        <v>86</v>
      </c>
      <c r="AJ242" s="11"/>
      <c r="AK242" s="2"/>
      <c r="AL242" s="11"/>
      <c r="AM242" s="11"/>
      <c r="AN242" s="11"/>
      <c r="AO242" s="2"/>
      <c r="AP242" s="3"/>
      <c r="AQ242" s="11"/>
      <c r="AR242" s="3"/>
      <c r="AS242" s="2"/>
      <c r="AT242" s="11"/>
      <c r="AU242" s="2"/>
      <c r="AV242" s="2"/>
      <c r="AW242" s="2"/>
      <c r="AX242" s="11"/>
      <c r="AY242" s="11"/>
      <c r="AZ242" s="9"/>
      <c r="BA242" s="2">
        <v>1875</v>
      </c>
      <c r="BB242" s="11"/>
      <c r="BC242" s="11"/>
      <c r="BD242" s="11"/>
      <c r="BE242" s="11"/>
      <c r="BF242" s="11"/>
      <c r="BG242" s="11"/>
      <c r="BH242" s="11"/>
      <c r="BI242" s="11"/>
      <c r="BJ242" s="11" t="s">
        <v>87</v>
      </c>
      <c r="BK242" s="10">
        <v>46303.805902777778</v>
      </c>
      <c r="BL242" s="11"/>
      <c r="BM242" s="11"/>
      <c r="BN242" s="10">
        <v>46303.625</v>
      </c>
      <c r="BO242" s="11"/>
      <c r="BP242" s="11"/>
      <c r="BQ242" s="11"/>
      <c r="BR242" s="11"/>
      <c r="BS242" s="11"/>
      <c r="BT242" s="11"/>
      <c r="BU242" s="11"/>
      <c r="BV242" s="2"/>
      <c r="BW242" s="11"/>
    </row>
    <row r="243" spans="1:75" ht="30" x14ac:dyDescent="0.25">
      <c r="A243" s="2">
        <v>6200241</v>
      </c>
      <c r="B243" s="10">
        <v>46303.805902777778</v>
      </c>
      <c r="C243" s="11" t="s">
        <v>82</v>
      </c>
      <c r="D243" s="11"/>
      <c r="E243" s="11" t="s">
        <v>88</v>
      </c>
      <c r="F243" s="11"/>
      <c r="G243" s="11" t="s">
        <v>89</v>
      </c>
      <c r="H243" s="3"/>
      <c r="I243" s="11" t="s">
        <v>90</v>
      </c>
      <c r="J243" s="11"/>
      <c r="K243" s="11"/>
      <c r="L243" s="11"/>
      <c r="M243" s="11"/>
      <c r="N243" s="2">
        <v>1.25</v>
      </c>
      <c r="O243" s="2"/>
      <c r="P243" s="2"/>
      <c r="Q243" s="2"/>
      <c r="R243" s="11"/>
      <c r="S243" s="11" t="s">
        <v>333</v>
      </c>
      <c r="T243" s="11" t="s">
        <v>85</v>
      </c>
      <c r="U243" s="11"/>
      <c r="V243" s="11"/>
      <c r="W243" s="11"/>
      <c r="X243" s="11"/>
      <c r="Y243" s="11"/>
      <c r="Z243" s="11"/>
      <c r="AA243" s="11"/>
      <c r="AB243" s="9"/>
      <c r="AC243" s="2"/>
      <c r="AD243" s="9"/>
      <c r="AE243" s="2"/>
      <c r="AF243" s="9"/>
      <c r="AG243" s="10"/>
      <c r="AH243" s="11"/>
      <c r="AI243" s="11" t="s">
        <v>86</v>
      </c>
      <c r="AJ243" s="11"/>
      <c r="AK243" s="2"/>
      <c r="AL243" s="11"/>
      <c r="AM243" s="11"/>
      <c r="AN243" s="11"/>
      <c r="AO243" s="2"/>
      <c r="AP243" s="3"/>
      <c r="AQ243" s="11"/>
      <c r="AR243" s="3"/>
      <c r="AS243" s="2"/>
      <c r="AT243" s="11"/>
      <c r="AU243" s="2"/>
      <c r="AV243" s="2"/>
      <c r="AW243" s="2"/>
      <c r="AX243" s="11"/>
      <c r="AY243" s="11"/>
      <c r="AZ243" s="9"/>
      <c r="BA243" s="2">
        <v>1875</v>
      </c>
      <c r="BB243" s="11"/>
      <c r="BC243" s="11"/>
      <c r="BD243" s="11"/>
      <c r="BE243" s="11"/>
      <c r="BF243" s="11"/>
      <c r="BG243" s="11"/>
      <c r="BH243" s="11"/>
      <c r="BI243" s="11"/>
      <c r="BJ243" s="11" t="s">
        <v>87</v>
      </c>
      <c r="BK243" s="10">
        <v>46303.805902777778</v>
      </c>
      <c r="BL243" s="11"/>
      <c r="BM243" s="11"/>
      <c r="BN243" s="10">
        <v>46303.625</v>
      </c>
      <c r="BO243" s="11"/>
      <c r="BP243" s="11"/>
      <c r="BQ243" s="11"/>
      <c r="BR243" s="11"/>
      <c r="BS243" s="11"/>
      <c r="BT243" s="11"/>
      <c r="BU243" s="11"/>
      <c r="BV243" s="2"/>
      <c r="BW243" s="11"/>
    </row>
    <row r="244" spans="1:75" ht="30" x14ac:dyDescent="0.25">
      <c r="A244" s="2">
        <v>6200242</v>
      </c>
      <c r="B244" s="10">
        <v>46303.805902777778</v>
      </c>
      <c r="C244" s="11" t="s">
        <v>82</v>
      </c>
      <c r="D244" s="11"/>
      <c r="E244" s="11" t="s">
        <v>92</v>
      </c>
      <c r="F244" s="11"/>
      <c r="G244" s="2">
        <v>470123456</v>
      </c>
      <c r="H244" s="3"/>
      <c r="I244" s="11" t="s">
        <v>75</v>
      </c>
      <c r="J244" s="11"/>
      <c r="K244" s="11"/>
      <c r="L244" s="11"/>
      <c r="M244" s="11"/>
      <c r="N244" s="2">
        <v>1.25</v>
      </c>
      <c r="O244" s="2"/>
      <c r="P244" s="2"/>
      <c r="Q244" s="2"/>
      <c r="R244" s="11"/>
      <c r="S244" s="11" t="s">
        <v>334</v>
      </c>
      <c r="T244" s="11" t="s">
        <v>85</v>
      </c>
      <c r="U244" s="11"/>
      <c r="V244" s="11"/>
      <c r="W244" s="11"/>
      <c r="X244" s="11"/>
      <c r="Y244" s="11"/>
      <c r="Z244" s="11"/>
      <c r="AA244" s="11"/>
      <c r="AB244" s="9"/>
      <c r="AC244" s="2"/>
      <c r="AD244" s="9"/>
      <c r="AE244" s="2"/>
      <c r="AF244" s="9"/>
      <c r="AG244" s="10"/>
      <c r="AH244" s="11"/>
      <c r="AI244" s="11" t="s">
        <v>86</v>
      </c>
      <c r="AJ244" s="11"/>
      <c r="AK244" s="2"/>
      <c r="AL244" s="11"/>
      <c r="AM244" s="11"/>
      <c r="AN244" s="11"/>
      <c r="AO244" s="2"/>
      <c r="AP244" s="3"/>
      <c r="AQ244" s="11"/>
      <c r="AR244" s="3"/>
      <c r="AS244" s="2"/>
      <c r="AT244" s="11"/>
      <c r="AU244" s="2"/>
      <c r="AV244" s="2"/>
      <c r="AW244" s="2"/>
      <c r="AX244" s="11"/>
      <c r="AY244" s="11"/>
      <c r="AZ244" s="9"/>
      <c r="BA244" s="2">
        <v>1875</v>
      </c>
      <c r="BB244" s="11"/>
      <c r="BC244" s="11"/>
      <c r="BD244" s="11"/>
      <c r="BE244" s="11"/>
      <c r="BF244" s="11"/>
      <c r="BG244" s="11"/>
      <c r="BH244" s="11"/>
      <c r="BI244" s="11"/>
      <c r="BJ244" s="11" t="s">
        <v>87</v>
      </c>
      <c r="BK244" s="10">
        <v>46303.805902777778</v>
      </c>
      <c r="BL244" s="11"/>
      <c r="BM244" s="11"/>
      <c r="BN244" s="10">
        <v>46303.625</v>
      </c>
      <c r="BO244" s="11"/>
      <c r="BP244" s="11"/>
      <c r="BQ244" s="11"/>
      <c r="BR244" s="11"/>
      <c r="BS244" s="11"/>
      <c r="BT244" s="11"/>
      <c r="BU244" s="11"/>
      <c r="BV244" s="2"/>
      <c r="BW244" s="11"/>
    </row>
    <row r="245" spans="1:75" ht="30" x14ac:dyDescent="0.25">
      <c r="A245" s="2">
        <v>6200243</v>
      </c>
      <c r="B245" s="10">
        <v>46303.805902777778</v>
      </c>
      <c r="C245" s="11" t="s">
        <v>82</v>
      </c>
      <c r="D245" s="11"/>
      <c r="E245" s="11" t="s">
        <v>83</v>
      </c>
      <c r="F245" s="11"/>
      <c r="G245" s="11" t="s">
        <v>94</v>
      </c>
      <c r="H245" s="3"/>
      <c r="I245" s="11" t="s">
        <v>90</v>
      </c>
      <c r="J245" s="11"/>
      <c r="K245" s="11"/>
      <c r="L245" s="11"/>
      <c r="M245" s="11"/>
      <c r="N245" s="2">
        <v>1.25</v>
      </c>
      <c r="O245" s="2"/>
      <c r="P245" s="2"/>
      <c r="Q245" s="2"/>
      <c r="R245" s="11"/>
      <c r="S245" s="11" t="s">
        <v>335</v>
      </c>
      <c r="T245" s="11" t="s">
        <v>85</v>
      </c>
      <c r="U245" s="11"/>
      <c r="V245" s="11"/>
      <c r="W245" s="11"/>
      <c r="X245" s="11"/>
      <c r="Y245" s="11"/>
      <c r="Z245" s="11"/>
      <c r="AA245" s="11"/>
      <c r="AB245" s="9"/>
      <c r="AC245" s="2"/>
      <c r="AD245" s="9"/>
      <c r="AE245" s="2"/>
      <c r="AF245" s="9"/>
      <c r="AG245" s="10"/>
      <c r="AH245" s="11"/>
      <c r="AI245" s="11" t="s">
        <v>86</v>
      </c>
      <c r="AJ245" s="11"/>
      <c r="AK245" s="2"/>
      <c r="AL245" s="11"/>
      <c r="AM245" s="11"/>
      <c r="AN245" s="11"/>
      <c r="AO245" s="2"/>
      <c r="AP245" s="3"/>
      <c r="AQ245" s="11"/>
      <c r="AR245" s="3"/>
      <c r="AS245" s="2"/>
      <c r="AT245" s="11"/>
      <c r="AU245" s="2"/>
      <c r="AV245" s="2"/>
      <c r="AW245" s="2"/>
      <c r="AX245" s="11"/>
      <c r="AY245" s="11"/>
      <c r="AZ245" s="9"/>
      <c r="BA245" s="2">
        <v>1875</v>
      </c>
      <c r="BB245" s="11"/>
      <c r="BC245" s="11"/>
      <c r="BD245" s="11"/>
      <c r="BE245" s="11"/>
      <c r="BF245" s="11"/>
      <c r="BG245" s="11"/>
      <c r="BH245" s="11"/>
      <c r="BI245" s="11"/>
      <c r="BJ245" s="11" t="s">
        <v>87</v>
      </c>
      <c r="BK245" s="10">
        <v>46303.805902777778</v>
      </c>
      <c r="BL245" s="11"/>
      <c r="BM245" s="11"/>
      <c r="BN245" s="10">
        <v>46303.625</v>
      </c>
      <c r="BO245" s="11"/>
      <c r="BP245" s="11"/>
      <c r="BQ245" s="11"/>
      <c r="BR245" s="11"/>
      <c r="BS245" s="11"/>
      <c r="BT245" s="11"/>
      <c r="BU245" s="11"/>
      <c r="BV245" s="2"/>
      <c r="BW245" s="11"/>
    </row>
    <row r="246" spans="1:75" ht="30" x14ac:dyDescent="0.25">
      <c r="A246" s="2">
        <v>6200244</v>
      </c>
      <c r="B246" s="10">
        <v>46303.805902777778</v>
      </c>
      <c r="C246" s="11" t="s">
        <v>82</v>
      </c>
      <c r="D246" s="11"/>
      <c r="E246" s="11" t="s">
        <v>88</v>
      </c>
      <c r="F246" s="11"/>
      <c r="G246" s="11" t="s">
        <v>593</v>
      </c>
      <c r="H246" s="3"/>
      <c r="I246" s="11" t="s">
        <v>75</v>
      </c>
      <c r="J246" s="11"/>
      <c r="K246" s="11"/>
      <c r="L246" s="11"/>
      <c r="M246" s="11"/>
      <c r="N246" s="2">
        <v>1.25</v>
      </c>
      <c r="O246" s="2"/>
      <c r="P246" s="2"/>
      <c r="Q246" s="2"/>
      <c r="R246" s="11"/>
      <c r="S246" s="11" t="s">
        <v>336</v>
      </c>
      <c r="T246" s="11" t="s">
        <v>85</v>
      </c>
      <c r="U246" s="11"/>
      <c r="V246" s="11"/>
      <c r="W246" s="11"/>
      <c r="X246" s="11"/>
      <c r="Y246" s="11"/>
      <c r="Z246" s="11"/>
      <c r="AA246" s="11"/>
      <c r="AB246" s="9"/>
      <c r="AC246" s="2"/>
      <c r="AD246" s="9"/>
      <c r="AE246" s="2"/>
      <c r="AF246" s="9"/>
      <c r="AG246" s="10"/>
      <c r="AH246" s="11"/>
      <c r="AI246" s="11" t="s">
        <v>86</v>
      </c>
      <c r="AJ246" s="11"/>
      <c r="AK246" s="2"/>
      <c r="AL246" s="11"/>
      <c r="AM246" s="11"/>
      <c r="AN246" s="11"/>
      <c r="AO246" s="2"/>
      <c r="AP246" s="3"/>
      <c r="AQ246" s="11"/>
      <c r="AR246" s="3"/>
      <c r="AS246" s="2"/>
      <c r="AT246" s="11"/>
      <c r="AU246" s="2"/>
      <c r="AV246" s="2"/>
      <c r="AW246" s="2"/>
      <c r="AX246" s="11"/>
      <c r="AY246" s="11"/>
      <c r="AZ246" s="9"/>
      <c r="BA246" s="2">
        <v>1875</v>
      </c>
      <c r="BB246" s="11"/>
      <c r="BC246" s="11"/>
      <c r="BD246" s="11"/>
      <c r="BE246" s="11"/>
      <c r="BF246" s="11"/>
      <c r="BG246" s="11"/>
      <c r="BH246" s="11"/>
      <c r="BI246" s="11"/>
      <c r="BJ246" s="11" t="s">
        <v>87</v>
      </c>
      <c r="BK246" s="10">
        <v>46303.805902777778</v>
      </c>
      <c r="BL246" s="11"/>
      <c r="BM246" s="11"/>
      <c r="BN246" s="10">
        <v>46303.625</v>
      </c>
      <c r="BO246" s="11"/>
      <c r="BP246" s="11"/>
      <c r="BQ246" s="11"/>
      <c r="BR246" s="11"/>
      <c r="BS246" s="11"/>
      <c r="BT246" s="11"/>
      <c r="BU246" s="11"/>
      <c r="BV246" s="2"/>
      <c r="BW246" s="11"/>
    </row>
    <row r="247" spans="1:75" ht="30" x14ac:dyDescent="0.25">
      <c r="A247" s="2">
        <v>6200245</v>
      </c>
      <c r="B247" s="10">
        <v>46303.805902777778</v>
      </c>
      <c r="C247" s="11" t="s">
        <v>82</v>
      </c>
      <c r="D247" s="11"/>
      <c r="E247" s="11" t="s">
        <v>92</v>
      </c>
      <c r="F247" s="11"/>
      <c r="G247" s="11" t="s">
        <v>592</v>
      </c>
      <c r="H247" s="3"/>
      <c r="I247" s="11" t="s">
        <v>75</v>
      </c>
      <c r="J247" s="11"/>
      <c r="K247" s="11"/>
      <c r="L247" s="11"/>
      <c r="M247" s="11"/>
      <c r="N247" s="2">
        <v>1.25</v>
      </c>
      <c r="O247" s="2"/>
      <c r="P247" s="2"/>
      <c r="Q247" s="2"/>
      <c r="R247" s="11"/>
      <c r="S247" s="11" t="s">
        <v>337</v>
      </c>
      <c r="T247" s="11" t="s">
        <v>85</v>
      </c>
      <c r="U247" s="11"/>
      <c r="V247" s="11"/>
      <c r="W247" s="11"/>
      <c r="X247" s="11"/>
      <c r="Y247" s="11"/>
      <c r="Z247" s="11"/>
      <c r="AA247" s="11"/>
      <c r="AB247" s="9"/>
      <c r="AC247" s="2"/>
      <c r="AD247" s="9"/>
      <c r="AE247" s="2"/>
      <c r="AF247" s="9"/>
      <c r="AG247" s="10"/>
      <c r="AH247" s="11"/>
      <c r="AI247" s="11" t="s">
        <v>86</v>
      </c>
      <c r="AJ247" s="11"/>
      <c r="AK247" s="2"/>
      <c r="AL247" s="11"/>
      <c r="AM247" s="11"/>
      <c r="AN247" s="11"/>
      <c r="AO247" s="2"/>
      <c r="AP247" s="3"/>
      <c r="AQ247" s="11"/>
      <c r="AR247" s="3"/>
      <c r="AS247" s="2"/>
      <c r="AT247" s="11"/>
      <c r="AU247" s="2"/>
      <c r="AV247" s="2"/>
      <c r="AW247" s="2"/>
      <c r="AX247" s="11"/>
      <c r="AY247" s="11"/>
      <c r="AZ247" s="9"/>
      <c r="BA247" s="2">
        <v>1875</v>
      </c>
      <c r="BB247" s="11"/>
      <c r="BC247" s="11"/>
      <c r="BD247" s="11"/>
      <c r="BE247" s="11"/>
      <c r="BF247" s="11"/>
      <c r="BG247" s="11"/>
      <c r="BH247" s="11"/>
      <c r="BI247" s="11"/>
      <c r="BJ247" s="11" t="s">
        <v>87</v>
      </c>
      <c r="BK247" s="10">
        <v>46303.805902777778</v>
      </c>
      <c r="BL247" s="11"/>
      <c r="BM247" s="11"/>
      <c r="BN247" s="10">
        <v>46303.625</v>
      </c>
      <c r="BO247" s="11"/>
      <c r="BP247" s="11"/>
      <c r="BQ247" s="11"/>
      <c r="BR247" s="11"/>
      <c r="BS247" s="11"/>
      <c r="BT247" s="11"/>
      <c r="BU247" s="11"/>
      <c r="BV247" s="2"/>
      <c r="BW247" s="11"/>
    </row>
    <row r="248" spans="1:75" ht="30" x14ac:dyDescent="0.25">
      <c r="A248" s="2">
        <v>6200246</v>
      </c>
      <c r="B248" s="10">
        <v>46303.805902777778</v>
      </c>
      <c r="C248" s="11" t="s">
        <v>82</v>
      </c>
      <c r="D248" s="11"/>
      <c r="E248" s="11" t="s">
        <v>83</v>
      </c>
      <c r="F248" s="11"/>
      <c r="G248" s="11" t="s">
        <v>89</v>
      </c>
      <c r="H248" s="3"/>
      <c r="I248" s="11" t="s">
        <v>90</v>
      </c>
      <c r="J248" s="11"/>
      <c r="K248" s="11"/>
      <c r="L248" s="11"/>
      <c r="M248" s="11"/>
      <c r="N248" s="2">
        <v>1.25</v>
      </c>
      <c r="O248" s="2"/>
      <c r="P248" s="2"/>
      <c r="Q248" s="2"/>
      <c r="R248" s="11"/>
      <c r="S248" s="11" t="s">
        <v>338</v>
      </c>
      <c r="T248" s="11" t="s">
        <v>85</v>
      </c>
      <c r="U248" s="11"/>
      <c r="V248" s="11"/>
      <c r="W248" s="11"/>
      <c r="X248" s="11"/>
      <c r="Y248" s="11"/>
      <c r="Z248" s="11"/>
      <c r="AA248" s="11"/>
      <c r="AB248" s="9"/>
      <c r="AC248" s="2"/>
      <c r="AD248" s="9"/>
      <c r="AE248" s="2"/>
      <c r="AF248" s="9"/>
      <c r="AG248" s="10"/>
      <c r="AH248" s="11"/>
      <c r="AI248" s="11" t="s">
        <v>86</v>
      </c>
      <c r="AJ248" s="11"/>
      <c r="AK248" s="2"/>
      <c r="AL248" s="11"/>
      <c r="AM248" s="11"/>
      <c r="AN248" s="11"/>
      <c r="AO248" s="2"/>
      <c r="AP248" s="3"/>
      <c r="AQ248" s="11"/>
      <c r="AR248" s="3"/>
      <c r="AS248" s="2"/>
      <c r="AT248" s="11"/>
      <c r="AU248" s="2"/>
      <c r="AV248" s="2"/>
      <c r="AW248" s="2"/>
      <c r="AX248" s="11"/>
      <c r="AY248" s="11"/>
      <c r="AZ248" s="9"/>
      <c r="BA248" s="2">
        <v>1875</v>
      </c>
      <c r="BB248" s="11"/>
      <c r="BC248" s="11"/>
      <c r="BD248" s="11"/>
      <c r="BE248" s="11"/>
      <c r="BF248" s="11"/>
      <c r="BG248" s="11"/>
      <c r="BH248" s="11"/>
      <c r="BI248" s="11"/>
      <c r="BJ248" s="11" t="s">
        <v>87</v>
      </c>
      <c r="BK248" s="10">
        <v>46303.805902777778</v>
      </c>
      <c r="BL248" s="11"/>
      <c r="BM248" s="11"/>
      <c r="BN248" s="10">
        <v>46303.625</v>
      </c>
      <c r="BO248" s="11"/>
      <c r="BP248" s="11"/>
      <c r="BQ248" s="11"/>
      <c r="BR248" s="11"/>
      <c r="BS248" s="11"/>
      <c r="BT248" s="11"/>
      <c r="BU248" s="11"/>
      <c r="BV248" s="2"/>
      <c r="BW248" s="11"/>
    </row>
    <row r="249" spans="1:75" ht="30" x14ac:dyDescent="0.25">
      <c r="A249" s="2">
        <v>6200247</v>
      </c>
      <c r="B249" s="10">
        <v>46303.805902777778</v>
      </c>
      <c r="C249" s="11" t="s">
        <v>82</v>
      </c>
      <c r="D249" s="11"/>
      <c r="E249" s="11" t="s">
        <v>88</v>
      </c>
      <c r="F249" s="11"/>
      <c r="G249" s="2">
        <v>470123456</v>
      </c>
      <c r="H249" s="3"/>
      <c r="I249" s="11" t="s">
        <v>75</v>
      </c>
      <c r="J249" s="11"/>
      <c r="K249" s="11"/>
      <c r="L249" s="11"/>
      <c r="M249" s="11"/>
      <c r="N249" s="2">
        <v>1.25</v>
      </c>
      <c r="O249" s="2"/>
      <c r="P249" s="2"/>
      <c r="Q249" s="2"/>
      <c r="R249" s="11"/>
      <c r="S249" s="11" t="s">
        <v>339</v>
      </c>
      <c r="T249" s="11" t="s">
        <v>85</v>
      </c>
      <c r="U249" s="11"/>
      <c r="V249" s="11"/>
      <c r="W249" s="11"/>
      <c r="X249" s="11"/>
      <c r="Y249" s="11"/>
      <c r="Z249" s="11"/>
      <c r="AA249" s="11"/>
      <c r="AB249" s="9"/>
      <c r="AC249" s="2"/>
      <c r="AD249" s="9"/>
      <c r="AE249" s="2"/>
      <c r="AF249" s="9"/>
      <c r="AG249" s="10"/>
      <c r="AH249" s="11"/>
      <c r="AI249" s="11" t="s">
        <v>86</v>
      </c>
      <c r="AJ249" s="11"/>
      <c r="AK249" s="2"/>
      <c r="AL249" s="11"/>
      <c r="AM249" s="11"/>
      <c r="AN249" s="11"/>
      <c r="AO249" s="2"/>
      <c r="AP249" s="3"/>
      <c r="AQ249" s="11"/>
      <c r="AR249" s="3"/>
      <c r="AS249" s="2"/>
      <c r="AT249" s="11"/>
      <c r="AU249" s="2"/>
      <c r="AV249" s="2"/>
      <c r="AW249" s="2"/>
      <c r="AX249" s="11"/>
      <c r="AY249" s="11"/>
      <c r="AZ249" s="9"/>
      <c r="BA249" s="2">
        <v>1875</v>
      </c>
      <c r="BB249" s="11"/>
      <c r="BC249" s="11"/>
      <c r="BD249" s="11"/>
      <c r="BE249" s="11"/>
      <c r="BF249" s="11"/>
      <c r="BG249" s="11"/>
      <c r="BH249" s="11"/>
      <c r="BI249" s="11"/>
      <c r="BJ249" s="11" t="s">
        <v>87</v>
      </c>
      <c r="BK249" s="10">
        <v>46303.805902777778</v>
      </c>
      <c r="BL249" s="11"/>
      <c r="BM249" s="11"/>
      <c r="BN249" s="10">
        <v>46303.625</v>
      </c>
      <c r="BO249" s="11"/>
      <c r="BP249" s="11"/>
      <c r="BQ249" s="11"/>
      <c r="BR249" s="11"/>
      <c r="BS249" s="11"/>
      <c r="BT249" s="11"/>
      <c r="BU249" s="11"/>
      <c r="BV249" s="2"/>
      <c r="BW249" s="11"/>
    </row>
    <row r="250" spans="1:75" ht="30" x14ac:dyDescent="0.25">
      <c r="A250" s="2">
        <v>6200248</v>
      </c>
      <c r="B250" s="10">
        <v>46303.805902777778</v>
      </c>
      <c r="C250" s="11" t="s">
        <v>82</v>
      </c>
      <c r="D250" s="11"/>
      <c r="E250" s="11" t="s">
        <v>92</v>
      </c>
      <c r="F250" s="11"/>
      <c r="G250" s="11" t="s">
        <v>94</v>
      </c>
      <c r="H250" s="3"/>
      <c r="I250" s="11" t="s">
        <v>90</v>
      </c>
      <c r="J250" s="11"/>
      <c r="K250" s="11"/>
      <c r="L250" s="11"/>
      <c r="M250" s="11"/>
      <c r="N250" s="2">
        <v>1.25</v>
      </c>
      <c r="O250" s="2"/>
      <c r="P250" s="2"/>
      <c r="Q250" s="2"/>
      <c r="R250" s="11"/>
      <c r="S250" s="11" t="s">
        <v>340</v>
      </c>
      <c r="T250" s="11" t="s">
        <v>85</v>
      </c>
      <c r="U250" s="11"/>
      <c r="V250" s="11"/>
      <c r="W250" s="11"/>
      <c r="X250" s="11"/>
      <c r="Y250" s="11"/>
      <c r="Z250" s="11"/>
      <c r="AA250" s="11"/>
      <c r="AB250" s="9"/>
      <c r="AC250" s="2"/>
      <c r="AD250" s="9"/>
      <c r="AE250" s="2"/>
      <c r="AF250" s="9"/>
      <c r="AG250" s="10"/>
      <c r="AH250" s="11"/>
      <c r="AI250" s="11" t="s">
        <v>86</v>
      </c>
      <c r="AJ250" s="11"/>
      <c r="AK250" s="2"/>
      <c r="AL250" s="11"/>
      <c r="AM250" s="11"/>
      <c r="AN250" s="11"/>
      <c r="AO250" s="2"/>
      <c r="AP250" s="3"/>
      <c r="AQ250" s="11"/>
      <c r="AR250" s="3"/>
      <c r="AS250" s="2"/>
      <c r="AT250" s="11"/>
      <c r="AU250" s="2"/>
      <c r="AV250" s="2"/>
      <c r="AW250" s="2"/>
      <c r="AX250" s="11"/>
      <c r="AY250" s="11"/>
      <c r="AZ250" s="9"/>
      <c r="BA250" s="2">
        <v>1875</v>
      </c>
      <c r="BB250" s="11"/>
      <c r="BC250" s="11"/>
      <c r="BD250" s="11"/>
      <c r="BE250" s="11"/>
      <c r="BF250" s="11"/>
      <c r="BG250" s="11"/>
      <c r="BH250" s="11"/>
      <c r="BI250" s="11"/>
      <c r="BJ250" s="11" t="s">
        <v>87</v>
      </c>
      <c r="BK250" s="10">
        <v>46303.805902777778</v>
      </c>
      <c r="BL250" s="11"/>
      <c r="BM250" s="11"/>
      <c r="BN250" s="10">
        <v>46303.625</v>
      </c>
      <c r="BO250" s="11"/>
      <c r="BP250" s="11"/>
      <c r="BQ250" s="11"/>
      <c r="BR250" s="11"/>
      <c r="BS250" s="11"/>
      <c r="BT250" s="11"/>
      <c r="BU250" s="11"/>
      <c r="BV250" s="2"/>
      <c r="BW250" s="11"/>
    </row>
    <row r="251" spans="1:75" ht="30" x14ac:dyDescent="0.25">
      <c r="A251" s="2">
        <v>6200249</v>
      </c>
      <c r="B251" s="10">
        <v>46303.805902777778</v>
      </c>
      <c r="C251" s="11" t="s">
        <v>82</v>
      </c>
      <c r="D251" s="11"/>
      <c r="E251" s="11" t="s">
        <v>83</v>
      </c>
      <c r="F251" s="11"/>
      <c r="G251" s="11" t="s">
        <v>593</v>
      </c>
      <c r="H251" s="3"/>
      <c r="I251" s="11" t="s">
        <v>75</v>
      </c>
      <c r="J251" s="11"/>
      <c r="K251" s="11"/>
      <c r="L251" s="11"/>
      <c r="M251" s="11"/>
      <c r="N251" s="2">
        <v>1.25</v>
      </c>
      <c r="O251" s="2"/>
      <c r="P251" s="2"/>
      <c r="Q251" s="2"/>
      <c r="R251" s="11"/>
      <c r="S251" s="11" t="s">
        <v>341</v>
      </c>
      <c r="T251" s="11" t="s">
        <v>85</v>
      </c>
      <c r="U251" s="11"/>
      <c r="V251" s="11"/>
      <c r="W251" s="11"/>
      <c r="X251" s="11"/>
      <c r="Y251" s="11"/>
      <c r="Z251" s="11"/>
      <c r="AA251" s="11"/>
      <c r="AB251" s="9"/>
      <c r="AC251" s="2"/>
      <c r="AD251" s="9"/>
      <c r="AE251" s="2"/>
      <c r="AF251" s="9"/>
      <c r="AG251" s="10"/>
      <c r="AH251" s="11"/>
      <c r="AI251" s="11" t="s">
        <v>86</v>
      </c>
      <c r="AJ251" s="11"/>
      <c r="AK251" s="2"/>
      <c r="AL251" s="11"/>
      <c r="AM251" s="11"/>
      <c r="AN251" s="11"/>
      <c r="AO251" s="2"/>
      <c r="AP251" s="3"/>
      <c r="AQ251" s="11"/>
      <c r="AR251" s="3"/>
      <c r="AS251" s="2"/>
      <c r="AT251" s="11"/>
      <c r="AU251" s="2"/>
      <c r="AV251" s="2"/>
      <c r="AW251" s="2"/>
      <c r="AX251" s="11"/>
      <c r="AY251" s="11"/>
      <c r="AZ251" s="9"/>
      <c r="BA251" s="2">
        <v>1875</v>
      </c>
      <c r="BB251" s="11"/>
      <c r="BC251" s="11"/>
      <c r="BD251" s="11"/>
      <c r="BE251" s="11"/>
      <c r="BF251" s="11"/>
      <c r="BG251" s="11"/>
      <c r="BH251" s="11"/>
      <c r="BI251" s="11"/>
      <c r="BJ251" s="11" t="s">
        <v>87</v>
      </c>
      <c r="BK251" s="10">
        <v>46303.805902777778</v>
      </c>
      <c r="BL251" s="11"/>
      <c r="BM251" s="11"/>
      <c r="BN251" s="10">
        <v>46303.625</v>
      </c>
      <c r="BO251" s="11"/>
      <c r="BP251" s="11"/>
      <c r="BQ251" s="11"/>
      <c r="BR251" s="11"/>
      <c r="BS251" s="11"/>
      <c r="BT251" s="11"/>
      <c r="BU251" s="11"/>
      <c r="BV251" s="2"/>
      <c r="BW251" s="11"/>
    </row>
    <row r="252" spans="1:75" ht="30" x14ac:dyDescent="0.25">
      <c r="A252" s="2">
        <v>6200250</v>
      </c>
      <c r="B252" s="10">
        <v>46303.805902777778</v>
      </c>
      <c r="C252" s="11" t="s">
        <v>82</v>
      </c>
      <c r="D252" s="11"/>
      <c r="E252" s="11" t="s">
        <v>88</v>
      </c>
      <c r="F252" s="11"/>
      <c r="G252" s="11" t="s">
        <v>592</v>
      </c>
      <c r="H252" s="3"/>
      <c r="I252" s="11" t="s">
        <v>75</v>
      </c>
      <c r="J252" s="11"/>
      <c r="K252" s="11"/>
      <c r="L252" s="11"/>
      <c r="M252" s="11"/>
      <c r="N252" s="2">
        <v>1.25</v>
      </c>
      <c r="O252" s="2"/>
      <c r="P252" s="2"/>
      <c r="Q252" s="2"/>
      <c r="R252" s="11"/>
      <c r="S252" s="11" t="s">
        <v>342</v>
      </c>
      <c r="T252" s="11" t="s">
        <v>85</v>
      </c>
      <c r="U252" s="11"/>
      <c r="V252" s="11"/>
      <c r="W252" s="11"/>
      <c r="X252" s="11"/>
      <c r="Y252" s="11"/>
      <c r="Z252" s="11"/>
      <c r="AA252" s="11"/>
      <c r="AB252" s="9"/>
      <c r="AC252" s="2"/>
      <c r="AD252" s="9"/>
      <c r="AE252" s="2"/>
      <c r="AF252" s="9"/>
      <c r="AG252" s="10"/>
      <c r="AH252" s="11"/>
      <c r="AI252" s="11" t="s">
        <v>86</v>
      </c>
      <c r="AJ252" s="11"/>
      <c r="AK252" s="2"/>
      <c r="AL252" s="11"/>
      <c r="AM252" s="11"/>
      <c r="AN252" s="11"/>
      <c r="AO252" s="2"/>
      <c r="AP252" s="3"/>
      <c r="AQ252" s="11"/>
      <c r="AR252" s="3"/>
      <c r="AS252" s="2"/>
      <c r="AT252" s="11"/>
      <c r="AU252" s="2"/>
      <c r="AV252" s="2"/>
      <c r="AW252" s="2"/>
      <c r="AX252" s="11"/>
      <c r="AY252" s="11"/>
      <c r="AZ252" s="9"/>
      <c r="BA252" s="2">
        <v>1875</v>
      </c>
      <c r="BB252" s="11"/>
      <c r="BC252" s="11"/>
      <c r="BD252" s="11"/>
      <c r="BE252" s="11"/>
      <c r="BF252" s="11"/>
      <c r="BG252" s="11"/>
      <c r="BH252" s="11"/>
      <c r="BI252" s="11"/>
      <c r="BJ252" s="11" t="s">
        <v>87</v>
      </c>
      <c r="BK252" s="10">
        <v>46303.805902777778</v>
      </c>
      <c r="BL252" s="11"/>
      <c r="BM252" s="11"/>
      <c r="BN252" s="10">
        <v>46303.625</v>
      </c>
      <c r="BO252" s="11"/>
      <c r="BP252" s="11"/>
      <c r="BQ252" s="11"/>
      <c r="BR252" s="11"/>
      <c r="BS252" s="11"/>
      <c r="BT252" s="11"/>
      <c r="BU252" s="11"/>
      <c r="BV252" s="2"/>
      <c r="BW252" s="11"/>
    </row>
    <row r="253" spans="1:75" ht="30" x14ac:dyDescent="0.25">
      <c r="A253" s="2">
        <v>6200251</v>
      </c>
      <c r="B253" s="10">
        <v>46303.805902777778</v>
      </c>
      <c r="C253" s="11" t="s">
        <v>82</v>
      </c>
      <c r="D253" s="11"/>
      <c r="E253" s="11" t="s">
        <v>92</v>
      </c>
      <c r="F253" s="11"/>
      <c r="G253" s="11" t="s">
        <v>89</v>
      </c>
      <c r="H253" s="3"/>
      <c r="I253" s="11" t="s">
        <v>90</v>
      </c>
      <c r="J253" s="11"/>
      <c r="K253" s="11"/>
      <c r="L253" s="11"/>
      <c r="M253" s="11"/>
      <c r="N253" s="2">
        <v>1.25</v>
      </c>
      <c r="O253" s="2"/>
      <c r="P253" s="2"/>
      <c r="Q253" s="2"/>
      <c r="R253" s="11"/>
      <c r="S253" s="11" t="s">
        <v>343</v>
      </c>
      <c r="T253" s="11" t="s">
        <v>85</v>
      </c>
      <c r="U253" s="11"/>
      <c r="V253" s="11"/>
      <c r="W253" s="11"/>
      <c r="X253" s="11"/>
      <c r="Y253" s="11"/>
      <c r="Z253" s="11"/>
      <c r="AA253" s="11"/>
      <c r="AB253" s="9"/>
      <c r="AC253" s="2"/>
      <c r="AD253" s="9"/>
      <c r="AE253" s="2"/>
      <c r="AF253" s="9"/>
      <c r="AG253" s="10"/>
      <c r="AH253" s="11"/>
      <c r="AI253" s="11" t="s">
        <v>86</v>
      </c>
      <c r="AJ253" s="11"/>
      <c r="AK253" s="2"/>
      <c r="AL253" s="11"/>
      <c r="AM253" s="11"/>
      <c r="AN253" s="11"/>
      <c r="AO253" s="2"/>
      <c r="AP253" s="3"/>
      <c r="AQ253" s="11"/>
      <c r="AR253" s="3"/>
      <c r="AS253" s="2"/>
      <c r="AT253" s="11"/>
      <c r="AU253" s="2"/>
      <c r="AV253" s="2"/>
      <c r="AW253" s="2"/>
      <c r="AX253" s="11"/>
      <c r="AY253" s="11"/>
      <c r="AZ253" s="9"/>
      <c r="BA253" s="2">
        <v>1875</v>
      </c>
      <c r="BB253" s="11"/>
      <c r="BC253" s="11"/>
      <c r="BD253" s="11"/>
      <c r="BE253" s="11"/>
      <c r="BF253" s="11"/>
      <c r="BG253" s="11"/>
      <c r="BH253" s="11"/>
      <c r="BI253" s="11"/>
      <c r="BJ253" s="11" t="s">
        <v>87</v>
      </c>
      <c r="BK253" s="10">
        <v>46303.805902777778</v>
      </c>
      <c r="BL253" s="11"/>
      <c r="BM253" s="11"/>
      <c r="BN253" s="10">
        <v>46303.625</v>
      </c>
      <c r="BO253" s="11"/>
      <c r="BP253" s="11"/>
      <c r="BQ253" s="11"/>
      <c r="BR253" s="11"/>
      <c r="BS253" s="11"/>
      <c r="BT253" s="11"/>
      <c r="BU253" s="11"/>
      <c r="BV253" s="2"/>
      <c r="BW253" s="11"/>
    </row>
    <row r="254" spans="1:75" ht="30" x14ac:dyDescent="0.25">
      <c r="A254" s="2">
        <v>6200252</v>
      </c>
      <c r="B254" s="10">
        <v>46303.805902777778</v>
      </c>
      <c r="C254" s="11" t="s">
        <v>82</v>
      </c>
      <c r="D254" s="11"/>
      <c r="E254" s="11" t="s">
        <v>83</v>
      </c>
      <c r="F254" s="11"/>
      <c r="G254" s="2">
        <v>470123456</v>
      </c>
      <c r="H254" s="3"/>
      <c r="I254" s="11" t="s">
        <v>75</v>
      </c>
      <c r="J254" s="11"/>
      <c r="K254" s="11"/>
      <c r="L254" s="11"/>
      <c r="M254" s="11"/>
      <c r="N254" s="2">
        <v>1.25</v>
      </c>
      <c r="O254" s="2"/>
      <c r="P254" s="2"/>
      <c r="Q254" s="2"/>
      <c r="R254" s="11"/>
      <c r="S254" s="11" t="s">
        <v>344</v>
      </c>
      <c r="T254" s="11" t="s">
        <v>85</v>
      </c>
      <c r="U254" s="11"/>
      <c r="V254" s="11"/>
      <c r="W254" s="11"/>
      <c r="X254" s="11"/>
      <c r="Y254" s="11"/>
      <c r="Z254" s="11"/>
      <c r="AA254" s="11"/>
      <c r="AB254" s="9"/>
      <c r="AC254" s="2"/>
      <c r="AD254" s="9"/>
      <c r="AE254" s="2"/>
      <c r="AF254" s="9"/>
      <c r="AG254" s="10"/>
      <c r="AH254" s="11"/>
      <c r="AI254" s="11" t="s">
        <v>86</v>
      </c>
      <c r="AJ254" s="11"/>
      <c r="AK254" s="2"/>
      <c r="AL254" s="11"/>
      <c r="AM254" s="11"/>
      <c r="AN254" s="11"/>
      <c r="AO254" s="2"/>
      <c r="AP254" s="3"/>
      <c r="AQ254" s="11"/>
      <c r="AR254" s="3"/>
      <c r="AS254" s="2"/>
      <c r="AT254" s="11"/>
      <c r="AU254" s="2"/>
      <c r="AV254" s="2"/>
      <c r="AW254" s="2"/>
      <c r="AX254" s="11"/>
      <c r="AY254" s="11"/>
      <c r="AZ254" s="9"/>
      <c r="BA254" s="2">
        <v>1875</v>
      </c>
      <c r="BB254" s="11"/>
      <c r="BC254" s="11"/>
      <c r="BD254" s="11"/>
      <c r="BE254" s="11"/>
      <c r="BF254" s="11"/>
      <c r="BG254" s="11"/>
      <c r="BH254" s="11"/>
      <c r="BI254" s="11"/>
      <c r="BJ254" s="11" t="s">
        <v>87</v>
      </c>
      <c r="BK254" s="10">
        <v>46303.805902777778</v>
      </c>
      <c r="BL254" s="11"/>
      <c r="BM254" s="11"/>
      <c r="BN254" s="10">
        <v>46303.625</v>
      </c>
      <c r="BO254" s="11"/>
      <c r="BP254" s="11"/>
      <c r="BQ254" s="11"/>
      <c r="BR254" s="11"/>
      <c r="BS254" s="11"/>
      <c r="BT254" s="11"/>
      <c r="BU254" s="11"/>
      <c r="BV254" s="2"/>
      <c r="BW254" s="11"/>
    </row>
    <row r="255" spans="1:75" ht="30" x14ac:dyDescent="0.25">
      <c r="A255" s="2">
        <v>6200253</v>
      </c>
      <c r="B255" s="10">
        <v>46303.805902777778</v>
      </c>
      <c r="C255" s="11" t="s">
        <v>82</v>
      </c>
      <c r="D255" s="11"/>
      <c r="E255" s="11" t="s">
        <v>88</v>
      </c>
      <c r="F255" s="11"/>
      <c r="G255" s="11" t="s">
        <v>94</v>
      </c>
      <c r="H255" s="3"/>
      <c r="I255" s="11" t="s">
        <v>90</v>
      </c>
      <c r="J255" s="11"/>
      <c r="K255" s="11"/>
      <c r="L255" s="11"/>
      <c r="M255" s="11"/>
      <c r="N255" s="2">
        <v>1.25</v>
      </c>
      <c r="O255" s="2"/>
      <c r="P255" s="2"/>
      <c r="Q255" s="2"/>
      <c r="R255" s="11"/>
      <c r="S255" s="11" t="s">
        <v>345</v>
      </c>
      <c r="T255" s="11" t="s">
        <v>85</v>
      </c>
      <c r="U255" s="11"/>
      <c r="V255" s="11"/>
      <c r="W255" s="11"/>
      <c r="X255" s="11"/>
      <c r="Y255" s="11"/>
      <c r="Z255" s="11"/>
      <c r="AA255" s="11"/>
      <c r="AB255" s="9"/>
      <c r="AC255" s="2"/>
      <c r="AD255" s="9"/>
      <c r="AE255" s="2"/>
      <c r="AF255" s="9"/>
      <c r="AG255" s="10"/>
      <c r="AH255" s="11"/>
      <c r="AI255" s="11" t="s">
        <v>86</v>
      </c>
      <c r="AJ255" s="11"/>
      <c r="AK255" s="2"/>
      <c r="AL255" s="11"/>
      <c r="AM255" s="11"/>
      <c r="AN255" s="11"/>
      <c r="AO255" s="2"/>
      <c r="AP255" s="3"/>
      <c r="AQ255" s="11"/>
      <c r="AR255" s="3"/>
      <c r="AS255" s="2"/>
      <c r="AT255" s="11"/>
      <c r="AU255" s="2"/>
      <c r="AV255" s="2"/>
      <c r="AW255" s="2"/>
      <c r="AX255" s="11"/>
      <c r="AY255" s="11"/>
      <c r="AZ255" s="9"/>
      <c r="BA255" s="2">
        <v>1875</v>
      </c>
      <c r="BB255" s="11"/>
      <c r="BC255" s="11"/>
      <c r="BD255" s="11"/>
      <c r="BE255" s="11"/>
      <c r="BF255" s="11"/>
      <c r="BG255" s="11"/>
      <c r="BH255" s="11"/>
      <c r="BI255" s="11"/>
      <c r="BJ255" s="11" t="s">
        <v>87</v>
      </c>
      <c r="BK255" s="10">
        <v>46303.805902777778</v>
      </c>
      <c r="BL255" s="11"/>
      <c r="BM255" s="11"/>
      <c r="BN255" s="10">
        <v>46303.625</v>
      </c>
      <c r="BO255" s="11"/>
      <c r="BP255" s="11"/>
      <c r="BQ255" s="11"/>
      <c r="BR255" s="11"/>
      <c r="BS255" s="11"/>
      <c r="BT255" s="11"/>
      <c r="BU255" s="11"/>
      <c r="BV255" s="2"/>
      <c r="BW255" s="11"/>
    </row>
    <row r="256" spans="1:75" ht="30" x14ac:dyDescent="0.25">
      <c r="A256" s="2">
        <v>6200254</v>
      </c>
      <c r="B256" s="10">
        <v>46303.805902777778</v>
      </c>
      <c r="C256" s="11" t="s">
        <v>82</v>
      </c>
      <c r="D256" s="11"/>
      <c r="E256" s="11" t="s">
        <v>92</v>
      </c>
      <c r="F256" s="11"/>
      <c r="G256" s="11" t="s">
        <v>593</v>
      </c>
      <c r="H256" s="3"/>
      <c r="I256" s="11" t="s">
        <v>75</v>
      </c>
      <c r="J256" s="11"/>
      <c r="K256" s="11"/>
      <c r="L256" s="11"/>
      <c r="M256" s="11"/>
      <c r="N256" s="2">
        <v>1.25</v>
      </c>
      <c r="O256" s="2"/>
      <c r="P256" s="2"/>
      <c r="Q256" s="2"/>
      <c r="R256" s="11"/>
      <c r="S256" s="11" t="s">
        <v>346</v>
      </c>
      <c r="T256" s="11" t="s">
        <v>85</v>
      </c>
      <c r="U256" s="11"/>
      <c r="V256" s="11"/>
      <c r="W256" s="11"/>
      <c r="X256" s="11"/>
      <c r="Y256" s="11"/>
      <c r="Z256" s="11"/>
      <c r="AA256" s="11"/>
      <c r="AB256" s="9"/>
      <c r="AC256" s="2"/>
      <c r="AD256" s="9"/>
      <c r="AE256" s="2"/>
      <c r="AF256" s="9"/>
      <c r="AG256" s="10"/>
      <c r="AH256" s="11"/>
      <c r="AI256" s="11" t="s">
        <v>86</v>
      </c>
      <c r="AJ256" s="11"/>
      <c r="AK256" s="2"/>
      <c r="AL256" s="11"/>
      <c r="AM256" s="11"/>
      <c r="AN256" s="11"/>
      <c r="AO256" s="2"/>
      <c r="AP256" s="3"/>
      <c r="AQ256" s="11"/>
      <c r="AR256" s="3"/>
      <c r="AS256" s="2"/>
      <c r="AT256" s="11"/>
      <c r="AU256" s="2"/>
      <c r="AV256" s="2"/>
      <c r="AW256" s="2"/>
      <c r="AX256" s="11"/>
      <c r="AY256" s="11"/>
      <c r="AZ256" s="9"/>
      <c r="BA256" s="2">
        <v>1875</v>
      </c>
      <c r="BB256" s="11"/>
      <c r="BC256" s="11"/>
      <c r="BD256" s="11"/>
      <c r="BE256" s="11"/>
      <c r="BF256" s="11"/>
      <c r="BG256" s="11"/>
      <c r="BH256" s="11"/>
      <c r="BI256" s="11"/>
      <c r="BJ256" s="11" t="s">
        <v>87</v>
      </c>
      <c r="BK256" s="10">
        <v>46303.805902777778</v>
      </c>
      <c r="BL256" s="11"/>
      <c r="BM256" s="11"/>
      <c r="BN256" s="10">
        <v>46303.625</v>
      </c>
      <c r="BO256" s="11"/>
      <c r="BP256" s="11"/>
      <c r="BQ256" s="11"/>
      <c r="BR256" s="11"/>
      <c r="BS256" s="11"/>
      <c r="BT256" s="11"/>
      <c r="BU256" s="11"/>
      <c r="BV256" s="2"/>
      <c r="BW256" s="11"/>
    </row>
    <row r="257" spans="1:75" ht="30" x14ac:dyDescent="0.25">
      <c r="A257" s="2">
        <v>6200255</v>
      </c>
      <c r="B257" s="10">
        <v>46303.805902777778</v>
      </c>
      <c r="C257" s="11" t="s">
        <v>82</v>
      </c>
      <c r="D257" s="11"/>
      <c r="E257" s="11" t="s">
        <v>83</v>
      </c>
      <c r="F257" s="11"/>
      <c r="G257" s="11" t="s">
        <v>592</v>
      </c>
      <c r="H257" s="3"/>
      <c r="I257" s="11" t="s">
        <v>75</v>
      </c>
      <c r="J257" s="11"/>
      <c r="K257" s="11"/>
      <c r="L257" s="11"/>
      <c r="M257" s="11"/>
      <c r="N257" s="2">
        <v>1.25</v>
      </c>
      <c r="O257" s="2"/>
      <c r="P257" s="2"/>
      <c r="Q257" s="2"/>
      <c r="R257" s="11"/>
      <c r="S257" s="11" t="s">
        <v>347</v>
      </c>
      <c r="T257" s="11" t="s">
        <v>85</v>
      </c>
      <c r="U257" s="11"/>
      <c r="V257" s="11"/>
      <c r="W257" s="11"/>
      <c r="X257" s="11"/>
      <c r="Y257" s="11"/>
      <c r="Z257" s="11"/>
      <c r="AA257" s="11"/>
      <c r="AB257" s="9"/>
      <c r="AC257" s="2"/>
      <c r="AD257" s="9"/>
      <c r="AE257" s="2"/>
      <c r="AF257" s="9"/>
      <c r="AG257" s="10"/>
      <c r="AH257" s="11"/>
      <c r="AI257" s="11" t="s">
        <v>86</v>
      </c>
      <c r="AJ257" s="11"/>
      <c r="AK257" s="2"/>
      <c r="AL257" s="11"/>
      <c r="AM257" s="11"/>
      <c r="AN257" s="11"/>
      <c r="AO257" s="2"/>
      <c r="AP257" s="3"/>
      <c r="AQ257" s="11"/>
      <c r="AR257" s="3"/>
      <c r="AS257" s="2"/>
      <c r="AT257" s="11"/>
      <c r="AU257" s="2"/>
      <c r="AV257" s="2"/>
      <c r="AW257" s="2"/>
      <c r="AX257" s="11"/>
      <c r="AY257" s="11"/>
      <c r="AZ257" s="9"/>
      <c r="BA257" s="2">
        <v>1875</v>
      </c>
      <c r="BB257" s="11"/>
      <c r="BC257" s="11"/>
      <c r="BD257" s="11"/>
      <c r="BE257" s="11"/>
      <c r="BF257" s="11"/>
      <c r="BG257" s="11"/>
      <c r="BH257" s="11"/>
      <c r="BI257" s="11"/>
      <c r="BJ257" s="11" t="s">
        <v>87</v>
      </c>
      <c r="BK257" s="10">
        <v>46303.805902777778</v>
      </c>
      <c r="BL257" s="11"/>
      <c r="BM257" s="11"/>
      <c r="BN257" s="10">
        <v>46303.625</v>
      </c>
      <c r="BO257" s="11"/>
      <c r="BP257" s="11"/>
      <c r="BQ257" s="11"/>
      <c r="BR257" s="11"/>
      <c r="BS257" s="11"/>
      <c r="BT257" s="11"/>
      <c r="BU257" s="11"/>
      <c r="BV257" s="2"/>
      <c r="BW257" s="11"/>
    </row>
    <row r="258" spans="1:75" ht="30" x14ac:dyDescent="0.25">
      <c r="A258" s="2">
        <v>6200256</v>
      </c>
      <c r="B258" s="10">
        <v>46303.805902777778</v>
      </c>
      <c r="C258" s="11" t="s">
        <v>82</v>
      </c>
      <c r="D258" s="11"/>
      <c r="E258" s="11" t="s">
        <v>88</v>
      </c>
      <c r="F258" s="11"/>
      <c r="G258" s="11" t="s">
        <v>89</v>
      </c>
      <c r="H258" s="3"/>
      <c r="I258" s="11" t="s">
        <v>90</v>
      </c>
      <c r="J258" s="11"/>
      <c r="K258" s="11"/>
      <c r="L258" s="11"/>
      <c r="M258" s="11"/>
      <c r="N258" s="2">
        <v>1.25</v>
      </c>
      <c r="O258" s="2"/>
      <c r="P258" s="2"/>
      <c r="Q258" s="2"/>
      <c r="R258" s="11"/>
      <c r="S258" s="11" t="s">
        <v>348</v>
      </c>
      <c r="T258" s="11" t="s">
        <v>85</v>
      </c>
      <c r="U258" s="11"/>
      <c r="V258" s="11"/>
      <c r="W258" s="11"/>
      <c r="X258" s="11"/>
      <c r="Y258" s="11"/>
      <c r="Z258" s="11"/>
      <c r="AA258" s="11"/>
      <c r="AB258" s="9"/>
      <c r="AC258" s="2"/>
      <c r="AD258" s="9"/>
      <c r="AE258" s="2"/>
      <c r="AF258" s="9"/>
      <c r="AG258" s="10"/>
      <c r="AH258" s="11"/>
      <c r="AI258" s="11" t="s">
        <v>86</v>
      </c>
      <c r="AJ258" s="11"/>
      <c r="AK258" s="2"/>
      <c r="AL258" s="11"/>
      <c r="AM258" s="11"/>
      <c r="AN258" s="11"/>
      <c r="AO258" s="2"/>
      <c r="AP258" s="3"/>
      <c r="AQ258" s="11"/>
      <c r="AR258" s="3"/>
      <c r="AS258" s="2"/>
      <c r="AT258" s="11"/>
      <c r="AU258" s="2"/>
      <c r="AV258" s="2"/>
      <c r="AW258" s="2"/>
      <c r="AX258" s="11"/>
      <c r="AY258" s="11"/>
      <c r="AZ258" s="9"/>
      <c r="BA258" s="2">
        <v>1875</v>
      </c>
      <c r="BB258" s="11"/>
      <c r="BC258" s="11"/>
      <c r="BD258" s="11"/>
      <c r="BE258" s="11"/>
      <c r="BF258" s="11"/>
      <c r="BG258" s="11"/>
      <c r="BH258" s="11"/>
      <c r="BI258" s="11"/>
      <c r="BJ258" s="11" t="s">
        <v>87</v>
      </c>
      <c r="BK258" s="10">
        <v>46303.805902777778</v>
      </c>
      <c r="BL258" s="11"/>
      <c r="BM258" s="11"/>
      <c r="BN258" s="10">
        <v>46303.625</v>
      </c>
      <c r="BO258" s="11"/>
      <c r="BP258" s="11"/>
      <c r="BQ258" s="11"/>
      <c r="BR258" s="11"/>
      <c r="BS258" s="11"/>
      <c r="BT258" s="11"/>
      <c r="BU258" s="11"/>
      <c r="BV258" s="2"/>
      <c r="BW258" s="11"/>
    </row>
    <row r="259" spans="1:75" ht="30" x14ac:dyDescent="0.25">
      <c r="A259" s="2">
        <v>6200257</v>
      </c>
      <c r="B259" s="10">
        <v>46303.805902777778</v>
      </c>
      <c r="C259" s="11" t="s">
        <v>82</v>
      </c>
      <c r="D259" s="11"/>
      <c r="E259" s="11" t="s">
        <v>92</v>
      </c>
      <c r="F259" s="11"/>
      <c r="G259" s="2">
        <v>470123456</v>
      </c>
      <c r="H259" s="3"/>
      <c r="I259" s="11" t="s">
        <v>75</v>
      </c>
      <c r="J259" s="11"/>
      <c r="K259" s="11"/>
      <c r="L259" s="11"/>
      <c r="M259" s="11"/>
      <c r="N259" s="2">
        <v>1.25</v>
      </c>
      <c r="O259" s="2"/>
      <c r="P259" s="2"/>
      <c r="Q259" s="2"/>
      <c r="R259" s="11"/>
      <c r="S259" s="11" t="s">
        <v>349</v>
      </c>
      <c r="T259" s="11" t="s">
        <v>85</v>
      </c>
      <c r="U259" s="11"/>
      <c r="V259" s="11"/>
      <c r="W259" s="11"/>
      <c r="X259" s="11"/>
      <c r="Y259" s="11"/>
      <c r="Z259" s="11"/>
      <c r="AA259" s="11"/>
      <c r="AB259" s="9"/>
      <c r="AC259" s="2"/>
      <c r="AD259" s="9"/>
      <c r="AE259" s="2"/>
      <c r="AF259" s="9"/>
      <c r="AG259" s="10"/>
      <c r="AH259" s="11"/>
      <c r="AI259" s="11" t="s">
        <v>86</v>
      </c>
      <c r="AJ259" s="11"/>
      <c r="AK259" s="2"/>
      <c r="AL259" s="11"/>
      <c r="AM259" s="11"/>
      <c r="AN259" s="11"/>
      <c r="AO259" s="2"/>
      <c r="AP259" s="3"/>
      <c r="AQ259" s="11"/>
      <c r="AR259" s="3"/>
      <c r="AS259" s="2"/>
      <c r="AT259" s="11"/>
      <c r="AU259" s="2"/>
      <c r="AV259" s="2"/>
      <c r="AW259" s="2"/>
      <c r="AX259" s="11"/>
      <c r="AY259" s="11"/>
      <c r="AZ259" s="9"/>
      <c r="BA259" s="2">
        <v>1875</v>
      </c>
      <c r="BB259" s="11"/>
      <c r="BC259" s="11"/>
      <c r="BD259" s="11"/>
      <c r="BE259" s="11"/>
      <c r="BF259" s="11"/>
      <c r="BG259" s="11"/>
      <c r="BH259" s="11"/>
      <c r="BI259" s="11"/>
      <c r="BJ259" s="11" t="s">
        <v>87</v>
      </c>
      <c r="BK259" s="10">
        <v>46303.805902777778</v>
      </c>
      <c r="BL259" s="11"/>
      <c r="BM259" s="11"/>
      <c r="BN259" s="10">
        <v>46303.625</v>
      </c>
      <c r="BO259" s="11"/>
      <c r="BP259" s="11"/>
      <c r="BQ259" s="11"/>
      <c r="BR259" s="11"/>
      <c r="BS259" s="11"/>
      <c r="BT259" s="11"/>
      <c r="BU259" s="11"/>
      <c r="BV259" s="2"/>
      <c r="BW259" s="11"/>
    </row>
    <row r="260" spans="1:75" ht="30" x14ac:dyDescent="0.25">
      <c r="A260" s="2">
        <v>6200258</v>
      </c>
      <c r="B260" s="10">
        <v>46303.805902777778</v>
      </c>
      <c r="C260" s="11" t="s">
        <v>82</v>
      </c>
      <c r="D260" s="11"/>
      <c r="E260" s="11" t="s">
        <v>83</v>
      </c>
      <c r="F260" s="11"/>
      <c r="G260" s="11" t="s">
        <v>94</v>
      </c>
      <c r="H260" s="3"/>
      <c r="I260" s="11" t="s">
        <v>90</v>
      </c>
      <c r="J260" s="11"/>
      <c r="K260" s="11"/>
      <c r="L260" s="11"/>
      <c r="M260" s="11"/>
      <c r="N260" s="2">
        <v>1.25</v>
      </c>
      <c r="O260" s="2"/>
      <c r="P260" s="2"/>
      <c r="Q260" s="2"/>
      <c r="R260" s="11"/>
      <c r="S260" s="11" t="s">
        <v>350</v>
      </c>
      <c r="T260" s="11" t="s">
        <v>85</v>
      </c>
      <c r="U260" s="11"/>
      <c r="V260" s="11"/>
      <c r="W260" s="11"/>
      <c r="X260" s="11"/>
      <c r="Y260" s="11"/>
      <c r="Z260" s="11"/>
      <c r="AA260" s="11"/>
      <c r="AB260" s="9"/>
      <c r="AC260" s="2"/>
      <c r="AD260" s="9"/>
      <c r="AE260" s="2"/>
      <c r="AF260" s="9"/>
      <c r="AG260" s="10"/>
      <c r="AH260" s="11"/>
      <c r="AI260" s="11" t="s">
        <v>86</v>
      </c>
      <c r="AJ260" s="11"/>
      <c r="AK260" s="2"/>
      <c r="AL260" s="11"/>
      <c r="AM260" s="11"/>
      <c r="AN260" s="11"/>
      <c r="AO260" s="2"/>
      <c r="AP260" s="3"/>
      <c r="AQ260" s="11"/>
      <c r="AR260" s="3"/>
      <c r="AS260" s="2"/>
      <c r="AT260" s="11"/>
      <c r="AU260" s="2"/>
      <c r="AV260" s="2"/>
      <c r="AW260" s="2"/>
      <c r="AX260" s="11"/>
      <c r="AY260" s="11"/>
      <c r="AZ260" s="9"/>
      <c r="BA260" s="2">
        <v>1875</v>
      </c>
      <c r="BB260" s="11"/>
      <c r="BC260" s="11"/>
      <c r="BD260" s="11"/>
      <c r="BE260" s="11"/>
      <c r="BF260" s="11"/>
      <c r="BG260" s="11"/>
      <c r="BH260" s="11"/>
      <c r="BI260" s="11"/>
      <c r="BJ260" s="11" t="s">
        <v>87</v>
      </c>
      <c r="BK260" s="10">
        <v>46303.805902777778</v>
      </c>
      <c r="BL260" s="11"/>
      <c r="BM260" s="11"/>
      <c r="BN260" s="10">
        <v>46303.625</v>
      </c>
      <c r="BO260" s="11"/>
      <c r="BP260" s="11"/>
      <c r="BQ260" s="11"/>
      <c r="BR260" s="11"/>
      <c r="BS260" s="11"/>
      <c r="BT260" s="11"/>
      <c r="BU260" s="11"/>
      <c r="BV260" s="2"/>
      <c r="BW260" s="11"/>
    </row>
    <row r="261" spans="1:75" ht="30" x14ac:dyDescent="0.25">
      <c r="A261" s="2">
        <v>6200259</v>
      </c>
      <c r="B261" s="10">
        <v>46303.805902777778</v>
      </c>
      <c r="C261" s="11" t="s">
        <v>82</v>
      </c>
      <c r="D261" s="11"/>
      <c r="E261" s="11" t="s">
        <v>88</v>
      </c>
      <c r="F261" s="11"/>
      <c r="G261" s="11" t="s">
        <v>593</v>
      </c>
      <c r="H261" s="3"/>
      <c r="I261" s="11" t="s">
        <v>75</v>
      </c>
      <c r="J261" s="11"/>
      <c r="K261" s="11"/>
      <c r="L261" s="11"/>
      <c r="M261" s="11"/>
      <c r="N261" s="2">
        <v>1.25</v>
      </c>
      <c r="O261" s="2"/>
      <c r="P261" s="2"/>
      <c r="Q261" s="2"/>
      <c r="R261" s="11"/>
      <c r="S261" s="11" t="s">
        <v>351</v>
      </c>
      <c r="T261" s="11" t="s">
        <v>85</v>
      </c>
      <c r="U261" s="11"/>
      <c r="V261" s="11"/>
      <c r="W261" s="11"/>
      <c r="X261" s="11"/>
      <c r="Y261" s="11"/>
      <c r="Z261" s="11"/>
      <c r="AA261" s="11"/>
      <c r="AB261" s="9"/>
      <c r="AC261" s="2"/>
      <c r="AD261" s="9"/>
      <c r="AE261" s="2"/>
      <c r="AF261" s="9"/>
      <c r="AG261" s="10"/>
      <c r="AH261" s="11"/>
      <c r="AI261" s="11" t="s">
        <v>86</v>
      </c>
      <c r="AJ261" s="11"/>
      <c r="AK261" s="2"/>
      <c r="AL261" s="11"/>
      <c r="AM261" s="11"/>
      <c r="AN261" s="11"/>
      <c r="AO261" s="2"/>
      <c r="AP261" s="3"/>
      <c r="AQ261" s="11"/>
      <c r="AR261" s="3"/>
      <c r="AS261" s="2"/>
      <c r="AT261" s="11"/>
      <c r="AU261" s="2"/>
      <c r="AV261" s="2"/>
      <c r="AW261" s="2"/>
      <c r="AX261" s="11"/>
      <c r="AY261" s="11"/>
      <c r="AZ261" s="9"/>
      <c r="BA261" s="2">
        <v>1875</v>
      </c>
      <c r="BB261" s="11"/>
      <c r="BC261" s="11"/>
      <c r="BD261" s="11"/>
      <c r="BE261" s="11"/>
      <c r="BF261" s="11"/>
      <c r="BG261" s="11"/>
      <c r="BH261" s="11"/>
      <c r="BI261" s="11"/>
      <c r="BJ261" s="11" t="s">
        <v>87</v>
      </c>
      <c r="BK261" s="10">
        <v>46303.805902777778</v>
      </c>
      <c r="BL261" s="11"/>
      <c r="BM261" s="11"/>
      <c r="BN261" s="10">
        <v>46303.625</v>
      </c>
      <c r="BO261" s="11"/>
      <c r="BP261" s="11"/>
      <c r="BQ261" s="11"/>
      <c r="BR261" s="11"/>
      <c r="BS261" s="11"/>
      <c r="BT261" s="11"/>
      <c r="BU261" s="11"/>
      <c r="BV261" s="2"/>
      <c r="BW261" s="11"/>
    </row>
    <row r="262" spans="1:75" ht="30" x14ac:dyDescent="0.25">
      <c r="A262" s="2">
        <v>6200260</v>
      </c>
      <c r="B262" s="10">
        <v>46303.805902777778</v>
      </c>
      <c r="C262" s="11" t="s">
        <v>82</v>
      </c>
      <c r="D262" s="11"/>
      <c r="E262" s="11" t="s">
        <v>92</v>
      </c>
      <c r="F262" s="11"/>
      <c r="G262" s="11" t="s">
        <v>592</v>
      </c>
      <c r="H262" s="3"/>
      <c r="I262" s="11" t="s">
        <v>75</v>
      </c>
      <c r="J262" s="11"/>
      <c r="K262" s="11"/>
      <c r="L262" s="11"/>
      <c r="M262" s="11"/>
      <c r="N262" s="2">
        <v>1.25</v>
      </c>
      <c r="O262" s="2"/>
      <c r="P262" s="2"/>
      <c r="Q262" s="2"/>
      <c r="R262" s="11"/>
      <c r="S262" s="11" t="s">
        <v>352</v>
      </c>
      <c r="T262" s="11" t="s">
        <v>85</v>
      </c>
      <c r="U262" s="11"/>
      <c r="V262" s="11"/>
      <c r="W262" s="11"/>
      <c r="X262" s="11"/>
      <c r="Y262" s="11"/>
      <c r="Z262" s="11"/>
      <c r="AA262" s="11"/>
      <c r="AB262" s="9"/>
      <c r="AC262" s="2"/>
      <c r="AD262" s="9"/>
      <c r="AE262" s="2"/>
      <c r="AF262" s="9"/>
      <c r="AG262" s="10"/>
      <c r="AH262" s="11"/>
      <c r="AI262" s="11" t="s">
        <v>86</v>
      </c>
      <c r="AJ262" s="11"/>
      <c r="AK262" s="2"/>
      <c r="AL262" s="11"/>
      <c r="AM262" s="11"/>
      <c r="AN262" s="11"/>
      <c r="AO262" s="2"/>
      <c r="AP262" s="3"/>
      <c r="AQ262" s="11"/>
      <c r="AR262" s="3"/>
      <c r="AS262" s="2"/>
      <c r="AT262" s="11"/>
      <c r="AU262" s="2"/>
      <c r="AV262" s="2"/>
      <c r="AW262" s="2"/>
      <c r="AX262" s="11"/>
      <c r="AY262" s="11"/>
      <c r="AZ262" s="9"/>
      <c r="BA262" s="2">
        <v>1875</v>
      </c>
      <c r="BB262" s="11"/>
      <c r="BC262" s="11"/>
      <c r="BD262" s="11"/>
      <c r="BE262" s="11"/>
      <c r="BF262" s="11"/>
      <c r="BG262" s="11"/>
      <c r="BH262" s="11"/>
      <c r="BI262" s="11"/>
      <c r="BJ262" s="11" t="s">
        <v>87</v>
      </c>
      <c r="BK262" s="10">
        <v>46303.805902777778</v>
      </c>
      <c r="BL262" s="11"/>
      <c r="BM262" s="11"/>
      <c r="BN262" s="10">
        <v>46303.625</v>
      </c>
      <c r="BO262" s="11"/>
      <c r="BP262" s="11"/>
      <c r="BQ262" s="11"/>
      <c r="BR262" s="11"/>
      <c r="BS262" s="11"/>
      <c r="BT262" s="11"/>
      <c r="BU262" s="11"/>
      <c r="BV262" s="2"/>
      <c r="BW262" s="11"/>
    </row>
    <row r="263" spans="1:75" ht="30" x14ac:dyDescent="0.25">
      <c r="A263" s="2">
        <v>6200261</v>
      </c>
      <c r="B263" s="10">
        <v>46303.805902777778</v>
      </c>
      <c r="C263" s="11" t="s">
        <v>82</v>
      </c>
      <c r="D263" s="11"/>
      <c r="E263" s="11" t="s">
        <v>83</v>
      </c>
      <c r="F263" s="11"/>
      <c r="G263" s="11" t="s">
        <v>89</v>
      </c>
      <c r="H263" s="3"/>
      <c r="I263" s="11" t="s">
        <v>90</v>
      </c>
      <c r="J263" s="11"/>
      <c r="K263" s="11"/>
      <c r="L263" s="11"/>
      <c r="M263" s="11"/>
      <c r="N263" s="2">
        <v>1.25</v>
      </c>
      <c r="O263" s="2"/>
      <c r="P263" s="2"/>
      <c r="Q263" s="2"/>
      <c r="R263" s="11"/>
      <c r="S263" s="11" t="s">
        <v>353</v>
      </c>
      <c r="T263" s="11" t="s">
        <v>85</v>
      </c>
      <c r="U263" s="11"/>
      <c r="V263" s="11"/>
      <c r="W263" s="11"/>
      <c r="X263" s="11"/>
      <c r="Y263" s="11"/>
      <c r="Z263" s="11"/>
      <c r="AA263" s="11"/>
      <c r="AB263" s="9"/>
      <c r="AC263" s="2"/>
      <c r="AD263" s="9"/>
      <c r="AE263" s="2"/>
      <c r="AF263" s="9"/>
      <c r="AG263" s="10"/>
      <c r="AH263" s="11"/>
      <c r="AI263" s="11" t="s">
        <v>86</v>
      </c>
      <c r="AJ263" s="11"/>
      <c r="AK263" s="2"/>
      <c r="AL263" s="11"/>
      <c r="AM263" s="11"/>
      <c r="AN263" s="11"/>
      <c r="AO263" s="2"/>
      <c r="AP263" s="3"/>
      <c r="AQ263" s="11"/>
      <c r="AR263" s="3"/>
      <c r="AS263" s="2"/>
      <c r="AT263" s="11"/>
      <c r="AU263" s="2"/>
      <c r="AV263" s="2"/>
      <c r="AW263" s="2"/>
      <c r="AX263" s="11"/>
      <c r="AY263" s="11"/>
      <c r="AZ263" s="9"/>
      <c r="BA263" s="2">
        <v>1875</v>
      </c>
      <c r="BB263" s="11"/>
      <c r="BC263" s="11"/>
      <c r="BD263" s="11"/>
      <c r="BE263" s="11"/>
      <c r="BF263" s="11"/>
      <c r="BG263" s="11"/>
      <c r="BH263" s="11"/>
      <c r="BI263" s="11"/>
      <c r="BJ263" s="11" t="s">
        <v>87</v>
      </c>
      <c r="BK263" s="10">
        <v>46303.805902777778</v>
      </c>
      <c r="BL263" s="11"/>
      <c r="BM263" s="11"/>
      <c r="BN263" s="10">
        <v>46303.625</v>
      </c>
      <c r="BO263" s="11"/>
      <c r="BP263" s="11"/>
      <c r="BQ263" s="11"/>
      <c r="BR263" s="11"/>
      <c r="BS263" s="11"/>
      <c r="BT263" s="11"/>
      <c r="BU263" s="11"/>
      <c r="BV263" s="2"/>
      <c r="BW263" s="11"/>
    </row>
    <row r="264" spans="1:75" ht="30" x14ac:dyDescent="0.25">
      <c r="A264" s="2">
        <v>6200262</v>
      </c>
      <c r="B264" s="10">
        <v>46303.805902777778</v>
      </c>
      <c r="C264" s="11" t="s">
        <v>82</v>
      </c>
      <c r="D264" s="11"/>
      <c r="E264" s="11" t="s">
        <v>88</v>
      </c>
      <c r="F264" s="11"/>
      <c r="G264" s="2">
        <v>470123456</v>
      </c>
      <c r="H264" s="3"/>
      <c r="I264" s="11" t="s">
        <v>75</v>
      </c>
      <c r="J264" s="11"/>
      <c r="K264" s="11"/>
      <c r="L264" s="11"/>
      <c r="M264" s="11"/>
      <c r="N264" s="2">
        <v>1.25</v>
      </c>
      <c r="O264" s="2"/>
      <c r="P264" s="2"/>
      <c r="Q264" s="2"/>
      <c r="R264" s="11"/>
      <c r="S264" s="11" t="s">
        <v>354</v>
      </c>
      <c r="T264" s="11" t="s">
        <v>85</v>
      </c>
      <c r="U264" s="11"/>
      <c r="V264" s="11"/>
      <c r="W264" s="11"/>
      <c r="X264" s="11"/>
      <c r="Y264" s="11"/>
      <c r="Z264" s="11"/>
      <c r="AA264" s="11"/>
      <c r="AB264" s="9"/>
      <c r="AC264" s="2"/>
      <c r="AD264" s="9"/>
      <c r="AE264" s="2"/>
      <c r="AF264" s="9"/>
      <c r="AG264" s="10"/>
      <c r="AH264" s="11"/>
      <c r="AI264" s="11" t="s">
        <v>86</v>
      </c>
      <c r="AJ264" s="11"/>
      <c r="AK264" s="2"/>
      <c r="AL264" s="11"/>
      <c r="AM264" s="11"/>
      <c r="AN264" s="11"/>
      <c r="AO264" s="2"/>
      <c r="AP264" s="3"/>
      <c r="AQ264" s="11"/>
      <c r="AR264" s="3"/>
      <c r="AS264" s="2"/>
      <c r="AT264" s="11"/>
      <c r="AU264" s="2"/>
      <c r="AV264" s="2"/>
      <c r="AW264" s="2"/>
      <c r="AX264" s="11"/>
      <c r="AY264" s="11"/>
      <c r="AZ264" s="9"/>
      <c r="BA264" s="2">
        <v>1875</v>
      </c>
      <c r="BB264" s="11"/>
      <c r="BC264" s="11"/>
      <c r="BD264" s="11"/>
      <c r="BE264" s="11"/>
      <c r="BF264" s="11"/>
      <c r="BG264" s="11"/>
      <c r="BH264" s="11"/>
      <c r="BI264" s="11"/>
      <c r="BJ264" s="11" t="s">
        <v>87</v>
      </c>
      <c r="BK264" s="10">
        <v>46303.805902777778</v>
      </c>
      <c r="BL264" s="11"/>
      <c r="BM264" s="11"/>
      <c r="BN264" s="10">
        <v>46303.625</v>
      </c>
      <c r="BO264" s="11"/>
      <c r="BP264" s="11"/>
      <c r="BQ264" s="11"/>
      <c r="BR264" s="11"/>
      <c r="BS264" s="11"/>
      <c r="BT264" s="11"/>
      <c r="BU264" s="11"/>
      <c r="BV264" s="2"/>
      <c r="BW264" s="11"/>
    </row>
    <row r="265" spans="1:75" ht="30" x14ac:dyDescent="0.25">
      <c r="A265" s="2">
        <v>6200263</v>
      </c>
      <c r="B265" s="10">
        <v>46303.805902777778</v>
      </c>
      <c r="C265" s="11" t="s">
        <v>82</v>
      </c>
      <c r="D265" s="11"/>
      <c r="E265" s="11" t="s">
        <v>92</v>
      </c>
      <c r="F265" s="11"/>
      <c r="G265" s="11" t="s">
        <v>94</v>
      </c>
      <c r="H265" s="3"/>
      <c r="I265" s="11" t="s">
        <v>90</v>
      </c>
      <c r="J265" s="11"/>
      <c r="K265" s="11"/>
      <c r="L265" s="11"/>
      <c r="M265" s="11"/>
      <c r="N265" s="2">
        <v>1.25</v>
      </c>
      <c r="O265" s="2"/>
      <c r="P265" s="2"/>
      <c r="Q265" s="2"/>
      <c r="R265" s="11"/>
      <c r="S265" s="11" t="s">
        <v>355</v>
      </c>
      <c r="T265" s="11" t="s">
        <v>85</v>
      </c>
      <c r="U265" s="11"/>
      <c r="V265" s="11"/>
      <c r="W265" s="11"/>
      <c r="X265" s="11"/>
      <c r="Y265" s="11"/>
      <c r="Z265" s="11"/>
      <c r="AA265" s="11"/>
      <c r="AB265" s="9"/>
      <c r="AC265" s="2"/>
      <c r="AD265" s="9"/>
      <c r="AE265" s="2"/>
      <c r="AF265" s="9"/>
      <c r="AG265" s="10"/>
      <c r="AH265" s="11"/>
      <c r="AI265" s="11" t="s">
        <v>86</v>
      </c>
      <c r="AJ265" s="11"/>
      <c r="AK265" s="2"/>
      <c r="AL265" s="11"/>
      <c r="AM265" s="11"/>
      <c r="AN265" s="11"/>
      <c r="AO265" s="2"/>
      <c r="AP265" s="3"/>
      <c r="AQ265" s="11"/>
      <c r="AR265" s="3"/>
      <c r="AS265" s="2"/>
      <c r="AT265" s="11"/>
      <c r="AU265" s="2"/>
      <c r="AV265" s="2"/>
      <c r="AW265" s="2"/>
      <c r="AX265" s="11"/>
      <c r="AY265" s="11"/>
      <c r="AZ265" s="9"/>
      <c r="BA265" s="2">
        <v>1875</v>
      </c>
      <c r="BB265" s="11"/>
      <c r="BC265" s="11"/>
      <c r="BD265" s="11"/>
      <c r="BE265" s="11"/>
      <c r="BF265" s="11"/>
      <c r="BG265" s="11"/>
      <c r="BH265" s="11"/>
      <c r="BI265" s="11"/>
      <c r="BJ265" s="11" t="s">
        <v>87</v>
      </c>
      <c r="BK265" s="10">
        <v>46303.805902777778</v>
      </c>
      <c r="BL265" s="11"/>
      <c r="BM265" s="11"/>
      <c r="BN265" s="10">
        <v>46303.625</v>
      </c>
      <c r="BO265" s="11"/>
      <c r="BP265" s="11"/>
      <c r="BQ265" s="11"/>
      <c r="BR265" s="11"/>
      <c r="BS265" s="11"/>
      <c r="BT265" s="11"/>
      <c r="BU265" s="11"/>
      <c r="BV265" s="2"/>
      <c r="BW265" s="11"/>
    </row>
    <row r="266" spans="1:75" ht="30" x14ac:dyDescent="0.25">
      <c r="A266" s="2">
        <v>6200264</v>
      </c>
      <c r="B266" s="10">
        <v>46303.805902777778</v>
      </c>
      <c r="C266" s="11" t="s">
        <v>82</v>
      </c>
      <c r="D266" s="11"/>
      <c r="E266" s="11" t="s">
        <v>83</v>
      </c>
      <c r="F266" s="11"/>
      <c r="G266" s="11" t="s">
        <v>593</v>
      </c>
      <c r="H266" s="3"/>
      <c r="I266" s="11" t="s">
        <v>75</v>
      </c>
      <c r="J266" s="11"/>
      <c r="K266" s="11"/>
      <c r="L266" s="11"/>
      <c r="M266" s="11"/>
      <c r="N266" s="2">
        <v>1.25</v>
      </c>
      <c r="O266" s="2"/>
      <c r="P266" s="2"/>
      <c r="Q266" s="2"/>
      <c r="R266" s="11"/>
      <c r="S266" s="11" t="s">
        <v>356</v>
      </c>
      <c r="T266" s="11" t="s">
        <v>85</v>
      </c>
      <c r="U266" s="11"/>
      <c r="V266" s="11"/>
      <c r="W266" s="11"/>
      <c r="X266" s="11"/>
      <c r="Y266" s="11"/>
      <c r="Z266" s="11"/>
      <c r="AA266" s="11"/>
      <c r="AB266" s="9"/>
      <c r="AC266" s="2"/>
      <c r="AD266" s="9"/>
      <c r="AE266" s="2"/>
      <c r="AF266" s="9"/>
      <c r="AG266" s="10"/>
      <c r="AH266" s="11"/>
      <c r="AI266" s="11" t="s">
        <v>86</v>
      </c>
      <c r="AJ266" s="11"/>
      <c r="AK266" s="2"/>
      <c r="AL266" s="11"/>
      <c r="AM266" s="11"/>
      <c r="AN266" s="11"/>
      <c r="AO266" s="2"/>
      <c r="AP266" s="3"/>
      <c r="AQ266" s="11"/>
      <c r="AR266" s="3"/>
      <c r="AS266" s="2"/>
      <c r="AT266" s="11"/>
      <c r="AU266" s="2"/>
      <c r="AV266" s="2"/>
      <c r="AW266" s="2"/>
      <c r="AX266" s="11"/>
      <c r="AY266" s="11"/>
      <c r="AZ266" s="9"/>
      <c r="BA266" s="2">
        <v>1875</v>
      </c>
      <c r="BB266" s="11"/>
      <c r="BC266" s="11"/>
      <c r="BD266" s="11"/>
      <c r="BE266" s="11"/>
      <c r="BF266" s="11"/>
      <c r="BG266" s="11"/>
      <c r="BH266" s="11"/>
      <c r="BI266" s="11"/>
      <c r="BJ266" s="11" t="s">
        <v>87</v>
      </c>
      <c r="BK266" s="10">
        <v>46303.805902777778</v>
      </c>
      <c r="BL266" s="11"/>
      <c r="BM266" s="11"/>
      <c r="BN266" s="10">
        <v>46303.625</v>
      </c>
      <c r="BO266" s="11"/>
      <c r="BP266" s="11"/>
      <c r="BQ266" s="11"/>
      <c r="BR266" s="11"/>
      <c r="BS266" s="11"/>
      <c r="BT266" s="11"/>
      <c r="BU266" s="11"/>
      <c r="BV266" s="2"/>
      <c r="BW266" s="11"/>
    </row>
    <row r="267" spans="1:75" ht="30" x14ac:dyDescent="0.25">
      <c r="A267" s="2">
        <v>6200265</v>
      </c>
      <c r="B267" s="10">
        <v>46303.805902777778</v>
      </c>
      <c r="C267" s="11" t="s">
        <v>82</v>
      </c>
      <c r="D267" s="11"/>
      <c r="E267" s="11" t="s">
        <v>88</v>
      </c>
      <c r="F267" s="11"/>
      <c r="G267" s="11" t="s">
        <v>592</v>
      </c>
      <c r="H267" s="3"/>
      <c r="I267" s="11" t="s">
        <v>75</v>
      </c>
      <c r="J267" s="11"/>
      <c r="K267" s="11"/>
      <c r="L267" s="11"/>
      <c r="M267" s="11"/>
      <c r="N267" s="2">
        <v>1.25</v>
      </c>
      <c r="O267" s="2"/>
      <c r="P267" s="2"/>
      <c r="Q267" s="2"/>
      <c r="R267" s="11"/>
      <c r="S267" s="11" t="s">
        <v>357</v>
      </c>
      <c r="T267" s="11" t="s">
        <v>85</v>
      </c>
      <c r="U267" s="11"/>
      <c r="V267" s="11"/>
      <c r="W267" s="11"/>
      <c r="X267" s="11"/>
      <c r="Y267" s="11"/>
      <c r="Z267" s="11"/>
      <c r="AA267" s="11"/>
      <c r="AB267" s="9"/>
      <c r="AC267" s="2"/>
      <c r="AD267" s="9"/>
      <c r="AE267" s="2"/>
      <c r="AF267" s="9"/>
      <c r="AG267" s="10"/>
      <c r="AH267" s="11"/>
      <c r="AI267" s="11" t="s">
        <v>86</v>
      </c>
      <c r="AJ267" s="11"/>
      <c r="AK267" s="2"/>
      <c r="AL267" s="11"/>
      <c r="AM267" s="11"/>
      <c r="AN267" s="11"/>
      <c r="AO267" s="2"/>
      <c r="AP267" s="3"/>
      <c r="AQ267" s="11"/>
      <c r="AR267" s="3"/>
      <c r="AS267" s="2"/>
      <c r="AT267" s="11"/>
      <c r="AU267" s="2"/>
      <c r="AV267" s="2"/>
      <c r="AW267" s="2"/>
      <c r="AX267" s="11"/>
      <c r="AY267" s="11"/>
      <c r="AZ267" s="9"/>
      <c r="BA267" s="2">
        <v>1875</v>
      </c>
      <c r="BB267" s="11"/>
      <c r="BC267" s="11"/>
      <c r="BD267" s="11"/>
      <c r="BE267" s="11"/>
      <c r="BF267" s="11"/>
      <c r="BG267" s="11"/>
      <c r="BH267" s="11"/>
      <c r="BI267" s="11"/>
      <c r="BJ267" s="11" t="s">
        <v>87</v>
      </c>
      <c r="BK267" s="10">
        <v>46303.805902777778</v>
      </c>
      <c r="BL267" s="11"/>
      <c r="BM267" s="11"/>
      <c r="BN267" s="10">
        <v>46303.625</v>
      </c>
      <c r="BO267" s="11"/>
      <c r="BP267" s="11"/>
      <c r="BQ267" s="11"/>
      <c r="BR267" s="11"/>
      <c r="BS267" s="11"/>
      <c r="BT267" s="11"/>
      <c r="BU267" s="11"/>
      <c r="BV267" s="2"/>
      <c r="BW267" s="11"/>
    </row>
    <row r="268" spans="1:75" ht="30" x14ac:dyDescent="0.25">
      <c r="A268" s="2">
        <v>6200266</v>
      </c>
      <c r="B268" s="10">
        <v>46303.805902777778</v>
      </c>
      <c r="C268" s="11" t="s">
        <v>82</v>
      </c>
      <c r="D268" s="11"/>
      <c r="E268" s="11" t="s">
        <v>92</v>
      </c>
      <c r="F268" s="11"/>
      <c r="G268" s="11" t="s">
        <v>89</v>
      </c>
      <c r="H268" s="3"/>
      <c r="I268" s="11" t="s">
        <v>90</v>
      </c>
      <c r="J268" s="11"/>
      <c r="K268" s="11"/>
      <c r="L268" s="11"/>
      <c r="M268" s="11"/>
      <c r="N268" s="2">
        <v>1.25</v>
      </c>
      <c r="O268" s="2"/>
      <c r="P268" s="2"/>
      <c r="Q268" s="2"/>
      <c r="R268" s="11"/>
      <c r="S268" s="11" t="s">
        <v>358</v>
      </c>
      <c r="T268" s="11" t="s">
        <v>85</v>
      </c>
      <c r="U268" s="11"/>
      <c r="V268" s="11"/>
      <c r="W268" s="11"/>
      <c r="X268" s="11"/>
      <c r="Y268" s="11"/>
      <c r="Z268" s="11"/>
      <c r="AA268" s="11"/>
      <c r="AB268" s="9"/>
      <c r="AC268" s="2"/>
      <c r="AD268" s="9"/>
      <c r="AE268" s="2"/>
      <c r="AF268" s="9"/>
      <c r="AG268" s="10"/>
      <c r="AH268" s="11"/>
      <c r="AI268" s="11" t="s">
        <v>86</v>
      </c>
      <c r="AJ268" s="11"/>
      <c r="AK268" s="2"/>
      <c r="AL268" s="11"/>
      <c r="AM268" s="11"/>
      <c r="AN268" s="11"/>
      <c r="AO268" s="2"/>
      <c r="AP268" s="3"/>
      <c r="AQ268" s="11"/>
      <c r="AR268" s="3"/>
      <c r="AS268" s="2"/>
      <c r="AT268" s="11"/>
      <c r="AU268" s="2"/>
      <c r="AV268" s="2"/>
      <c r="AW268" s="2"/>
      <c r="AX268" s="11"/>
      <c r="AY268" s="11"/>
      <c r="AZ268" s="9"/>
      <c r="BA268" s="2">
        <v>1875</v>
      </c>
      <c r="BB268" s="11"/>
      <c r="BC268" s="11"/>
      <c r="BD268" s="11"/>
      <c r="BE268" s="11"/>
      <c r="BF268" s="11"/>
      <c r="BG268" s="11"/>
      <c r="BH268" s="11"/>
      <c r="BI268" s="11"/>
      <c r="BJ268" s="11" t="s">
        <v>87</v>
      </c>
      <c r="BK268" s="10">
        <v>46303.805902777778</v>
      </c>
      <c r="BL268" s="11"/>
      <c r="BM268" s="11"/>
      <c r="BN268" s="10">
        <v>46303.625</v>
      </c>
      <c r="BO268" s="11"/>
      <c r="BP268" s="11"/>
      <c r="BQ268" s="11"/>
      <c r="BR268" s="11"/>
      <c r="BS268" s="11"/>
      <c r="BT268" s="11"/>
      <c r="BU268" s="11"/>
      <c r="BV268" s="2"/>
      <c r="BW268" s="11"/>
    </row>
    <row r="269" spans="1:75" ht="30" x14ac:dyDescent="0.25">
      <c r="A269" s="2">
        <v>6200267</v>
      </c>
      <c r="B269" s="10">
        <v>46303.805902777778</v>
      </c>
      <c r="C269" s="11" t="s">
        <v>82</v>
      </c>
      <c r="D269" s="11"/>
      <c r="E269" s="11" t="s">
        <v>83</v>
      </c>
      <c r="F269" s="11"/>
      <c r="G269" s="2">
        <v>470123456</v>
      </c>
      <c r="H269" s="3"/>
      <c r="I269" s="11" t="s">
        <v>75</v>
      </c>
      <c r="J269" s="11"/>
      <c r="K269" s="11"/>
      <c r="L269" s="11"/>
      <c r="M269" s="11"/>
      <c r="N269" s="2">
        <v>1.25</v>
      </c>
      <c r="O269" s="2"/>
      <c r="P269" s="2"/>
      <c r="Q269" s="2"/>
      <c r="R269" s="11"/>
      <c r="S269" s="11" t="s">
        <v>359</v>
      </c>
      <c r="T269" s="11" t="s">
        <v>85</v>
      </c>
      <c r="U269" s="11"/>
      <c r="V269" s="11"/>
      <c r="W269" s="11"/>
      <c r="X269" s="11"/>
      <c r="Y269" s="11"/>
      <c r="Z269" s="11"/>
      <c r="AA269" s="11"/>
      <c r="AB269" s="9"/>
      <c r="AC269" s="2"/>
      <c r="AD269" s="9"/>
      <c r="AE269" s="2"/>
      <c r="AF269" s="9"/>
      <c r="AG269" s="10"/>
      <c r="AH269" s="11"/>
      <c r="AI269" s="11" t="s">
        <v>86</v>
      </c>
      <c r="AJ269" s="11"/>
      <c r="AK269" s="2"/>
      <c r="AL269" s="11"/>
      <c r="AM269" s="11"/>
      <c r="AN269" s="11"/>
      <c r="AO269" s="2"/>
      <c r="AP269" s="3"/>
      <c r="AQ269" s="11"/>
      <c r="AR269" s="3"/>
      <c r="AS269" s="2"/>
      <c r="AT269" s="11"/>
      <c r="AU269" s="2"/>
      <c r="AV269" s="2"/>
      <c r="AW269" s="2"/>
      <c r="AX269" s="11"/>
      <c r="AY269" s="11"/>
      <c r="AZ269" s="9"/>
      <c r="BA269" s="2">
        <v>1875</v>
      </c>
      <c r="BB269" s="11"/>
      <c r="BC269" s="11"/>
      <c r="BD269" s="11"/>
      <c r="BE269" s="11"/>
      <c r="BF269" s="11"/>
      <c r="BG269" s="11"/>
      <c r="BH269" s="11"/>
      <c r="BI269" s="11"/>
      <c r="BJ269" s="11" t="s">
        <v>87</v>
      </c>
      <c r="BK269" s="10">
        <v>46303.805902777778</v>
      </c>
      <c r="BL269" s="11"/>
      <c r="BM269" s="11"/>
      <c r="BN269" s="10">
        <v>46303.625</v>
      </c>
      <c r="BO269" s="11"/>
      <c r="BP269" s="11"/>
      <c r="BQ269" s="11"/>
      <c r="BR269" s="11"/>
      <c r="BS269" s="11"/>
      <c r="BT269" s="11"/>
      <c r="BU269" s="11"/>
      <c r="BV269" s="2"/>
      <c r="BW269" s="11"/>
    </row>
    <row r="270" spans="1:75" ht="30" x14ac:dyDescent="0.25">
      <c r="A270" s="2">
        <v>6200268</v>
      </c>
      <c r="B270" s="10">
        <v>46303.805902777778</v>
      </c>
      <c r="C270" s="11" t="s">
        <v>82</v>
      </c>
      <c r="D270" s="11"/>
      <c r="E270" s="11" t="s">
        <v>88</v>
      </c>
      <c r="F270" s="11"/>
      <c r="G270" s="11" t="s">
        <v>94</v>
      </c>
      <c r="H270" s="3"/>
      <c r="I270" s="11" t="s">
        <v>90</v>
      </c>
      <c r="J270" s="11"/>
      <c r="K270" s="11"/>
      <c r="L270" s="11"/>
      <c r="M270" s="11"/>
      <c r="N270" s="2">
        <v>1.25</v>
      </c>
      <c r="O270" s="2"/>
      <c r="P270" s="2"/>
      <c r="Q270" s="2"/>
      <c r="R270" s="11"/>
      <c r="S270" s="11" t="s">
        <v>360</v>
      </c>
      <c r="T270" s="11" t="s">
        <v>85</v>
      </c>
      <c r="U270" s="11"/>
      <c r="V270" s="11"/>
      <c r="W270" s="11"/>
      <c r="X270" s="11"/>
      <c r="Y270" s="11"/>
      <c r="Z270" s="11"/>
      <c r="AA270" s="11"/>
      <c r="AB270" s="9"/>
      <c r="AC270" s="2"/>
      <c r="AD270" s="9"/>
      <c r="AE270" s="2"/>
      <c r="AF270" s="9"/>
      <c r="AG270" s="10"/>
      <c r="AH270" s="11"/>
      <c r="AI270" s="11" t="s">
        <v>86</v>
      </c>
      <c r="AJ270" s="11"/>
      <c r="AK270" s="2"/>
      <c r="AL270" s="11"/>
      <c r="AM270" s="11"/>
      <c r="AN270" s="11"/>
      <c r="AO270" s="2"/>
      <c r="AP270" s="3"/>
      <c r="AQ270" s="11"/>
      <c r="AR270" s="3"/>
      <c r="AS270" s="2"/>
      <c r="AT270" s="11"/>
      <c r="AU270" s="2"/>
      <c r="AV270" s="2"/>
      <c r="AW270" s="2"/>
      <c r="AX270" s="11"/>
      <c r="AY270" s="11"/>
      <c r="AZ270" s="9"/>
      <c r="BA270" s="2">
        <v>1875</v>
      </c>
      <c r="BB270" s="11"/>
      <c r="BC270" s="11"/>
      <c r="BD270" s="11"/>
      <c r="BE270" s="11"/>
      <c r="BF270" s="11"/>
      <c r="BG270" s="11"/>
      <c r="BH270" s="11"/>
      <c r="BI270" s="11"/>
      <c r="BJ270" s="11" t="s">
        <v>87</v>
      </c>
      <c r="BK270" s="10">
        <v>46303.805902777778</v>
      </c>
      <c r="BL270" s="11"/>
      <c r="BM270" s="11"/>
      <c r="BN270" s="10">
        <v>46303.625</v>
      </c>
      <c r="BO270" s="11"/>
      <c r="BP270" s="11"/>
      <c r="BQ270" s="11"/>
      <c r="BR270" s="11"/>
      <c r="BS270" s="11"/>
      <c r="BT270" s="11"/>
      <c r="BU270" s="11"/>
      <c r="BV270" s="2"/>
      <c r="BW270" s="11"/>
    </row>
    <row r="271" spans="1:75" ht="30" x14ac:dyDescent="0.25">
      <c r="A271" s="2">
        <v>6200269</v>
      </c>
      <c r="B271" s="10">
        <v>46303.805902777778</v>
      </c>
      <c r="C271" s="11" t="s">
        <v>82</v>
      </c>
      <c r="D271" s="11"/>
      <c r="E271" s="11" t="s">
        <v>92</v>
      </c>
      <c r="F271" s="11"/>
      <c r="G271" s="11" t="s">
        <v>593</v>
      </c>
      <c r="H271" s="3"/>
      <c r="I271" s="11" t="s">
        <v>75</v>
      </c>
      <c r="J271" s="11"/>
      <c r="K271" s="11"/>
      <c r="L271" s="11"/>
      <c r="M271" s="11"/>
      <c r="N271" s="2">
        <v>1.25</v>
      </c>
      <c r="O271" s="2"/>
      <c r="P271" s="2"/>
      <c r="Q271" s="2"/>
      <c r="R271" s="11"/>
      <c r="S271" s="11" t="s">
        <v>361</v>
      </c>
      <c r="T271" s="11" t="s">
        <v>85</v>
      </c>
      <c r="U271" s="11"/>
      <c r="V271" s="11"/>
      <c r="W271" s="11"/>
      <c r="X271" s="11"/>
      <c r="Y271" s="11"/>
      <c r="Z271" s="11"/>
      <c r="AA271" s="11"/>
      <c r="AB271" s="9"/>
      <c r="AC271" s="2"/>
      <c r="AD271" s="9"/>
      <c r="AE271" s="2"/>
      <c r="AF271" s="9"/>
      <c r="AG271" s="10"/>
      <c r="AH271" s="11"/>
      <c r="AI271" s="11" t="s">
        <v>86</v>
      </c>
      <c r="AJ271" s="11"/>
      <c r="AK271" s="2"/>
      <c r="AL271" s="11"/>
      <c r="AM271" s="11"/>
      <c r="AN271" s="11"/>
      <c r="AO271" s="2"/>
      <c r="AP271" s="3"/>
      <c r="AQ271" s="11"/>
      <c r="AR271" s="3"/>
      <c r="AS271" s="2"/>
      <c r="AT271" s="11"/>
      <c r="AU271" s="2"/>
      <c r="AV271" s="2"/>
      <c r="AW271" s="2"/>
      <c r="AX271" s="11"/>
      <c r="AY271" s="11"/>
      <c r="AZ271" s="9"/>
      <c r="BA271" s="2">
        <v>1875</v>
      </c>
      <c r="BB271" s="11"/>
      <c r="BC271" s="11"/>
      <c r="BD271" s="11"/>
      <c r="BE271" s="11"/>
      <c r="BF271" s="11"/>
      <c r="BG271" s="11"/>
      <c r="BH271" s="11"/>
      <c r="BI271" s="11"/>
      <c r="BJ271" s="11" t="s">
        <v>87</v>
      </c>
      <c r="BK271" s="10">
        <v>46303.805902777778</v>
      </c>
      <c r="BL271" s="11"/>
      <c r="BM271" s="11"/>
      <c r="BN271" s="10">
        <v>46303.625</v>
      </c>
      <c r="BO271" s="11"/>
      <c r="BP271" s="11"/>
      <c r="BQ271" s="11"/>
      <c r="BR271" s="11"/>
      <c r="BS271" s="11"/>
      <c r="BT271" s="11"/>
      <c r="BU271" s="11"/>
      <c r="BV271" s="2"/>
      <c r="BW271" s="11"/>
    </row>
    <row r="272" spans="1:75" ht="30" x14ac:dyDescent="0.25">
      <c r="A272" s="2">
        <v>6200270</v>
      </c>
      <c r="B272" s="10">
        <v>46303.805902777778</v>
      </c>
      <c r="C272" s="11" t="s">
        <v>82</v>
      </c>
      <c r="D272" s="11"/>
      <c r="E272" s="11" t="s">
        <v>83</v>
      </c>
      <c r="F272" s="11"/>
      <c r="G272" s="11" t="s">
        <v>592</v>
      </c>
      <c r="H272" s="3"/>
      <c r="I272" s="11" t="s">
        <v>75</v>
      </c>
      <c r="J272" s="11"/>
      <c r="K272" s="11"/>
      <c r="L272" s="11"/>
      <c r="M272" s="11"/>
      <c r="N272" s="2">
        <v>1.25</v>
      </c>
      <c r="O272" s="2"/>
      <c r="P272" s="2"/>
      <c r="Q272" s="2"/>
      <c r="R272" s="11"/>
      <c r="S272" s="11" t="s">
        <v>362</v>
      </c>
      <c r="T272" s="11" t="s">
        <v>85</v>
      </c>
      <c r="U272" s="11"/>
      <c r="V272" s="11"/>
      <c r="W272" s="11"/>
      <c r="X272" s="11"/>
      <c r="Y272" s="11"/>
      <c r="Z272" s="11"/>
      <c r="AA272" s="11"/>
      <c r="AB272" s="9"/>
      <c r="AC272" s="2"/>
      <c r="AD272" s="9"/>
      <c r="AE272" s="2"/>
      <c r="AF272" s="9"/>
      <c r="AG272" s="10"/>
      <c r="AH272" s="11"/>
      <c r="AI272" s="11" t="s">
        <v>86</v>
      </c>
      <c r="AJ272" s="11"/>
      <c r="AK272" s="2"/>
      <c r="AL272" s="11"/>
      <c r="AM272" s="11"/>
      <c r="AN272" s="11"/>
      <c r="AO272" s="2"/>
      <c r="AP272" s="3"/>
      <c r="AQ272" s="11"/>
      <c r="AR272" s="3"/>
      <c r="AS272" s="2"/>
      <c r="AT272" s="11"/>
      <c r="AU272" s="2"/>
      <c r="AV272" s="2"/>
      <c r="AW272" s="2"/>
      <c r="AX272" s="11"/>
      <c r="AY272" s="11"/>
      <c r="AZ272" s="9"/>
      <c r="BA272" s="2">
        <v>1875</v>
      </c>
      <c r="BB272" s="11"/>
      <c r="BC272" s="11"/>
      <c r="BD272" s="11"/>
      <c r="BE272" s="11"/>
      <c r="BF272" s="11"/>
      <c r="BG272" s="11"/>
      <c r="BH272" s="11"/>
      <c r="BI272" s="11"/>
      <c r="BJ272" s="11" t="s">
        <v>87</v>
      </c>
      <c r="BK272" s="10">
        <v>46303.805902777778</v>
      </c>
      <c r="BL272" s="11"/>
      <c r="BM272" s="11"/>
      <c r="BN272" s="10">
        <v>46303.625</v>
      </c>
      <c r="BO272" s="11"/>
      <c r="BP272" s="11"/>
      <c r="BQ272" s="11"/>
      <c r="BR272" s="11"/>
      <c r="BS272" s="11"/>
      <c r="BT272" s="11"/>
      <c r="BU272" s="11"/>
      <c r="BV272" s="2"/>
      <c r="BW272" s="11"/>
    </row>
    <row r="273" spans="1:75" ht="30" x14ac:dyDescent="0.25">
      <c r="A273" s="2">
        <v>6200271</v>
      </c>
      <c r="B273" s="10">
        <v>46303.805902777778</v>
      </c>
      <c r="C273" s="11" t="s">
        <v>82</v>
      </c>
      <c r="D273" s="11"/>
      <c r="E273" s="11" t="s">
        <v>88</v>
      </c>
      <c r="F273" s="11"/>
      <c r="G273" s="11" t="s">
        <v>89</v>
      </c>
      <c r="H273" s="3"/>
      <c r="I273" s="11" t="s">
        <v>90</v>
      </c>
      <c r="J273" s="11"/>
      <c r="K273" s="11"/>
      <c r="L273" s="11"/>
      <c r="M273" s="11"/>
      <c r="N273" s="2">
        <v>1.25</v>
      </c>
      <c r="O273" s="2"/>
      <c r="P273" s="2"/>
      <c r="Q273" s="2"/>
      <c r="R273" s="11"/>
      <c r="S273" s="11" t="s">
        <v>363</v>
      </c>
      <c r="T273" s="11" t="s">
        <v>85</v>
      </c>
      <c r="U273" s="11"/>
      <c r="V273" s="11"/>
      <c r="W273" s="11"/>
      <c r="X273" s="11"/>
      <c r="Y273" s="11"/>
      <c r="Z273" s="11"/>
      <c r="AA273" s="11"/>
      <c r="AB273" s="9"/>
      <c r="AC273" s="2"/>
      <c r="AD273" s="9"/>
      <c r="AE273" s="2"/>
      <c r="AF273" s="9"/>
      <c r="AG273" s="10"/>
      <c r="AH273" s="11"/>
      <c r="AI273" s="11" t="s">
        <v>86</v>
      </c>
      <c r="AJ273" s="11"/>
      <c r="AK273" s="2"/>
      <c r="AL273" s="11"/>
      <c r="AM273" s="11"/>
      <c r="AN273" s="11"/>
      <c r="AO273" s="2"/>
      <c r="AP273" s="3"/>
      <c r="AQ273" s="11"/>
      <c r="AR273" s="3"/>
      <c r="AS273" s="2"/>
      <c r="AT273" s="11"/>
      <c r="AU273" s="2"/>
      <c r="AV273" s="2"/>
      <c r="AW273" s="2"/>
      <c r="AX273" s="11"/>
      <c r="AY273" s="11"/>
      <c r="AZ273" s="9"/>
      <c r="BA273" s="2">
        <v>1875</v>
      </c>
      <c r="BB273" s="11"/>
      <c r="BC273" s="11"/>
      <c r="BD273" s="11"/>
      <c r="BE273" s="11"/>
      <c r="BF273" s="11"/>
      <c r="BG273" s="11"/>
      <c r="BH273" s="11"/>
      <c r="BI273" s="11"/>
      <c r="BJ273" s="11" t="s">
        <v>87</v>
      </c>
      <c r="BK273" s="10">
        <v>46303.805902777778</v>
      </c>
      <c r="BL273" s="11"/>
      <c r="BM273" s="11"/>
      <c r="BN273" s="10">
        <v>46303.625</v>
      </c>
      <c r="BO273" s="11"/>
      <c r="BP273" s="11"/>
      <c r="BQ273" s="11"/>
      <c r="BR273" s="11"/>
      <c r="BS273" s="11"/>
      <c r="BT273" s="11"/>
      <c r="BU273" s="11"/>
      <c r="BV273" s="2"/>
      <c r="BW273" s="11"/>
    </row>
    <row r="274" spans="1:75" ht="30" x14ac:dyDescent="0.25">
      <c r="A274" s="2">
        <v>6200272</v>
      </c>
      <c r="B274" s="10">
        <v>46303.805902777778</v>
      </c>
      <c r="C274" s="11" t="s">
        <v>82</v>
      </c>
      <c r="D274" s="11"/>
      <c r="E274" s="11" t="s">
        <v>92</v>
      </c>
      <c r="F274" s="11"/>
      <c r="G274" s="2">
        <v>470123456</v>
      </c>
      <c r="H274" s="3"/>
      <c r="I274" s="11" t="s">
        <v>75</v>
      </c>
      <c r="J274" s="11"/>
      <c r="K274" s="11"/>
      <c r="L274" s="11"/>
      <c r="M274" s="11"/>
      <c r="N274" s="2">
        <v>1.25</v>
      </c>
      <c r="O274" s="2"/>
      <c r="P274" s="2"/>
      <c r="Q274" s="2"/>
      <c r="R274" s="11"/>
      <c r="S274" s="11" t="s">
        <v>364</v>
      </c>
      <c r="T274" s="11" t="s">
        <v>85</v>
      </c>
      <c r="U274" s="11"/>
      <c r="V274" s="11"/>
      <c r="W274" s="11"/>
      <c r="X274" s="11"/>
      <c r="Y274" s="11"/>
      <c r="Z274" s="11"/>
      <c r="AA274" s="11"/>
      <c r="AB274" s="9"/>
      <c r="AC274" s="2"/>
      <c r="AD274" s="9"/>
      <c r="AE274" s="2"/>
      <c r="AF274" s="9"/>
      <c r="AG274" s="10"/>
      <c r="AH274" s="11"/>
      <c r="AI274" s="11" t="s">
        <v>86</v>
      </c>
      <c r="AJ274" s="11"/>
      <c r="AK274" s="2"/>
      <c r="AL274" s="11"/>
      <c r="AM274" s="11"/>
      <c r="AN274" s="11"/>
      <c r="AO274" s="2"/>
      <c r="AP274" s="3"/>
      <c r="AQ274" s="11"/>
      <c r="AR274" s="3"/>
      <c r="AS274" s="2"/>
      <c r="AT274" s="11"/>
      <c r="AU274" s="2"/>
      <c r="AV274" s="2"/>
      <c r="AW274" s="2"/>
      <c r="AX274" s="11"/>
      <c r="AY274" s="11"/>
      <c r="AZ274" s="9"/>
      <c r="BA274" s="2">
        <v>1875</v>
      </c>
      <c r="BB274" s="11"/>
      <c r="BC274" s="11"/>
      <c r="BD274" s="11"/>
      <c r="BE274" s="11"/>
      <c r="BF274" s="11"/>
      <c r="BG274" s="11"/>
      <c r="BH274" s="11"/>
      <c r="BI274" s="11"/>
      <c r="BJ274" s="11" t="s">
        <v>87</v>
      </c>
      <c r="BK274" s="10">
        <v>46303.805902777778</v>
      </c>
      <c r="BL274" s="11"/>
      <c r="BM274" s="11"/>
      <c r="BN274" s="10">
        <v>46303.625</v>
      </c>
      <c r="BO274" s="11"/>
      <c r="BP274" s="11"/>
      <c r="BQ274" s="11"/>
      <c r="BR274" s="11"/>
      <c r="BS274" s="11"/>
      <c r="BT274" s="11"/>
      <c r="BU274" s="11"/>
      <c r="BV274" s="2"/>
      <c r="BW274" s="11"/>
    </row>
    <row r="275" spans="1:75" ht="30" x14ac:dyDescent="0.25">
      <c r="A275" s="2">
        <v>6200273</v>
      </c>
      <c r="B275" s="10">
        <v>46303.805902777778</v>
      </c>
      <c r="C275" s="11" t="s">
        <v>82</v>
      </c>
      <c r="D275" s="11"/>
      <c r="E275" s="11" t="s">
        <v>83</v>
      </c>
      <c r="F275" s="11"/>
      <c r="G275" s="11" t="s">
        <v>94</v>
      </c>
      <c r="H275" s="3"/>
      <c r="I275" s="11" t="s">
        <v>90</v>
      </c>
      <c r="J275" s="11"/>
      <c r="K275" s="11"/>
      <c r="L275" s="11"/>
      <c r="M275" s="11"/>
      <c r="N275" s="2">
        <v>1.25</v>
      </c>
      <c r="O275" s="2"/>
      <c r="P275" s="2"/>
      <c r="Q275" s="2"/>
      <c r="R275" s="11"/>
      <c r="S275" s="11" t="s">
        <v>365</v>
      </c>
      <c r="T275" s="11" t="s">
        <v>85</v>
      </c>
      <c r="U275" s="11"/>
      <c r="V275" s="11"/>
      <c r="W275" s="11"/>
      <c r="X275" s="11"/>
      <c r="Y275" s="11"/>
      <c r="Z275" s="11"/>
      <c r="AA275" s="11"/>
      <c r="AB275" s="9"/>
      <c r="AC275" s="2"/>
      <c r="AD275" s="9"/>
      <c r="AE275" s="2"/>
      <c r="AF275" s="9"/>
      <c r="AG275" s="10"/>
      <c r="AH275" s="11"/>
      <c r="AI275" s="11" t="s">
        <v>86</v>
      </c>
      <c r="AJ275" s="11"/>
      <c r="AK275" s="2"/>
      <c r="AL275" s="11"/>
      <c r="AM275" s="11"/>
      <c r="AN275" s="11"/>
      <c r="AO275" s="2"/>
      <c r="AP275" s="3"/>
      <c r="AQ275" s="11"/>
      <c r="AR275" s="3"/>
      <c r="AS275" s="2"/>
      <c r="AT275" s="11"/>
      <c r="AU275" s="2"/>
      <c r="AV275" s="2"/>
      <c r="AW275" s="2"/>
      <c r="AX275" s="11"/>
      <c r="AY275" s="11"/>
      <c r="AZ275" s="9"/>
      <c r="BA275" s="2">
        <v>1875</v>
      </c>
      <c r="BB275" s="11"/>
      <c r="BC275" s="11"/>
      <c r="BD275" s="11"/>
      <c r="BE275" s="11"/>
      <c r="BF275" s="11"/>
      <c r="BG275" s="11"/>
      <c r="BH275" s="11"/>
      <c r="BI275" s="11"/>
      <c r="BJ275" s="11" t="s">
        <v>87</v>
      </c>
      <c r="BK275" s="10">
        <v>46303.805902777778</v>
      </c>
      <c r="BL275" s="11"/>
      <c r="BM275" s="11"/>
      <c r="BN275" s="10">
        <v>46303.625</v>
      </c>
      <c r="BO275" s="11"/>
      <c r="BP275" s="11"/>
      <c r="BQ275" s="11"/>
      <c r="BR275" s="11"/>
      <c r="BS275" s="11"/>
      <c r="BT275" s="11"/>
      <c r="BU275" s="11"/>
      <c r="BV275" s="2"/>
      <c r="BW275" s="11"/>
    </row>
    <row r="276" spans="1:75" ht="30" x14ac:dyDescent="0.25">
      <c r="A276" s="2">
        <v>6200274</v>
      </c>
      <c r="B276" s="10">
        <v>46303.805902777778</v>
      </c>
      <c r="C276" s="11" t="s">
        <v>82</v>
      </c>
      <c r="D276" s="11"/>
      <c r="E276" s="11" t="s">
        <v>88</v>
      </c>
      <c r="F276" s="11"/>
      <c r="G276" s="11" t="s">
        <v>593</v>
      </c>
      <c r="H276" s="3"/>
      <c r="I276" s="11" t="s">
        <v>75</v>
      </c>
      <c r="J276" s="11"/>
      <c r="K276" s="11"/>
      <c r="L276" s="11"/>
      <c r="M276" s="11"/>
      <c r="N276" s="2">
        <v>1.25</v>
      </c>
      <c r="O276" s="2"/>
      <c r="P276" s="2"/>
      <c r="Q276" s="2"/>
      <c r="R276" s="11"/>
      <c r="S276" s="11" t="s">
        <v>366</v>
      </c>
      <c r="T276" s="11" t="s">
        <v>85</v>
      </c>
      <c r="U276" s="11"/>
      <c r="V276" s="11"/>
      <c r="W276" s="11"/>
      <c r="X276" s="11"/>
      <c r="Y276" s="11"/>
      <c r="Z276" s="11"/>
      <c r="AA276" s="11"/>
      <c r="AB276" s="9"/>
      <c r="AC276" s="2"/>
      <c r="AD276" s="9"/>
      <c r="AE276" s="2"/>
      <c r="AF276" s="9"/>
      <c r="AG276" s="10"/>
      <c r="AH276" s="11"/>
      <c r="AI276" s="11" t="s">
        <v>86</v>
      </c>
      <c r="AJ276" s="11"/>
      <c r="AK276" s="2"/>
      <c r="AL276" s="11"/>
      <c r="AM276" s="11"/>
      <c r="AN276" s="11"/>
      <c r="AO276" s="2"/>
      <c r="AP276" s="3"/>
      <c r="AQ276" s="11"/>
      <c r="AR276" s="3"/>
      <c r="AS276" s="2"/>
      <c r="AT276" s="11"/>
      <c r="AU276" s="2"/>
      <c r="AV276" s="2"/>
      <c r="AW276" s="2"/>
      <c r="AX276" s="11"/>
      <c r="AY276" s="11"/>
      <c r="AZ276" s="9"/>
      <c r="BA276" s="2">
        <v>1875</v>
      </c>
      <c r="BB276" s="11"/>
      <c r="BC276" s="11"/>
      <c r="BD276" s="11"/>
      <c r="BE276" s="11"/>
      <c r="BF276" s="11"/>
      <c r="BG276" s="11"/>
      <c r="BH276" s="11"/>
      <c r="BI276" s="11"/>
      <c r="BJ276" s="11" t="s">
        <v>87</v>
      </c>
      <c r="BK276" s="10">
        <v>46303.805902777778</v>
      </c>
      <c r="BL276" s="11"/>
      <c r="BM276" s="11"/>
      <c r="BN276" s="10">
        <v>46303.625</v>
      </c>
      <c r="BO276" s="11"/>
      <c r="BP276" s="11"/>
      <c r="BQ276" s="11"/>
      <c r="BR276" s="11"/>
      <c r="BS276" s="11"/>
      <c r="BT276" s="11"/>
      <c r="BU276" s="11"/>
      <c r="BV276" s="2"/>
      <c r="BW276" s="11"/>
    </row>
    <row r="277" spans="1:75" ht="30" x14ac:dyDescent="0.25">
      <c r="A277" s="2">
        <v>6200275</v>
      </c>
      <c r="B277" s="10">
        <v>46303.805902777778</v>
      </c>
      <c r="C277" s="11" t="s">
        <v>82</v>
      </c>
      <c r="D277" s="11"/>
      <c r="E277" s="11" t="s">
        <v>92</v>
      </c>
      <c r="F277" s="11"/>
      <c r="G277" s="11" t="s">
        <v>592</v>
      </c>
      <c r="H277" s="3"/>
      <c r="I277" s="11" t="s">
        <v>75</v>
      </c>
      <c r="J277" s="11"/>
      <c r="K277" s="11"/>
      <c r="L277" s="11"/>
      <c r="M277" s="11"/>
      <c r="N277" s="2">
        <v>1.25</v>
      </c>
      <c r="O277" s="2"/>
      <c r="P277" s="2"/>
      <c r="Q277" s="2"/>
      <c r="R277" s="11"/>
      <c r="S277" s="11" t="s">
        <v>367</v>
      </c>
      <c r="T277" s="11" t="s">
        <v>85</v>
      </c>
      <c r="U277" s="11"/>
      <c r="V277" s="11"/>
      <c r="W277" s="11"/>
      <c r="X277" s="11"/>
      <c r="Y277" s="11"/>
      <c r="Z277" s="11"/>
      <c r="AA277" s="11"/>
      <c r="AB277" s="9"/>
      <c r="AC277" s="2"/>
      <c r="AD277" s="9"/>
      <c r="AE277" s="2"/>
      <c r="AF277" s="9"/>
      <c r="AG277" s="10"/>
      <c r="AH277" s="11"/>
      <c r="AI277" s="11" t="s">
        <v>86</v>
      </c>
      <c r="AJ277" s="11"/>
      <c r="AK277" s="2"/>
      <c r="AL277" s="11"/>
      <c r="AM277" s="11"/>
      <c r="AN277" s="11"/>
      <c r="AO277" s="2"/>
      <c r="AP277" s="3"/>
      <c r="AQ277" s="11"/>
      <c r="AR277" s="3"/>
      <c r="AS277" s="2"/>
      <c r="AT277" s="11"/>
      <c r="AU277" s="2"/>
      <c r="AV277" s="2"/>
      <c r="AW277" s="2"/>
      <c r="AX277" s="11"/>
      <c r="AY277" s="11"/>
      <c r="AZ277" s="9"/>
      <c r="BA277" s="2">
        <v>1875</v>
      </c>
      <c r="BB277" s="11"/>
      <c r="BC277" s="11"/>
      <c r="BD277" s="11"/>
      <c r="BE277" s="11"/>
      <c r="BF277" s="11"/>
      <c r="BG277" s="11"/>
      <c r="BH277" s="11"/>
      <c r="BI277" s="11"/>
      <c r="BJ277" s="11" t="s">
        <v>87</v>
      </c>
      <c r="BK277" s="10">
        <v>46303.805902777778</v>
      </c>
      <c r="BL277" s="11"/>
      <c r="BM277" s="11"/>
      <c r="BN277" s="10">
        <v>46303.625</v>
      </c>
      <c r="BO277" s="11"/>
      <c r="BP277" s="11"/>
      <c r="BQ277" s="11"/>
      <c r="BR277" s="11"/>
      <c r="BS277" s="11"/>
      <c r="BT277" s="11"/>
      <c r="BU277" s="11"/>
      <c r="BV277" s="2"/>
      <c r="BW277" s="11"/>
    </row>
    <row r="278" spans="1:75" ht="30" x14ac:dyDescent="0.25">
      <c r="A278" s="2">
        <v>6200276</v>
      </c>
      <c r="B278" s="10">
        <v>46303.805902777778</v>
      </c>
      <c r="C278" s="11" t="s">
        <v>82</v>
      </c>
      <c r="D278" s="11"/>
      <c r="E278" s="11" t="s">
        <v>83</v>
      </c>
      <c r="F278" s="11"/>
      <c r="G278" s="11" t="s">
        <v>89</v>
      </c>
      <c r="H278" s="3"/>
      <c r="I278" s="11" t="s">
        <v>90</v>
      </c>
      <c r="J278" s="11"/>
      <c r="K278" s="11"/>
      <c r="L278" s="11"/>
      <c r="M278" s="11"/>
      <c r="N278" s="2">
        <v>1.25</v>
      </c>
      <c r="O278" s="2"/>
      <c r="P278" s="2"/>
      <c r="Q278" s="2"/>
      <c r="R278" s="11"/>
      <c r="S278" s="11" t="s">
        <v>368</v>
      </c>
      <c r="T278" s="11" t="s">
        <v>85</v>
      </c>
      <c r="U278" s="11"/>
      <c r="V278" s="11"/>
      <c r="W278" s="11"/>
      <c r="X278" s="11"/>
      <c r="Y278" s="11"/>
      <c r="Z278" s="11"/>
      <c r="AA278" s="11"/>
      <c r="AB278" s="9"/>
      <c r="AC278" s="2"/>
      <c r="AD278" s="9"/>
      <c r="AE278" s="2"/>
      <c r="AF278" s="9"/>
      <c r="AG278" s="10"/>
      <c r="AH278" s="11"/>
      <c r="AI278" s="11" t="s">
        <v>86</v>
      </c>
      <c r="AJ278" s="11"/>
      <c r="AK278" s="2"/>
      <c r="AL278" s="11"/>
      <c r="AM278" s="11"/>
      <c r="AN278" s="11"/>
      <c r="AO278" s="2"/>
      <c r="AP278" s="3"/>
      <c r="AQ278" s="11"/>
      <c r="AR278" s="3"/>
      <c r="AS278" s="2"/>
      <c r="AT278" s="11"/>
      <c r="AU278" s="2"/>
      <c r="AV278" s="2"/>
      <c r="AW278" s="2"/>
      <c r="AX278" s="11"/>
      <c r="AY278" s="11"/>
      <c r="AZ278" s="9"/>
      <c r="BA278" s="2">
        <v>1875</v>
      </c>
      <c r="BB278" s="11"/>
      <c r="BC278" s="11"/>
      <c r="BD278" s="11"/>
      <c r="BE278" s="11"/>
      <c r="BF278" s="11"/>
      <c r="BG278" s="11"/>
      <c r="BH278" s="11"/>
      <c r="BI278" s="11"/>
      <c r="BJ278" s="11" t="s">
        <v>87</v>
      </c>
      <c r="BK278" s="10">
        <v>46303.805902777778</v>
      </c>
      <c r="BL278" s="11"/>
      <c r="BM278" s="11"/>
      <c r="BN278" s="10">
        <v>46303.625</v>
      </c>
      <c r="BO278" s="11"/>
      <c r="BP278" s="11"/>
      <c r="BQ278" s="11"/>
      <c r="BR278" s="11"/>
      <c r="BS278" s="11"/>
      <c r="BT278" s="11"/>
      <c r="BU278" s="11"/>
      <c r="BV278" s="2"/>
      <c r="BW278" s="11"/>
    </row>
    <row r="279" spans="1:75" ht="30" x14ac:dyDescent="0.25">
      <c r="A279" s="2">
        <v>6200277</v>
      </c>
      <c r="B279" s="10">
        <v>46303.805902777778</v>
      </c>
      <c r="C279" s="11" t="s">
        <v>82</v>
      </c>
      <c r="D279" s="11"/>
      <c r="E279" s="11" t="s">
        <v>88</v>
      </c>
      <c r="F279" s="11"/>
      <c r="G279" s="2">
        <v>470123456</v>
      </c>
      <c r="H279" s="3"/>
      <c r="I279" s="11" t="s">
        <v>75</v>
      </c>
      <c r="J279" s="11"/>
      <c r="K279" s="11"/>
      <c r="L279" s="11"/>
      <c r="M279" s="11"/>
      <c r="N279" s="2">
        <v>1.25</v>
      </c>
      <c r="O279" s="2"/>
      <c r="P279" s="2"/>
      <c r="Q279" s="2"/>
      <c r="R279" s="11"/>
      <c r="S279" s="11" t="s">
        <v>369</v>
      </c>
      <c r="T279" s="11" t="s">
        <v>85</v>
      </c>
      <c r="U279" s="11"/>
      <c r="V279" s="11"/>
      <c r="W279" s="11"/>
      <c r="X279" s="11"/>
      <c r="Y279" s="11"/>
      <c r="Z279" s="11"/>
      <c r="AA279" s="11"/>
      <c r="AB279" s="9"/>
      <c r="AC279" s="2"/>
      <c r="AD279" s="9"/>
      <c r="AE279" s="2"/>
      <c r="AF279" s="9"/>
      <c r="AG279" s="10"/>
      <c r="AH279" s="11"/>
      <c r="AI279" s="11" t="s">
        <v>86</v>
      </c>
      <c r="AJ279" s="11"/>
      <c r="AK279" s="2"/>
      <c r="AL279" s="11"/>
      <c r="AM279" s="11"/>
      <c r="AN279" s="11"/>
      <c r="AO279" s="2"/>
      <c r="AP279" s="3"/>
      <c r="AQ279" s="11"/>
      <c r="AR279" s="3"/>
      <c r="AS279" s="2"/>
      <c r="AT279" s="11"/>
      <c r="AU279" s="2"/>
      <c r="AV279" s="2"/>
      <c r="AW279" s="2"/>
      <c r="AX279" s="11"/>
      <c r="AY279" s="11"/>
      <c r="AZ279" s="9"/>
      <c r="BA279" s="2">
        <v>1875</v>
      </c>
      <c r="BB279" s="11"/>
      <c r="BC279" s="11"/>
      <c r="BD279" s="11"/>
      <c r="BE279" s="11"/>
      <c r="BF279" s="11"/>
      <c r="BG279" s="11"/>
      <c r="BH279" s="11"/>
      <c r="BI279" s="11"/>
      <c r="BJ279" s="11" t="s">
        <v>87</v>
      </c>
      <c r="BK279" s="10">
        <v>46303.805902777778</v>
      </c>
      <c r="BL279" s="11"/>
      <c r="BM279" s="11"/>
      <c r="BN279" s="10">
        <v>46303.625</v>
      </c>
      <c r="BO279" s="11"/>
      <c r="BP279" s="11"/>
      <c r="BQ279" s="11"/>
      <c r="BR279" s="11"/>
      <c r="BS279" s="11"/>
      <c r="BT279" s="11"/>
      <c r="BU279" s="11"/>
      <c r="BV279" s="2"/>
      <c r="BW279" s="11"/>
    </row>
    <row r="280" spans="1:75" ht="30" x14ac:dyDescent="0.25">
      <c r="A280" s="2">
        <v>6200278</v>
      </c>
      <c r="B280" s="10">
        <v>46303.805902777778</v>
      </c>
      <c r="C280" s="11" t="s">
        <v>82</v>
      </c>
      <c r="D280" s="11"/>
      <c r="E280" s="11" t="s">
        <v>92</v>
      </c>
      <c r="F280" s="11"/>
      <c r="G280" s="11" t="s">
        <v>94</v>
      </c>
      <c r="H280" s="3"/>
      <c r="I280" s="11" t="s">
        <v>90</v>
      </c>
      <c r="J280" s="11"/>
      <c r="K280" s="11"/>
      <c r="L280" s="11"/>
      <c r="M280" s="11"/>
      <c r="N280" s="2">
        <v>1.25</v>
      </c>
      <c r="O280" s="2"/>
      <c r="P280" s="2"/>
      <c r="Q280" s="2"/>
      <c r="R280" s="11"/>
      <c r="S280" s="11" t="s">
        <v>370</v>
      </c>
      <c r="T280" s="11" t="s">
        <v>85</v>
      </c>
      <c r="U280" s="11"/>
      <c r="V280" s="11"/>
      <c r="W280" s="11"/>
      <c r="X280" s="11"/>
      <c r="Y280" s="11"/>
      <c r="Z280" s="11"/>
      <c r="AA280" s="11"/>
      <c r="AB280" s="9"/>
      <c r="AC280" s="2"/>
      <c r="AD280" s="9"/>
      <c r="AE280" s="2"/>
      <c r="AF280" s="9"/>
      <c r="AG280" s="10"/>
      <c r="AH280" s="11"/>
      <c r="AI280" s="11" t="s">
        <v>86</v>
      </c>
      <c r="AJ280" s="11"/>
      <c r="AK280" s="2"/>
      <c r="AL280" s="11"/>
      <c r="AM280" s="11"/>
      <c r="AN280" s="11"/>
      <c r="AO280" s="2"/>
      <c r="AP280" s="3"/>
      <c r="AQ280" s="11"/>
      <c r="AR280" s="3"/>
      <c r="AS280" s="2"/>
      <c r="AT280" s="11"/>
      <c r="AU280" s="2"/>
      <c r="AV280" s="2"/>
      <c r="AW280" s="2"/>
      <c r="AX280" s="11"/>
      <c r="AY280" s="11"/>
      <c r="AZ280" s="9"/>
      <c r="BA280" s="2">
        <v>1875</v>
      </c>
      <c r="BB280" s="11"/>
      <c r="BC280" s="11"/>
      <c r="BD280" s="11"/>
      <c r="BE280" s="11"/>
      <c r="BF280" s="11"/>
      <c r="BG280" s="11"/>
      <c r="BH280" s="11"/>
      <c r="BI280" s="11"/>
      <c r="BJ280" s="11" t="s">
        <v>87</v>
      </c>
      <c r="BK280" s="10">
        <v>46303.805902777778</v>
      </c>
      <c r="BL280" s="11"/>
      <c r="BM280" s="11"/>
      <c r="BN280" s="10">
        <v>46303.625</v>
      </c>
      <c r="BO280" s="11"/>
      <c r="BP280" s="11"/>
      <c r="BQ280" s="11"/>
      <c r="BR280" s="11"/>
      <c r="BS280" s="11"/>
      <c r="BT280" s="11"/>
      <c r="BU280" s="11"/>
      <c r="BV280" s="2"/>
      <c r="BW280" s="11"/>
    </row>
    <row r="281" spans="1:75" ht="30" x14ac:dyDescent="0.25">
      <c r="A281" s="2">
        <v>6200279</v>
      </c>
      <c r="B281" s="10">
        <v>46303.805902777778</v>
      </c>
      <c r="C281" s="11" t="s">
        <v>82</v>
      </c>
      <c r="D281" s="11"/>
      <c r="E281" s="11" t="s">
        <v>83</v>
      </c>
      <c r="F281" s="11"/>
      <c r="G281" s="11" t="s">
        <v>593</v>
      </c>
      <c r="H281" s="3"/>
      <c r="I281" s="11" t="s">
        <v>75</v>
      </c>
      <c r="J281" s="11"/>
      <c r="K281" s="11"/>
      <c r="L281" s="11"/>
      <c r="M281" s="11"/>
      <c r="N281" s="2">
        <v>1.25</v>
      </c>
      <c r="O281" s="2"/>
      <c r="P281" s="2"/>
      <c r="Q281" s="2"/>
      <c r="R281" s="11"/>
      <c r="S281" s="11" t="s">
        <v>371</v>
      </c>
      <c r="T281" s="11" t="s">
        <v>85</v>
      </c>
      <c r="U281" s="11"/>
      <c r="V281" s="11"/>
      <c r="W281" s="11"/>
      <c r="X281" s="11"/>
      <c r="Y281" s="11"/>
      <c r="Z281" s="11"/>
      <c r="AA281" s="11"/>
      <c r="AB281" s="9"/>
      <c r="AC281" s="2"/>
      <c r="AD281" s="9"/>
      <c r="AE281" s="2"/>
      <c r="AF281" s="9"/>
      <c r="AG281" s="10"/>
      <c r="AH281" s="11"/>
      <c r="AI281" s="11" t="s">
        <v>86</v>
      </c>
      <c r="AJ281" s="11"/>
      <c r="AK281" s="2"/>
      <c r="AL281" s="11"/>
      <c r="AM281" s="11"/>
      <c r="AN281" s="11"/>
      <c r="AO281" s="2"/>
      <c r="AP281" s="3"/>
      <c r="AQ281" s="11"/>
      <c r="AR281" s="3"/>
      <c r="AS281" s="2"/>
      <c r="AT281" s="11"/>
      <c r="AU281" s="2"/>
      <c r="AV281" s="2"/>
      <c r="AW281" s="2"/>
      <c r="AX281" s="11"/>
      <c r="AY281" s="11"/>
      <c r="AZ281" s="9"/>
      <c r="BA281" s="2">
        <v>1875</v>
      </c>
      <c r="BB281" s="11"/>
      <c r="BC281" s="11"/>
      <c r="BD281" s="11"/>
      <c r="BE281" s="11"/>
      <c r="BF281" s="11"/>
      <c r="BG281" s="11"/>
      <c r="BH281" s="11"/>
      <c r="BI281" s="11"/>
      <c r="BJ281" s="11" t="s">
        <v>87</v>
      </c>
      <c r="BK281" s="10">
        <v>46303.805902777778</v>
      </c>
      <c r="BL281" s="11"/>
      <c r="BM281" s="11"/>
      <c r="BN281" s="10">
        <v>46303.625</v>
      </c>
      <c r="BO281" s="11"/>
      <c r="BP281" s="11"/>
      <c r="BQ281" s="11"/>
      <c r="BR281" s="11"/>
      <c r="BS281" s="11"/>
      <c r="BT281" s="11"/>
      <c r="BU281" s="11"/>
      <c r="BV281" s="2"/>
      <c r="BW281" s="11"/>
    </row>
    <row r="282" spans="1:75" ht="30" x14ac:dyDescent="0.25">
      <c r="A282" s="2">
        <v>6200280</v>
      </c>
      <c r="B282" s="10">
        <v>46303.805902777778</v>
      </c>
      <c r="C282" s="11" t="s">
        <v>82</v>
      </c>
      <c r="D282" s="11"/>
      <c r="E282" s="11" t="s">
        <v>88</v>
      </c>
      <c r="F282" s="11"/>
      <c r="G282" s="11" t="s">
        <v>592</v>
      </c>
      <c r="H282" s="3"/>
      <c r="I282" s="11" t="s">
        <v>75</v>
      </c>
      <c r="J282" s="11"/>
      <c r="K282" s="11"/>
      <c r="L282" s="11"/>
      <c r="M282" s="11"/>
      <c r="N282" s="2">
        <v>1.25</v>
      </c>
      <c r="O282" s="2"/>
      <c r="P282" s="2"/>
      <c r="Q282" s="2"/>
      <c r="R282" s="11"/>
      <c r="S282" s="11" t="s">
        <v>372</v>
      </c>
      <c r="T282" s="11" t="s">
        <v>85</v>
      </c>
      <c r="U282" s="11"/>
      <c r="V282" s="11"/>
      <c r="W282" s="11"/>
      <c r="X282" s="11"/>
      <c r="Y282" s="11"/>
      <c r="Z282" s="11"/>
      <c r="AA282" s="11"/>
      <c r="AB282" s="9"/>
      <c r="AC282" s="2"/>
      <c r="AD282" s="9"/>
      <c r="AE282" s="2"/>
      <c r="AF282" s="9"/>
      <c r="AG282" s="10"/>
      <c r="AH282" s="11"/>
      <c r="AI282" s="11" t="s">
        <v>86</v>
      </c>
      <c r="AJ282" s="11"/>
      <c r="AK282" s="2"/>
      <c r="AL282" s="11"/>
      <c r="AM282" s="11"/>
      <c r="AN282" s="11"/>
      <c r="AO282" s="2"/>
      <c r="AP282" s="3"/>
      <c r="AQ282" s="11"/>
      <c r="AR282" s="3"/>
      <c r="AS282" s="2"/>
      <c r="AT282" s="11"/>
      <c r="AU282" s="2"/>
      <c r="AV282" s="2"/>
      <c r="AW282" s="2"/>
      <c r="AX282" s="11"/>
      <c r="AY282" s="11"/>
      <c r="AZ282" s="9"/>
      <c r="BA282" s="2">
        <v>1875</v>
      </c>
      <c r="BB282" s="11"/>
      <c r="BC282" s="11"/>
      <c r="BD282" s="11"/>
      <c r="BE282" s="11"/>
      <c r="BF282" s="11"/>
      <c r="BG282" s="11"/>
      <c r="BH282" s="11"/>
      <c r="BI282" s="11"/>
      <c r="BJ282" s="11" t="s">
        <v>87</v>
      </c>
      <c r="BK282" s="10">
        <v>46303.805902777778</v>
      </c>
      <c r="BL282" s="11"/>
      <c r="BM282" s="11"/>
      <c r="BN282" s="10">
        <v>46303.625</v>
      </c>
      <c r="BO282" s="11"/>
      <c r="BP282" s="11"/>
      <c r="BQ282" s="11"/>
      <c r="BR282" s="11"/>
      <c r="BS282" s="11"/>
      <c r="BT282" s="11"/>
      <c r="BU282" s="11"/>
      <c r="BV282" s="2"/>
      <c r="BW282" s="11"/>
    </row>
    <row r="283" spans="1:75" ht="30" x14ac:dyDescent="0.25">
      <c r="A283" s="2">
        <v>6200281</v>
      </c>
      <c r="B283" s="10">
        <v>46303.805902777778</v>
      </c>
      <c r="C283" s="11" t="s">
        <v>82</v>
      </c>
      <c r="D283" s="11"/>
      <c r="E283" s="11" t="s">
        <v>92</v>
      </c>
      <c r="F283" s="11"/>
      <c r="G283" s="11" t="s">
        <v>89</v>
      </c>
      <c r="H283" s="3"/>
      <c r="I283" s="11" t="s">
        <v>90</v>
      </c>
      <c r="J283" s="11"/>
      <c r="K283" s="11"/>
      <c r="L283" s="11"/>
      <c r="M283" s="11"/>
      <c r="N283" s="2">
        <v>1.25</v>
      </c>
      <c r="O283" s="2"/>
      <c r="P283" s="2"/>
      <c r="Q283" s="2"/>
      <c r="R283" s="11"/>
      <c r="S283" s="11" t="s">
        <v>373</v>
      </c>
      <c r="T283" s="11" t="s">
        <v>85</v>
      </c>
      <c r="U283" s="11"/>
      <c r="V283" s="11"/>
      <c r="W283" s="11"/>
      <c r="X283" s="11"/>
      <c r="Y283" s="11"/>
      <c r="Z283" s="11"/>
      <c r="AA283" s="11"/>
      <c r="AB283" s="9"/>
      <c r="AC283" s="2"/>
      <c r="AD283" s="9"/>
      <c r="AE283" s="2"/>
      <c r="AF283" s="9"/>
      <c r="AG283" s="10"/>
      <c r="AH283" s="11"/>
      <c r="AI283" s="11" t="s">
        <v>86</v>
      </c>
      <c r="AJ283" s="11"/>
      <c r="AK283" s="2"/>
      <c r="AL283" s="11"/>
      <c r="AM283" s="11"/>
      <c r="AN283" s="11"/>
      <c r="AO283" s="2"/>
      <c r="AP283" s="3"/>
      <c r="AQ283" s="11"/>
      <c r="AR283" s="3"/>
      <c r="AS283" s="2"/>
      <c r="AT283" s="11"/>
      <c r="AU283" s="2"/>
      <c r="AV283" s="2"/>
      <c r="AW283" s="2"/>
      <c r="AX283" s="11"/>
      <c r="AY283" s="11"/>
      <c r="AZ283" s="9"/>
      <c r="BA283" s="2">
        <v>1875</v>
      </c>
      <c r="BB283" s="11"/>
      <c r="BC283" s="11"/>
      <c r="BD283" s="11"/>
      <c r="BE283" s="11"/>
      <c r="BF283" s="11"/>
      <c r="BG283" s="11"/>
      <c r="BH283" s="11"/>
      <c r="BI283" s="11"/>
      <c r="BJ283" s="11" t="s">
        <v>87</v>
      </c>
      <c r="BK283" s="10">
        <v>46303.805902777778</v>
      </c>
      <c r="BL283" s="11"/>
      <c r="BM283" s="11"/>
      <c r="BN283" s="10">
        <v>46303.625</v>
      </c>
      <c r="BO283" s="11"/>
      <c r="BP283" s="11"/>
      <c r="BQ283" s="11"/>
      <c r="BR283" s="11"/>
      <c r="BS283" s="11"/>
      <c r="BT283" s="11"/>
      <c r="BU283" s="11"/>
      <c r="BV283" s="2"/>
      <c r="BW283" s="11"/>
    </row>
    <row r="284" spans="1:75" ht="30" x14ac:dyDescent="0.25">
      <c r="A284" s="2">
        <v>6200282</v>
      </c>
      <c r="B284" s="10">
        <v>46303.805902777778</v>
      </c>
      <c r="C284" s="11" t="s">
        <v>82</v>
      </c>
      <c r="D284" s="11"/>
      <c r="E284" s="11" t="s">
        <v>83</v>
      </c>
      <c r="F284" s="11"/>
      <c r="G284" s="2">
        <v>470123456</v>
      </c>
      <c r="H284" s="3"/>
      <c r="I284" s="11" t="s">
        <v>75</v>
      </c>
      <c r="J284" s="11"/>
      <c r="K284" s="11"/>
      <c r="L284" s="11"/>
      <c r="M284" s="11"/>
      <c r="N284" s="2">
        <v>1.25</v>
      </c>
      <c r="O284" s="2"/>
      <c r="P284" s="2"/>
      <c r="Q284" s="2"/>
      <c r="R284" s="11"/>
      <c r="S284" s="11" t="s">
        <v>374</v>
      </c>
      <c r="T284" s="11" t="s">
        <v>85</v>
      </c>
      <c r="U284" s="11"/>
      <c r="V284" s="11"/>
      <c r="W284" s="11"/>
      <c r="X284" s="11"/>
      <c r="Y284" s="11"/>
      <c r="Z284" s="11"/>
      <c r="AA284" s="11"/>
      <c r="AB284" s="9"/>
      <c r="AC284" s="2"/>
      <c r="AD284" s="9"/>
      <c r="AE284" s="2"/>
      <c r="AF284" s="9"/>
      <c r="AG284" s="10"/>
      <c r="AH284" s="11"/>
      <c r="AI284" s="11" t="s">
        <v>86</v>
      </c>
      <c r="AJ284" s="11"/>
      <c r="AK284" s="2"/>
      <c r="AL284" s="11"/>
      <c r="AM284" s="11"/>
      <c r="AN284" s="11"/>
      <c r="AO284" s="2"/>
      <c r="AP284" s="3"/>
      <c r="AQ284" s="11"/>
      <c r="AR284" s="3"/>
      <c r="AS284" s="2"/>
      <c r="AT284" s="11"/>
      <c r="AU284" s="2"/>
      <c r="AV284" s="2"/>
      <c r="AW284" s="2"/>
      <c r="AX284" s="11"/>
      <c r="AY284" s="11"/>
      <c r="AZ284" s="9"/>
      <c r="BA284" s="2">
        <v>1875</v>
      </c>
      <c r="BB284" s="11"/>
      <c r="BC284" s="11"/>
      <c r="BD284" s="11"/>
      <c r="BE284" s="11"/>
      <c r="BF284" s="11"/>
      <c r="BG284" s="11"/>
      <c r="BH284" s="11"/>
      <c r="BI284" s="11"/>
      <c r="BJ284" s="11" t="s">
        <v>87</v>
      </c>
      <c r="BK284" s="10">
        <v>46303.805902777778</v>
      </c>
      <c r="BL284" s="11"/>
      <c r="BM284" s="11"/>
      <c r="BN284" s="10">
        <v>46303.625</v>
      </c>
      <c r="BO284" s="11"/>
      <c r="BP284" s="11"/>
      <c r="BQ284" s="11"/>
      <c r="BR284" s="11"/>
      <c r="BS284" s="11"/>
      <c r="BT284" s="11"/>
      <c r="BU284" s="11"/>
      <c r="BV284" s="2"/>
      <c r="BW284" s="11"/>
    </row>
    <row r="285" spans="1:75" ht="30" x14ac:dyDescent="0.25">
      <c r="A285" s="2">
        <v>6200283</v>
      </c>
      <c r="B285" s="10">
        <v>46303.805902777778</v>
      </c>
      <c r="C285" s="11" t="s">
        <v>82</v>
      </c>
      <c r="D285" s="11"/>
      <c r="E285" s="11" t="s">
        <v>88</v>
      </c>
      <c r="F285" s="11"/>
      <c r="G285" s="11" t="s">
        <v>94</v>
      </c>
      <c r="H285" s="3"/>
      <c r="I285" s="11" t="s">
        <v>90</v>
      </c>
      <c r="J285" s="11"/>
      <c r="K285" s="11"/>
      <c r="L285" s="11"/>
      <c r="M285" s="11"/>
      <c r="N285" s="2">
        <v>1.25</v>
      </c>
      <c r="O285" s="2"/>
      <c r="P285" s="2"/>
      <c r="Q285" s="2"/>
      <c r="R285" s="11"/>
      <c r="S285" s="11" t="s">
        <v>375</v>
      </c>
      <c r="T285" s="11" t="s">
        <v>85</v>
      </c>
      <c r="U285" s="11"/>
      <c r="V285" s="11"/>
      <c r="W285" s="11"/>
      <c r="X285" s="11"/>
      <c r="Y285" s="11"/>
      <c r="Z285" s="11"/>
      <c r="AA285" s="11"/>
      <c r="AB285" s="9"/>
      <c r="AC285" s="2"/>
      <c r="AD285" s="9"/>
      <c r="AE285" s="2"/>
      <c r="AF285" s="9"/>
      <c r="AG285" s="10"/>
      <c r="AH285" s="11"/>
      <c r="AI285" s="11" t="s">
        <v>86</v>
      </c>
      <c r="AJ285" s="11"/>
      <c r="AK285" s="2"/>
      <c r="AL285" s="11"/>
      <c r="AM285" s="11"/>
      <c r="AN285" s="11"/>
      <c r="AO285" s="2"/>
      <c r="AP285" s="3"/>
      <c r="AQ285" s="11"/>
      <c r="AR285" s="3"/>
      <c r="AS285" s="2"/>
      <c r="AT285" s="11"/>
      <c r="AU285" s="2"/>
      <c r="AV285" s="2"/>
      <c r="AW285" s="2"/>
      <c r="AX285" s="11"/>
      <c r="AY285" s="11"/>
      <c r="AZ285" s="9"/>
      <c r="BA285" s="2">
        <v>1875</v>
      </c>
      <c r="BB285" s="11"/>
      <c r="BC285" s="11"/>
      <c r="BD285" s="11"/>
      <c r="BE285" s="11"/>
      <c r="BF285" s="11"/>
      <c r="BG285" s="11"/>
      <c r="BH285" s="11"/>
      <c r="BI285" s="11"/>
      <c r="BJ285" s="11" t="s">
        <v>87</v>
      </c>
      <c r="BK285" s="10">
        <v>46303.805902777778</v>
      </c>
      <c r="BL285" s="11"/>
      <c r="BM285" s="11"/>
      <c r="BN285" s="10">
        <v>46303.625</v>
      </c>
      <c r="BO285" s="11"/>
      <c r="BP285" s="11"/>
      <c r="BQ285" s="11"/>
      <c r="BR285" s="11"/>
      <c r="BS285" s="11"/>
      <c r="BT285" s="11"/>
      <c r="BU285" s="11"/>
      <c r="BV285" s="2"/>
      <c r="BW285" s="11"/>
    </row>
    <row r="286" spans="1:75" ht="30" x14ac:dyDescent="0.25">
      <c r="A286" s="2">
        <v>6200284</v>
      </c>
      <c r="B286" s="10">
        <v>46303.805902777778</v>
      </c>
      <c r="C286" s="11" t="s">
        <v>82</v>
      </c>
      <c r="D286" s="11"/>
      <c r="E286" s="11" t="s">
        <v>92</v>
      </c>
      <c r="F286" s="11"/>
      <c r="G286" s="11" t="s">
        <v>593</v>
      </c>
      <c r="H286" s="3"/>
      <c r="I286" s="11" t="s">
        <v>75</v>
      </c>
      <c r="J286" s="11"/>
      <c r="K286" s="11"/>
      <c r="L286" s="11"/>
      <c r="M286" s="11"/>
      <c r="N286" s="2">
        <v>1.25</v>
      </c>
      <c r="O286" s="2"/>
      <c r="P286" s="2"/>
      <c r="Q286" s="2"/>
      <c r="R286" s="11"/>
      <c r="S286" s="11" t="s">
        <v>376</v>
      </c>
      <c r="T286" s="11" t="s">
        <v>85</v>
      </c>
      <c r="U286" s="11"/>
      <c r="V286" s="11"/>
      <c r="W286" s="11"/>
      <c r="X286" s="11"/>
      <c r="Y286" s="11"/>
      <c r="Z286" s="11"/>
      <c r="AA286" s="11"/>
      <c r="AB286" s="9"/>
      <c r="AC286" s="2"/>
      <c r="AD286" s="9"/>
      <c r="AE286" s="2"/>
      <c r="AF286" s="9"/>
      <c r="AG286" s="10"/>
      <c r="AH286" s="11"/>
      <c r="AI286" s="11" t="s">
        <v>86</v>
      </c>
      <c r="AJ286" s="11"/>
      <c r="AK286" s="2"/>
      <c r="AL286" s="11"/>
      <c r="AM286" s="11"/>
      <c r="AN286" s="11"/>
      <c r="AO286" s="2"/>
      <c r="AP286" s="3"/>
      <c r="AQ286" s="11"/>
      <c r="AR286" s="3"/>
      <c r="AS286" s="2"/>
      <c r="AT286" s="11"/>
      <c r="AU286" s="2"/>
      <c r="AV286" s="2"/>
      <c r="AW286" s="2"/>
      <c r="AX286" s="11"/>
      <c r="AY286" s="11"/>
      <c r="AZ286" s="9"/>
      <c r="BA286" s="2">
        <v>1875</v>
      </c>
      <c r="BB286" s="11"/>
      <c r="BC286" s="11"/>
      <c r="BD286" s="11"/>
      <c r="BE286" s="11"/>
      <c r="BF286" s="11"/>
      <c r="BG286" s="11"/>
      <c r="BH286" s="11"/>
      <c r="BI286" s="11"/>
      <c r="BJ286" s="11" t="s">
        <v>87</v>
      </c>
      <c r="BK286" s="10">
        <v>46303.805902777778</v>
      </c>
      <c r="BL286" s="11"/>
      <c r="BM286" s="11"/>
      <c r="BN286" s="10">
        <v>46303.625</v>
      </c>
      <c r="BO286" s="11"/>
      <c r="BP286" s="11"/>
      <c r="BQ286" s="11"/>
      <c r="BR286" s="11"/>
      <c r="BS286" s="11"/>
      <c r="BT286" s="11"/>
      <c r="BU286" s="11"/>
      <c r="BV286" s="2"/>
      <c r="BW286" s="11"/>
    </row>
    <row r="287" spans="1:75" ht="30" x14ac:dyDescent="0.25">
      <c r="A287" s="2">
        <v>6200285</v>
      </c>
      <c r="B287" s="10">
        <v>46303.805902777778</v>
      </c>
      <c r="C287" s="11" t="s">
        <v>82</v>
      </c>
      <c r="D287" s="11"/>
      <c r="E287" s="11" t="s">
        <v>83</v>
      </c>
      <c r="F287" s="11"/>
      <c r="G287" s="11" t="s">
        <v>592</v>
      </c>
      <c r="H287" s="3"/>
      <c r="I287" s="11" t="s">
        <v>75</v>
      </c>
      <c r="J287" s="11"/>
      <c r="K287" s="11"/>
      <c r="L287" s="11"/>
      <c r="M287" s="11"/>
      <c r="N287" s="2">
        <v>1.25</v>
      </c>
      <c r="O287" s="2"/>
      <c r="P287" s="2"/>
      <c r="Q287" s="2"/>
      <c r="R287" s="11"/>
      <c r="S287" s="11" t="s">
        <v>377</v>
      </c>
      <c r="T287" s="11" t="s">
        <v>85</v>
      </c>
      <c r="U287" s="11"/>
      <c r="V287" s="11"/>
      <c r="W287" s="11"/>
      <c r="X287" s="11"/>
      <c r="Y287" s="11"/>
      <c r="Z287" s="11"/>
      <c r="AA287" s="11"/>
      <c r="AB287" s="9"/>
      <c r="AC287" s="2"/>
      <c r="AD287" s="9"/>
      <c r="AE287" s="2"/>
      <c r="AF287" s="9"/>
      <c r="AG287" s="10"/>
      <c r="AH287" s="11"/>
      <c r="AI287" s="11" t="s">
        <v>86</v>
      </c>
      <c r="AJ287" s="11"/>
      <c r="AK287" s="2"/>
      <c r="AL287" s="11"/>
      <c r="AM287" s="11"/>
      <c r="AN287" s="11"/>
      <c r="AO287" s="2"/>
      <c r="AP287" s="3"/>
      <c r="AQ287" s="11"/>
      <c r="AR287" s="3"/>
      <c r="AS287" s="2"/>
      <c r="AT287" s="11"/>
      <c r="AU287" s="2"/>
      <c r="AV287" s="2"/>
      <c r="AW287" s="2"/>
      <c r="AX287" s="11"/>
      <c r="AY287" s="11"/>
      <c r="AZ287" s="9"/>
      <c r="BA287" s="2">
        <v>1875</v>
      </c>
      <c r="BB287" s="11"/>
      <c r="BC287" s="11"/>
      <c r="BD287" s="11"/>
      <c r="BE287" s="11"/>
      <c r="BF287" s="11"/>
      <c r="BG287" s="11"/>
      <c r="BH287" s="11"/>
      <c r="BI287" s="11"/>
      <c r="BJ287" s="11" t="s">
        <v>87</v>
      </c>
      <c r="BK287" s="10">
        <v>46303.805902777778</v>
      </c>
      <c r="BL287" s="11"/>
      <c r="BM287" s="11"/>
      <c r="BN287" s="10">
        <v>46303.625</v>
      </c>
      <c r="BO287" s="11"/>
      <c r="BP287" s="11"/>
      <c r="BQ287" s="11"/>
      <c r="BR287" s="11"/>
      <c r="BS287" s="11"/>
      <c r="BT287" s="11"/>
      <c r="BU287" s="11"/>
      <c r="BV287" s="2"/>
      <c r="BW287" s="11"/>
    </row>
    <row r="288" spans="1:75" ht="30" x14ac:dyDescent="0.25">
      <c r="A288" s="2">
        <v>6200286</v>
      </c>
      <c r="B288" s="10">
        <v>46303.805902777778</v>
      </c>
      <c r="C288" s="11" t="s">
        <v>82</v>
      </c>
      <c r="D288" s="11"/>
      <c r="E288" s="11" t="s">
        <v>88</v>
      </c>
      <c r="F288" s="11"/>
      <c r="G288" s="11" t="s">
        <v>89</v>
      </c>
      <c r="H288" s="3"/>
      <c r="I288" s="11" t="s">
        <v>90</v>
      </c>
      <c r="J288" s="11"/>
      <c r="K288" s="11"/>
      <c r="L288" s="11"/>
      <c r="M288" s="11"/>
      <c r="N288" s="2">
        <v>1.25</v>
      </c>
      <c r="O288" s="2"/>
      <c r="P288" s="2"/>
      <c r="Q288" s="2"/>
      <c r="R288" s="11"/>
      <c r="S288" s="11" t="s">
        <v>378</v>
      </c>
      <c r="T288" s="11" t="s">
        <v>85</v>
      </c>
      <c r="U288" s="11"/>
      <c r="V288" s="11"/>
      <c r="W288" s="11"/>
      <c r="X288" s="11"/>
      <c r="Y288" s="11"/>
      <c r="Z288" s="11"/>
      <c r="AA288" s="11"/>
      <c r="AB288" s="9"/>
      <c r="AC288" s="2"/>
      <c r="AD288" s="9"/>
      <c r="AE288" s="2"/>
      <c r="AF288" s="9"/>
      <c r="AG288" s="10"/>
      <c r="AH288" s="11"/>
      <c r="AI288" s="11" t="s">
        <v>86</v>
      </c>
      <c r="AJ288" s="11"/>
      <c r="AK288" s="2"/>
      <c r="AL288" s="11"/>
      <c r="AM288" s="11"/>
      <c r="AN288" s="11"/>
      <c r="AO288" s="2"/>
      <c r="AP288" s="3"/>
      <c r="AQ288" s="11"/>
      <c r="AR288" s="3"/>
      <c r="AS288" s="2"/>
      <c r="AT288" s="11"/>
      <c r="AU288" s="2"/>
      <c r="AV288" s="2"/>
      <c r="AW288" s="2"/>
      <c r="AX288" s="11"/>
      <c r="AY288" s="11"/>
      <c r="AZ288" s="9"/>
      <c r="BA288" s="2">
        <v>1875</v>
      </c>
      <c r="BB288" s="11"/>
      <c r="BC288" s="11"/>
      <c r="BD288" s="11"/>
      <c r="BE288" s="11"/>
      <c r="BF288" s="11"/>
      <c r="BG288" s="11"/>
      <c r="BH288" s="11"/>
      <c r="BI288" s="11"/>
      <c r="BJ288" s="11" t="s">
        <v>87</v>
      </c>
      <c r="BK288" s="10">
        <v>46303.805902777778</v>
      </c>
      <c r="BL288" s="11"/>
      <c r="BM288" s="11"/>
      <c r="BN288" s="10">
        <v>46303.625</v>
      </c>
      <c r="BO288" s="11"/>
      <c r="BP288" s="11"/>
      <c r="BQ288" s="11"/>
      <c r="BR288" s="11"/>
      <c r="BS288" s="11"/>
      <c r="BT288" s="11"/>
      <c r="BU288" s="11"/>
      <c r="BV288" s="2"/>
      <c r="BW288" s="11"/>
    </row>
    <row r="289" spans="1:75" ht="30" x14ac:dyDescent="0.25">
      <c r="A289" s="2">
        <v>6200287</v>
      </c>
      <c r="B289" s="10">
        <v>46303.805902777778</v>
      </c>
      <c r="C289" s="11" t="s">
        <v>82</v>
      </c>
      <c r="D289" s="11"/>
      <c r="E289" s="11" t="s">
        <v>92</v>
      </c>
      <c r="F289" s="11"/>
      <c r="G289" s="2">
        <v>470123456</v>
      </c>
      <c r="H289" s="3"/>
      <c r="I289" s="11" t="s">
        <v>75</v>
      </c>
      <c r="J289" s="11"/>
      <c r="K289" s="11"/>
      <c r="L289" s="11"/>
      <c r="M289" s="11"/>
      <c r="N289" s="2">
        <v>1.25</v>
      </c>
      <c r="O289" s="2"/>
      <c r="P289" s="2"/>
      <c r="Q289" s="2"/>
      <c r="R289" s="11"/>
      <c r="S289" s="11" t="s">
        <v>379</v>
      </c>
      <c r="T289" s="11" t="s">
        <v>85</v>
      </c>
      <c r="U289" s="11"/>
      <c r="V289" s="11"/>
      <c r="W289" s="11"/>
      <c r="X289" s="11"/>
      <c r="Y289" s="11"/>
      <c r="Z289" s="11"/>
      <c r="AA289" s="11"/>
      <c r="AB289" s="9"/>
      <c r="AC289" s="2"/>
      <c r="AD289" s="9"/>
      <c r="AE289" s="2"/>
      <c r="AF289" s="9"/>
      <c r="AG289" s="10"/>
      <c r="AH289" s="11"/>
      <c r="AI289" s="11" t="s">
        <v>86</v>
      </c>
      <c r="AJ289" s="11"/>
      <c r="AK289" s="2"/>
      <c r="AL289" s="11"/>
      <c r="AM289" s="11"/>
      <c r="AN289" s="11"/>
      <c r="AO289" s="2"/>
      <c r="AP289" s="3"/>
      <c r="AQ289" s="11"/>
      <c r="AR289" s="3"/>
      <c r="AS289" s="2"/>
      <c r="AT289" s="11"/>
      <c r="AU289" s="2"/>
      <c r="AV289" s="2"/>
      <c r="AW289" s="2"/>
      <c r="AX289" s="11"/>
      <c r="AY289" s="11"/>
      <c r="AZ289" s="9"/>
      <c r="BA289" s="2">
        <v>1875</v>
      </c>
      <c r="BB289" s="11"/>
      <c r="BC289" s="11"/>
      <c r="BD289" s="11"/>
      <c r="BE289" s="11"/>
      <c r="BF289" s="11"/>
      <c r="BG289" s="11"/>
      <c r="BH289" s="11"/>
      <c r="BI289" s="11"/>
      <c r="BJ289" s="11" t="s">
        <v>87</v>
      </c>
      <c r="BK289" s="10">
        <v>46303.805902777778</v>
      </c>
      <c r="BL289" s="11"/>
      <c r="BM289" s="11"/>
      <c r="BN289" s="10">
        <v>46303.625</v>
      </c>
      <c r="BO289" s="11"/>
      <c r="BP289" s="11"/>
      <c r="BQ289" s="11"/>
      <c r="BR289" s="11"/>
      <c r="BS289" s="11"/>
      <c r="BT289" s="11"/>
      <c r="BU289" s="11"/>
      <c r="BV289" s="2"/>
      <c r="BW289" s="11"/>
    </row>
    <row r="290" spans="1:75" ht="30" x14ac:dyDescent="0.25">
      <c r="A290" s="2">
        <v>6200288</v>
      </c>
      <c r="B290" s="10">
        <v>46303.805902777778</v>
      </c>
      <c r="C290" s="11" t="s">
        <v>82</v>
      </c>
      <c r="D290" s="11"/>
      <c r="E290" s="11" t="s">
        <v>83</v>
      </c>
      <c r="F290" s="11"/>
      <c r="G290" s="11" t="s">
        <v>94</v>
      </c>
      <c r="H290" s="3"/>
      <c r="I290" s="11" t="s">
        <v>90</v>
      </c>
      <c r="J290" s="11"/>
      <c r="K290" s="11"/>
      <c r="L290" s="11"/>
      <c r="M290" s="11"/>
      <c r="N290" s="2">
        <v>1.25</v>
      </c>
      <c r="O290" s="2"/>
      <c r="P290" s="2"/>
      <c r="Q290" s="2"/>
      <c r="R290" s="11"/>
      <c r="S290" s="11" t="s">
        <v>380</v>
      </c>
      <c r="T290" s="11" t="s">
        <v>85</v>
      </c>
      <c r="U290" s="11"/>
      <c r="V290" s="11"/>
      <c r="W290" s="11"/>
      <c r="X290" s="11"/>
      <c r="Y290" s="11"/>
      <c r="Z290" s="11"/>
      <c r="AA290" s="11"/>
      <c r="AB290" s="9"/>
      <c r="AC290" s="2"/>
      <c r="AD290" s="9"/>
      <c r="AE290" s="2"/>
      <c r="AF290" s="9"/>
      <c r="AG290" s="10"/>
      <c r="AH290" s="11"/>
      <c r="AI290" s="11" t="s">
        <v>86</v>
      </c>
      <c r="AJ290" s="11"/>
      <c r="AK290" s="2"/>
      <c r="AL290" s="11"/>
      <c r="AM290" s="11"/>
      <c r="AN290" s="11"/>
      <c r="AO290" s="2"/>
      <c r="AP290" s="3"/>
      <c r="AQ290" s="11"/>
      <c r="AR290" s="3"/>
      <c r="AS290" s="2"/>
      <c r="AT290" s="11"/>
      <c r="AU290" s="2"/>
      <c r="AV290" s="2"/>
      <c r="AW290" s="2"/>
      <c r="AX290" s="11"/>
      <c r="AY290" s="11"/>
      <c r="AZ290" s="9"/>
      <c r="BA290" s="2">
        <v>1875</v>
      </c>
      <c r="BB290" s="11"/>
      <c r="BC290" s="11"/>
      <c r="BD290" s="11"/>
      <c r="BE290" s="11"/>
      <c r="BF290" s="11"/>
      <c r="BG290" s="11"/>
      <c r="BH290" s="11"/>
      <c r="BI290" s="11"/>
      <c r="BJ290" s="11" t="s">
        <v>87</v>
      </c>
      <c r="BK290" s="10">
        <v>46303.805902777778</v>
      </c>
      <c r="BL290" s="11"/>
      <c r="BM290" s="11"/>
      <c r="BN290" s="10">
        <v>46303.625</v>
      </c>
      <c r="BO290" s="11"/>
      <c r="BP290" s="11"/>
      <c r="BQ290" s="11"/>
      <c r="BR290" s="11"/>
      <c r="BS290" s="11"/>
      <c r="BT290" s="11"/>
      <c r="BU290" s="11"/>
      <c r="BV290" s="2"/>
      <c r="BW290" s="11"/>
    </row>
    <row r="291" spans="1:75" ht="30" x14ac:dyDescent="0.25">
      <c r="A291" s="2">
        <v>6200289</v>
      </c>
      <c r="B291" s="10">
        <v>46303.805902777778</v>
      </c>
      <c r="C291" s="11" t="s">
        <v>82</v>
      </c>
      <c r="D291" s="11"/>
      <c r="E291" s="11" t="s">
        <v>88</v>
      </c>
      <c r="F291" s="11"/>
      <c r="G291" s="11" t="s">
        <v>593</v>
      </c>
      <c r="H291" s="3"/>
      <c r="I291" s="11" t="s">
        <v>75</v>
      </c>
      <c r="J291" s="11"/>
      <c r="K291" s="11"/>
      <c r="L291" s="11"/>
      <c r="M291" s="11"/>
      <c r="N291" s="2">
        <v>1.25</v>
      </c>
      <c r="O291" s="2"/>
      <c r="P291" s="2"/>
      <c r="Q291" s="2"/>
      <c r="R291" s="11"/>
      <c r="S291" s="11" t="s">
        <v>381</v>
      </c>
      <c r="T291" s="11" t="s">
        <v>85</v>
      </c>
      <c r="U291" s="11"/>
      <c r="V291" s="11"/>
      <c r="W291" s="11"/>
      <c r="X291" s="11"/>
      <c r="Y291" s="11"/>
      <c r="Z291" s="11"/>
      <c r="AA291" s="11"/>
      <c r="AB291" s="9"/>
      <c r="AC291" s="2"/>
      <c r="AD291" s="9"/>
      <c r="AE291" s="2"/>
      <c r="AF291" s="9"/>
      <c r="AG291" s="10"/>
      <c r="AH291" s="11"/>
      <c r="AI291" s="11" t="s">
        <v>86</v>
      </c>
      <c r="AJ291" s="11"/>
      <c r="AK291" s="2"/>
      <c r="AL291" s="11"/>
      <c r="AM291" s="11"/>
      <c r="AN291" s="11"/>
      <c r="AO291" s="2"/>
      <c r="AP291" s="3"/>
      <c r="AQ291" s="11"/>
      <c r="AR291" s="3"/>
      <c r="AS291" s="2"/>
      <c r="AT291" s="11"/>
      <c r="AU291" s="2"/>
      <c r="AV291" s="2"/>
      <c r="AW291" s="2"/>
      <c r="AX291" s="11"/>
      <c r="AY291" s="11"/>
      <c r="AZ291" s="9"/>
      <c r="BA291" s="2">
        <v>1875</v>
      </c>
      <c r="BB291" s="11"/>
      <c r="BC291" s="11"/>
      <c r="BD291" s="11"/>
      <c r="BE291" s="11"/>
      <c r="BF291" s="11"/>
      <c r="BG291" s="11"/>
      <c r="BH291" s="11"/>
      <c r="BI291" s="11"/>
      <c r="BJ291" s="11" t="s">
        <v>87</v>
      </c>
      <c r="BK291" s="10">
        <v>46303.805902777778</v>
      </c>
      <c r="BL291" s="11"/>
      <c r="BM291" s="11"/>
      <c r="BN291" s="10">
        <v>46303.625</v>
      </c>
      <c r="BO291" s="11"/>
      <c r="BP291" s="11"/>
      <c r="BQ291" s="11"/>
      <c r="BR291" s="11"/>
      <c r="BS291" s="11"/>
      <c r="BT291" s="11"/>
      <c r="BU291" s="11"/>
      <c r="BV291" s="2"/>
      <c r="BW291" s="11"/>
    </row>
    <row r="292" spans="1:75" ht="30" x14ac:dyDescent="0.25">
      <c r="A292" s="2">
        <v>6200290</v>
      </c>
      <c r="B292" s="10">
        <v>46303.805902777778</v>
      </c>
      <c r="C292" s="11" t="s">
        <v>82</v>
      </c>
      <c r="D292" s="11"/>
      <c r="E292" s="11" t="s">
        <v>92</v>
      </c>
      <c r="F292" s="11"/>
      <c r="G292" s="11" t="s">
        <v>592</v>
      </c>
      <c r="H292" s="3"/>
      <c r="I292" s="11" t="s">
        <v>75</v>
      </c>
      <c r="J292" s="11"/>
      <c r="K292" s="11"/>
      <c r="L292" s="11"/>
      <c r="M292" s="11"/>
      <c r="N292" s="2">
        <v>1.25</v>
      </c>
      <c r="O292" s="2"/>
      <c r="P292" s="2"/>
      <c r="Q292" s="2"/>
      <c r="R292" s="11"/>
      <c r="S292" s="11" t="s">
        <v>382</v>
      </c>
      <c r="T292" s="11" t="s">
        <v>85</v>
      </c>
      <c r="U292" s="11"/>
      <c r="V292" s="11"/>
      <c r="W292" s="11"/>
      <c r="X292" s="11"/>
      <c r="Y292" s="11"/>
      <c r="Z292" s="11"/>
      <c r="AA292" s="11"/>
      <c r="AB292" s="9"/>
      <c r="AC292" s="2"/>
      <c r="AD292" s="9"/>
      <c r="AE292" s="2"/>
      <c r="AF292" s="9"/>
      <c r="AG292" s="10"/>
      <c r="AH292" s="11"/>
      <c r="AI292" s="11" t="s">
        <v>86</v>
      </c>
      <c r="AJ292" s="11"/>
      <c r="AK292" s="2"/>
      <c r="AL292" s="11"/>
      <c r="AM292" s="11"/>
      <c r="AN292" s="11"/>
      <c r="AO292" s="2"/>
      <c r="AP292" s="3"/>
      <c r="AQ292" s="11"/>
      <c r="AR292" s="3"/>
      <c r="AS292" s="2"/>
      <c r="AT292" s="11"/>
      <c r="AU292" s="2"/>
      <c r="AV292" s="2"/>
      <c r="AW292" s="2"/>
      <c r="AX292" s="11"/>
      <c r="AY292" s="11"/>
      <c r="AZ292" s="9"/>
      <c r="BA292" s="2">
        <v>1875</v>
      </c>
      <c r="BB292" s="11"/>
      <c r="BC292" s="11"/>
      <c r="BD292" s="11"/>
      <c r="BE292" s="11"/>
      <c r="BF292" s="11"/>
      <c r="BG292" s="11"/>
      <c r="BH292" s="11"/>
      <c r="BI292" s="11"/>
      <c r="BJ292" s="11" t="s">
        <v>87</v>
      </c>
      <c r="BK292" s="10">
        <v>46303.805902777778</v>
      </c>
      <c r="BL292" s="11"/>
      <c r="BM292" s="11"/>
      <c r="BN292" s="10">
        <v>46303.625</v>
      </c>
      <c r="BO292" s="11"/>
      <c r="BP292" s="11"/>
      <c r="BQ292" s="11"/>
      <c r="BR292" s="11"/>
      <c r="BS292" s="11"/>
      <c r="BT292" s="11"/>
      <c r="BU292" s="11"/>
      <c r="BV292" s="2"/>
      <c r="BW292" s="11"/>
    </row>
    <row r="293" spans="1:75" ht="30" x14ac:dyDescent="0.25">
      <c r="A293" s="2">
        <v>6200291</v>
      </c>
      <c r="B293" s="10">
        <v>46303.805902777778</v>
      </c>
      <c r="C293" s="11" t="s">
        <v>82</v>
      </c>
      <c r="D293" s="11"/>
      <c r="E293" s="11" t="s">
        <v>83</v>
      </c>
      <c r="F293" s="11"/>
      <c r="G293" s="11" t="s">
        <v>89</v>
      </c>
      <c r="H293" s="3"/>
      <c r="I293" s="11" t="s">
        <v>90</v>
      </c>
      <c r="J293" s="11"/>
      <c r="K293" s="11"/>
      <c r="L293" s="11"/>
      <c r="M293" s="11"/>
      <c r="N293" s="2">
        <v>1.25</v>
      </c>
      <c r="O293" s="2"/>
      <c r="P293" s="2"/>
      <c r="Q293" s="2"/>
      <c r="R293" s="11"/>
      <c r="S293" s="11" t="s">
        <v>383</v>
      </c>
      <c r="T293" s="11" t="s">
        <v>85</v>
      </c>
      <c r="U293" s="11"/>
      <c r="V293" s="11"/>
      <c r="W293" s="11"/>
      <c r="X293" s="11"/>
      <c r="Y293" s="11"/>
      <c r="Z293" s="11"/>
      <c r="AA293" s="11"/>
      <c r="AB293" s="9"/>
      <c r="AC293" s="2"/>
      <c r="AD293" s="9"/>
      <c r="AE293" s="2"/>
      <c r="AF293" s="9"/>
      <c r="AG293" s="10"/>
      <c r="AH293" s="11"/>
      <c r="AI293" s="11" t="s">
        <v>86</v>
      </c>
      <c r="AJ293" s="11"/>
      <c r="AK293" s="2"/>
      <c r="AL293" s="11"/>
      <c r="AM293" s="11"/>
      <c r="AN293" s="11"/>
      <c r="AO293" s="2"/>
      <c r="AP293" s="3"/>
      <c r="AQ293" s="11"/>
      <c r="AR293" s="3"/>
      <c r="AS293" s="2"/>
      <c r="AT293" s="11"/>
      <c r="AU293" s="2"/>
      <c r="AV293" s="2"/>
      <c r="AW293" s="2"/>
      <c r="AX293" s="11"/>
      <c r="AY293" s="11"/>
      <c r="AZ293" s="9"/>
      <c r="BA293" s="2">
        <v>1875</v>
      </c>
      <c r="BB293" s="11"/>
      <c r="BC293" s="11"/>
      <c r="BD293" s="11"/>
      <c r="BE293" s="11"/>
      <c r="BF293" s="11"/>
      <c r="BG293" s="11"/>
      <c r="BH293" s="11"/>
      <c r="BI293" s="11"/>
      <c r="BJ293" s="11" t="s">
        <v>87</v>
      </c>
      <c r="BK293" s="10">
        <v>46303.805902777778</v>
      </c>
      <c r="BL293" s="11"/>
      <c r="BM293" s="11"/>
      <c r="BN293" s="10">
        <v>46303.625</v>
      </c>
      <c r="BO293" s="11"/>
      <c r="BP293" s="11"/>
      <c r="BQ293" s="11"/>
      <c r="BR293" s="11"/>
      <c r="BS293" s="11"/>
      <c r="BT293" s="11"/>
      <c r="BU293" s="11"/>
      <c r="BV293" s="2"/>
      <c r="BW293" s="11"/>
    </row>
    <row r="294" spans="1:75" ht="30" x14ac:dyDescent="0.25">
      <c r="A294" s="2">
        <v>6200292</v>
      </c>
      <c r="B294" s="10">
        <v>46303.805902777778</v>
      </c>
      <c r="C294" s="11" t="s">
        <v>82</v>
      </c>
      <c r="D294" s="11"/>
      <c r="E294" s="11" t="s">
        <v>88</v>
      </c>
      <c r="F294" s="11"/>
      <c r="G294" s="2">
        <v>470123456</v>
      </c>
      <c r="H294" s="3"/>
      <c r="I294" s="11" t="s">
        <v>75</v>
      </c>
      <c r="J294" s="11"/>
      <c r="K294" s="11"/>
      <c r="L294" s="11"/>
      <c r="M294" s="11"/>
      <c r="N294" s="2">
        <v>1.25</v>
      </c>
      <c r="O294" s="2"/>
      <c r="P294" s="2"/>
      <c r="Q294" s="2"/>
      <c r="R294" s="11"/>
      <c r="S294" s="11" t="s">
        <v>384</v>
      </c>
      <c r="T294" s="11" t="s">
        <v>85</v>
      </c>
      <c r="U294" s="11"/>
      <c r="V294" s="11"/>
      <c r="W294" s="11"/>
      <c r="X294" s="11"/>
      <c r="Y294" s="11"/>
      <c r="Z294" s="11"/>
      <c r="AA294" s="11"/>
      <c r="AB294" s="9"/>
      <c r="AC294" s="2"/>
      <c r="AD294" s="9"/>
      <c r="AE294" s="2"/>
      <c r="AF294" s="9"/>
      <c r="AG294" s="10"/>
      <c r="AH294" s="11"/>
      <c r="AI294" s="11" t="s">
        <v>86</v>
      </c>
      <c r="AJ294" s="11"/>
      <c r="AK294" s="2"/>
      <c r="AL294" s="11"/>
      <c r="AM294" s="11"/>
      <c r="AN294" s="11"/>
      <c r="AO294" s="2"/>
      <c r="AP294" s="3"/>
      <c r="AQ294" s="11"/>
      <c r="AR294" s="3"/>
      <c r="AS294" s="2"/>
      <c r="AT294" s="11"/>
      <c r="AU294" s="2"/>
      <c r="AV294" s="2"/>
      <c r="AW294" s="2"/>
      <c r="AX294" s="11"/>
      <c r="AY294" s="11"/>
      <c r="AZ294" s="9"/>
      <c r="BA294" s="2">
        <v>1875</v>
      </c>
      <c r="BB294" s="11"/>
      <c r="BC294" s="11"/>
      <c r="BD294" s="11"/>
      <c r="BE294" s="11"/>
      <c r="BF294" s="11"/>
      <c r="BG294" s="11"/>
      <c r="BH294" s="11"/>
      <c r="BI294" s="11"/>
      <c r="BJ294" s="11" t="s">
        <v>87</v>
      </c>
      <c r="BK294" s="10">
        <v>46303.805902777778</v>
      </c>
      <c r="BL294" s="11"/>
      <c r="BM294" s="11"/>
      <c r="BN294" s="10">
        <v>46303.625</v>
      </c>
      <c r="BO294" s="11"/>
      <c r="BP294" s="11"/>
      <c r="BQ294" s="11"/>
      <c r="BR294" s="11"/>
      <c r="BS294" s="11"/>
      <c r="BT294" s="11"/>
      <c r="BU294" s="11"/>
      <c r="BV294" s="2"/>
      <c r="BW294" s="11"/>
    </row>
    <row r="295" spans="1:75" ht="30" x14ac:dyDescent="0.25">
      <c r="A295" s="2">
        <v>6200293</v>
      </c>
      <c r="B295" s="10">
        <v>46303.805902777778</v>
      </c>
      <c r="C295" s="11" t="s">
        <v>82</v>
      </c>
      <c r="D295" s="11"/>
      <c r="E295" s="11" t="s">
        <v>92</v>
      </c>
      <c r="F295" s="11"/>
      <c r="G295" s="11" t="s">
        <v>94</v>
      </c>
      <c r="H295" s="3"/>
      <c r="I295" s="11" t="s">
        <v>90</v>
      </c>
      <c r="J295" s="11"/>
      <c r="K295" s="11"/>
      <c r="L295" s="11"/>
      <c r="M295" s="11"/>
      <c r="N295" s="2">
        <v>1.25</v>
      </c>
      <c r="O295" s="2"/>
      <c r="P295" s="2"/>
      <c r="Q295" s="2"/>
      <c r="R295" s="11"/>
      <c r="S295" s="11" t="s">
        <v>385</v>
      </c>
      <c r="T295" s="11" t="s">
        <v>85</v>
      </c>
      <c r="U295" s="11"/>
      <c r="V295" s="11"/>
      <c r="W295" s="11"/>
      <c r="X295" s="11"/>
      <c r="Y295" s="11"/>
      <c r="Z295" s="11"/>
      <c r="AA295" s="11"/>
      <c r="AB295" s="9"/>
      <c r="AC295" s="2"/>
      <c r="AD295" s="9"/>
      <c r="AE295" s="2"/>
      <c r="AF295" s="9"/>
      <c r="AG295" s="10"/>
      <c r="AH295" s="11"/>
      <c r="AI295" s="11" t="s">
        <v>86</v>
      </c>
      <c r="AJ295" s="11"/>
      <c r="AK295" s="2"/>
      <c r="AL295" s="11"/>
      <c r="AM295" s="11"/>
      <c r="AN295" s="11"/>
      <c r="AO295" s="2"/>
      <c r="AP295" s="3"/>
      <c r="AQ295" s="11"/>
      <c r="AR295" s="3"/>
      <c r="AS295" s="2"/>
      <c r="AT295" s="11"/>
      <c r="AU295" s="2"/>
      <c r="AV295" s="2"/>
      <c r="AW295" s="2"/>
      <c r="AX295" s="11"/>
      <c r="AY295" s="11"/>
      <c r="AZ295" s="9"/>
      <c r="BA295" s="2">
        <v>1875</v>
      </c>
      <c r="BB295" s="11"/>
      <c r="BC295" s="11"/>
      <c r="BD295" s="11"/>
      <c r="BE295" s="11"/>
      <c r="BF295" s="11"/>
      <c r="BG295" s="11"/>
      <c r="BH295" s="11"/>
      <c r="BI295" s="11"/>
      <c r="BJ295" s="11" t="s">
        <v>87</v>
      </c>
      <c r="BK295" s="10">
        <v>46303.805902777778</v>
      </c>
      <c r="BL295" s="11"/>
      <c r="BM295" s="11"/>
      <c r="BN295" s="10">
        <v>46303.625</v>
      </c>
      <c r="BO295" s="11"/>
      <c r="BP295" s="11"/>
      <c r="BQ295" s="11"/>
      <c r="BR295" s="11"/>
      <c r="BS295" s="11"/>
      <c r="BT295" s="11"/>
      <c r="BU295" s="11"/>
      <c r="BV295" s="2"/>
      <c r="BW295" s="11"/>
    </row>
    <row r="296" spans="1:75" ht="30" x14ac:dyDescent="0.25">
      <c r="A296" s="2">
        <v>6200294</v>
      </c>
      <c r="B296" s="10">
        <v>46303.805902777778</v>
      </c>
      <c r="C296" s="11" t="s">
        <v>82</v>
      </c>
      <c r="D296" s="11"/>
      <c r="E296" s="11" t="s">
        <v>83</v>
      </c>
      <c r="F296" s="11"/>
      <c r="G296" s="11" t="s">
        <v>593</v>
      </c>
      <c r="H296" s="3"/>
      <c r="I296" s="11" t="s">
        <v>75</v>
      </c>
      <c r="J296" s="11"/>
      <c r="K296" s="11"/>
      <c r="L296" s="11"/>
      <c r="M296" s="11"/>
      <c r="N296" s="2">
        <v>1.25</v>
      </c>
      <c r="O296" s="2"/>
      <c r="P296" s="2"/>
      <c r="Q296" s="2"/>
      <c r="R296" s="11"/>
      <c r="S296" s="11" t="s">
        <v>386</v>
      </c>
      <c r="T296" s="11" t="s">
        <v>85</v>
      </c>
      <c r="U296" s="11"/>
      <c r="V296" s="11"/>
      <c r="W296" s="11"/>
      <c r="X296" s="11"/>
      <c r="Y296" s="11"/>
      <c r="Z296" s="11"/>
      <c r="AA296" s="11"/>
      <c r="AB296" s="9"/>
      <c r="AC296" s="2"/>
      <c r="AD296" s="9"/>
      <c r="AE296" s="2"/>
      <c r="AF296" s="9"/>
      <c r="AG296" s="10"/>
      <c r="AH296" s="11"/>
      <c r="AI296" s="11" t="s">
        <v>86</v>
      </c>
      <c r="AJ296" s="11"/>
      <c r="AK296" s="2"/>
      <c r="AL296" s="11"/>
      <c r="AM296" s="11"/>
      <c r="AN296" s="11"/>
      <c r="AO296" s="2"/>
      <c r="AP296" s="3"/>
      <c r="AQ296" s="11"/>
      <c r="AR296" s="3"/>
      <c r="AS296" s="2"/>
      <c r="AT296" s="11"/>
      <c r="AU296" s="2"/>
      <c r="AV296" s="2"/>
      <c r="AW296" s="2"/>
      <c r="AX296" s="11"/>
      <c r="AY296" s="11"/>
      <c r="AZ296" s="9"/>
      <c r="BA296" s="2">
        <v>1875</v>
      </c>
      <c r="BB296" s="11"/>
      <c r="BC296" s="11"/>
      <c r="BD296" s="11"/>
      <c r="BE296" s="11"/>
      <c r="BF296" s="11"/>
      <c r="BG296" s="11"/>
      <c r="BH296" s="11"/>
      <c r="BI296" s="11"/>
      <c r="BJ296" s="11" t="s">
        <v>87</v>
      </c>
      <c r="BK296" s="10">
        <v>46303.805902777778</v>
      </c>
      <c r="BL296" s="11"/>
      <c r="BM296" s="11"/>
      <c r="BN296" s="10">
        <v>46303.625</v>
      </c>
      <c r="BO296" s="11"/>
      <c r="BP296" s="11"/>
      <c r="BQ296" s="11"/>
      <c r="BR296" s="11"/>
      <c r="BS296" s="11"/>
      <c r="BT296" s="11"/>
      <c r="BU296" s="11"/>
      <c r="BV296" s="2"/>
      <c r="BW296" s="11"/>
    </row>
    <row r="297" spans="1:75" ht="30" x14ac:dyDescent="0.25">
      <c r="A297" s="2">
        <v>6200295</v>
      </c>
      <c r="B297" s="10">
        <v>46303.805902777778</v>
      </c>
      <c r="C297" s="11" t="s">
        <v>82</v>
      </c>
      <c r="D297" s="11"/>
      <c r="E297" s="11" t="s">
        <v>88</v>
      </c>
      <c r="F297" s="11"/>
      <c r="G297" s="11" t="s">
        <v>592</v>
      </c>
      <c r="H297" s="3"/>
      <c r="I297" s="11" t="s">
        <v>75</v>
      </c>
      <c r="J297" s="11"/>
      <c r="K297" s="11"/>
      <c r="L297" s="11"/>
      <c r="M297" s="11"/>
      <c r="N297" s="2">
        <v>1.25</v>
      </c>
      <c r="O297" s="2"/>
      <c r="P297" s="2"/>
      <c r="Q297" s="2"/>
      <c r="R297" s="11"/>
      <c r="S297" s="11" t="s">
        <v>387</v>
      </c>
      <c r="T297" s="11" t="s">
        <v>85</v>
      </c>
      <c r="U297" s="11"/>
      <c r="V297" s="11"/>
      <c r="W297" s="11"/>
      <c r="X297" s="11"/>
      <c r="Y297" s="11"/>
      <c r="Z297" s="11"/>
      <c r="AA297" s="11"/>
      <c r="AB297" s="9"/>
      <c r="AC297" s="2"/>
      <c r="AD297" s="9"/>
      <c r="AE297" s="2"/>
      <c r="AF297" s="9"/>
      <c r="AG297" s="10"/>
      <c r="AH297" s="11"/>
      <c r="AI297" s="11" t="s">
        <v>86</v>
      </c>
      <c r="AJ297" s="11"/>
      <c r="AK297" s="2"/>
      <c r="AL297" s="11"/>
      <c r="AM297" s="11"/>
      <c r="AN297" s="11"/>
      <c r="AO297" s="2"/>
      <c r="AP297" s="3"/>
      <c r="AQ297" s="11"/>
      <c r="AR297" s="3"/>
      <c r="AS297" s="2"/>
      <c r="AT297" s="11"/>
      <c r="AU297" s="2"/>
      <c r="AV297" s="2"/>
      <c r="AW297" s="2"/>
      <c r="AX297" s="11"/>
      <c r="AY297" s="11"/>
      <c r="AZ297" s="9"/>
      <c r="BA297" s="2">
        <v>1875</v>
      </c>
      <c r="BB297" s="11"/>
      <c r="BC297" s="11"/>
      <c r="BD297" s="11"/>
      <c r="BE297" s="11"/>
      <c r="BF297" s="11"/>
      <c r="BG297" s="11"/>
      <c r="BH297" s="11"/>
      <c r="BI297" s="11"/>
      <c r="BJ297" s="11" t="s">
        <v>87</v>
      </c>
      <c r="BK297" s="10">
        <v>46303.805902777778</v>
      </c>
      <c r="BL297" s="11"/>
      <c r="BM297" s="11"/>
      <c r="BN297" s="10">
        <v>46303.625</v>
      </c>
      <c r="BO297" s="11"/>
      <c r="BP297" s="11"/>
      <c r="BQ297" s="11"/>
      <c r="BR297" s="11"/>
      <c r="BS297" s="11"/>
      <c r="BT297" s="11"/>
      <c r="BU297" s="11"/>
      <c r="BV297" s="2"/>
      <c r="BW297" s="11"/>
    </row>
    <row r="298" spans="1:75" ht="30" x14ac:dyDescent="0.25">
      <c r="A298" s="2">
        <v>6200296</v>
      </c>
      <c r="B298" s="10">
        <v>46303.805902777778</v>
      </c>
      <c r="C298" s="11" t="s">
        <v>82</v>
      </c>
      <c r="D298" s="11"/>
      <c r="E298" s="11" t="s">
        <v>92</v>
      </c>
      <c r="F298" s="11"/>
      <c r="G298" s="11" t="s">
        <v>89</v>
      </c>
      <c r="H298" s="3"/>
      <c r="I298" s="11" t="s">
        <v>90</v>
      </c>
      <c r="J298" s="11"/>
      <c r="K298" s="11"/>
      <c r="L298" s="11"/>
      <c r="M298" s="11"/>
      <c r="N298" s="2">
        <v>1.25</v>
      </c>
      <c r="O298" s="2"/>
      <c r="P298" s="2"/>
      <c r="Q298" s="2"/>
      <c r="R298" s="11"/>
      <c r="S298" s="11" t="s">
        <v>388</v>
      </c>
      <c r="T298" s="11" t="s">
        <v>85</v>
      </c>
      <c r="U298" s="11"/>
      <c r="V298" s="11"/>
      <c r="W298" s="11"/>
      <c r="X298" s="11"/>
      <c r="Y298" s="11"/>
      <c r="Z298" s="11"/>
      <c r="AA298" s="11"/>
      <c r="AB298" s="9"/>
      <c r="AC298" s="2"/>
      <c r="AD298" s="9"/>
      <c r="AE298" s="2"/>
      <c r="AF298" s="9"/>
      <c r="AG298" s="10"/>
      <c r="AH298" s="11"/>
      <c r="AI298" s="11" t="s">
        <v>86</v>
      </c>
      <c r="AJ298" s="11"/>
      <c r="AK298" s="2"/>
      <c r="AL298" s="11"/>
      <c r="AM298" s="11"/>
      <c r="AN298" s="11"/>
      <c r="AO298" s="2"/>
      <c r="AP298" s="3"/>
      <c r="AQ298" s="11"/>
      <c r="AR298" s="3"/>
      <c r="AS298" s="2"/>
      <c r="AT298" s="11"/>
      <c r="AU298" s="2"/>
      <c r="AV298" s="2"/>
      <c r="AW298" s="2"/>
      <c r="AX298" s="11"/>
      <c r="AY298" s="11"/>
      <c r="AZ298" s="9"/>
      <c r="BA298" s="2">
        <v>1875</v>
      </c>
      <c r="BB298" s="11"/>
      <c r="BC298" s="11"/>
      <c r="BD298" s="11"/>
      <c r="BE298" s="11"/>
      <c r="BF298" s="11"/>
      <c r="BG298" s="11"/>
      <c r="BH298" s="11"/>
      <c r="BI298" s="11"/>
      <c r="BJ298" s="11" t="s">
        <v>87</v>
      </c>
      <c r="BK298" s="10">
        <v>46303.805902777778</v>
      </c>
      <c r="BL298" s="11"/>
      <c r="BM298" s="11"/>
      <c r="BN298" s="10">
        <v>46303.625</v>
      </c>
      <c r="BO298" s="11"/>
      <c r="BP298" s="11"/>
      <c r="BQ298" s="11"/>
      <c r="BR298" s="11"/>
      <c r="BS298" s="11"/>
      <c r="BT298" s="11"/>
      <c r="BU298" s="11"/>
      <c r="BV298" s="2"/>
      <c r="BW298" s="11"/>
    </row>
    <row r="299" spans="1:75" ht="30" x14ac:dyDescent="0.25">
      <c r="A299" s="2">
        <v>6200297</v>
      </c>
      <c r="B299" s="10">
        <v>46303.805902777778</v>
      </c>
      <c r="C299" s="11" t="s">
        <v>82</v>
      </c>
      <c r="D299" s="11"/>
      <c r="E299" s="11" t="s">
        <v>83</v>
      </c>
      <c r="F299" s="11"/>
      <c r="G299" s="2">
        <v>470123456</v>
      </c>
      <c r="H299" s="3"/>
      <c r="I299" s="11" t="s">
        <v>75</v>
      </c>
      <c r="J299" s="11"/>
      <c r="K299" s="11"/>
      <c r="L299" s="11"/>
      <c r="M299" s="11"/>
      <c r="N299" s="2">
        <v>1.25</v>
      </c>
      <c r="O299" s="2"/>
      <c r="P299" s="2"/>
      <c r="Q299" s="2"/>
      <c r="R299" s="11"/>
      <c r="S299" s="11" t="s">
        <v>389</v>
      </c>
      <c r="T299" s="11" t="s">
        <v>85</v>
      </c>
      <c r="U299" s="11"/>
      <c r="V299" s="11"/>
      <c r="W299" s="11"/>
      <c r="X299" s="11"/>
      <c r="Y299" s="11"/>
      <c r="Z299" s="11"/>
      <c r="AA299" s="11"/>
      <c r="AB299" s="9"/>
      <c r="AC299" s="2"/>
      <c r="AD299" s="9"/>
      <c r="AE299" s="2"/>
      <c r="AF299" s="9"/>
      <c r="AG299" s="10"/>
      <c r="AH299" s="11"/>
      <c r="AI299" s="11" t="s">
        <v>86</v>
      </c>
      <c r="AJ299" s="11"/>
      <c r="AK299" s="2"/>
      <c r="AL299" s="11"/>
      <c r="AM299" s="11"/>
      <c r="AN299" s="11"/>
      <c r="AO299" s="2"/>
      <c r="AP299" s="3"/>
      <c r="AQ299" s="11"/>
      <c r="AR299" s="3"/>
      <c r="AS299" s="2"/>
      <c r="AT299" s="11"/>
      <c r="AU299" s="2"/>
      <c r="AV299" s="2"/>
      <c r="AW299" s="2"/>
      <c r="AX299" s="11"/>
      <c r="AY299" s="11"/>
      <c r="AZ299" s="9"/>
      <c r="BA299" s="2">
        <v>1875</v>
      </c>
      <c r="BB299" s="11"/>
      <c r="BC299" s="11"/>
      <c r="BD299" s="11"/>
      <c r="BE299" s="11"/>
      <c r="BF299" s="11"/>
      <c r="BG299" s="11"/>
      <c r="BH299" s="11"/>
      <c r="BI299" s="11"/>
      <c r="BJ299" s="11" t="s">
        <v>87</v>
      </c>
      <c r="BK299" s="10">
        <v>46303.805902777778</v>
      </c>
      <c r="BL299" s="11"/>
      <c r="BM299" s="11"/>
      <c r="BN299" s="10">
        <v>46303.625</v>
      </c>
      <c r="BO299" s="11"/>
      <c r="BP299" s="11"/>
      <c r="BQ299" s="11"/>
      <c r="BR299" s="11"/>
      <c r="BS299" s="11"/>
      <c r="BT299" s="11"/>
      <c r="BU299" s="11"/>
      <c r="BV299" s="2"/>
      <c r="BW299" s="11"/>
    </row>
    <row r="300" spans="1:75" ht="30" x14ac:dyDescent="0.25">
      <c r="A300" s="2">
        <v>6200298</v>
      </c>
      <c r="B300" s="10">
        <v>46303.805902777778</v>
      </c>
      <c r="C300" s="11" t="s">
        <v>82</v>
      </c>
      <c r="D300" s="11"/>
      <c r="E300" s="11" t="s">
        <v>88</v>
      </c>
      <c r="F300" s="11"/>
      <c r="G300" s="11" t="s">
        <v>94</v>
      </c>
      <c r="H300" s="3"/>
      <c r="I300" s="11" t="s">
        <v>90</v>
      </c>
      <c r="J300" s="11"/>
      <c r="K300" s="11"/>
      <c r="L300" s="11"/>
      <c r="M300" s="11"/>
      <c r="N300" s="2">
        <v>1.25</v>
      </c>
      <c r="O300" s="2"/>
      <c r="P300" s="2"/>
      <c r="Q300" s="2"/>
      <c r="R300" s="11"/>
      <c r="S300" s="11" t="s">
        <v>390</v>
      </c>
      <c r="T300" s="11" t="s">
        <v>85</v>
      </c>
      <c r="U300" s="11"/>
      <c r="V300" s="11"/>
      <c r="W300" s="11"/>
      <c r="X300" s="11"/>
      <c r="Y300" s="11"/>
      <c r="Z300" s="11"/>
      <c r="AA300" s="11"/>
      <c r="AB300" s="9"/>
      <c r="AC300" s="2"/>
      <c r="AD300" s="9"/>
      <c r="AE300" s="2"/>
      <c r="AF300" s="9"/>
      <c r="AG300" s="10"/>
      <c r="AH300" s="11"/>
      <c r="AI300" s="11" t="s">
        <v>86</v>
      </c>
      <c r="AJ300" s="11"/>
      <c r="AK300" s="2"/>
      <c r="AL300" s="11"/>
      <c r="AM300" s="11"/>
      <c r="AN300" s="11"/>
      <c r="AO300" s="2"/>
      <c r="AP300" s="3"/>
      <c r="AQ300" s="11"/>
      <c r="AR300" s="3"/>
      <c r="AS300" s="2"/>
      <c r="AT300" s="11"/>
      <c r="AU300" s="2"/>
      <c r="AV300" s="2"/>
      <c r="AW300" s="2"/>
      <c r="AX300" s="11"/>
      <c r="AY300" s="11"/>
      <c r="AZ300" s="9"/>
      <c r="BA300" s="2">
        <v>1875</v>
      </c>
      <c r="BB300" s="11"/>
      <c r="BC300" s="11"/>
      <c r="BD300" s="11"/>
      <c r="BE300" s="11"/>
      <c r="BF300" s="11"/>
      <c r="BG300" s="11"/>
      <c r="BH300" s="11"/>
      <c r="BI300" s="11"/>
      <c r="BJ300" s="11" t="s">
        <v>87</v>
      </c>
      <c r="BK300" s="10">
        <v>46303.805902777778</v>
      </c>
      <c r="BL300" s="11"/>
      <c r="BM300" s="11"/>
      <c r="BN300" s="10">
        <v>46303.625</v>
      </c>
      <c r="BO300" s="11"/>
      <c r="BP300" s="11"/>
      <c r="BQ300" s="11"/>
      <c r="BR300" s="11"/>
      <c r="BS300" s="11"/>
      <c r="BT300" s="11"/>
      <c r="BU300" s="11"/>
      <c r="BV300" s="2"/>
      <c r="BW300" s="11"/>
    </row>
    <row r="301" spans="1:75" ht="30" x14ac:dyDescent="0.25">
      <c r="A301" s="2">
        <v>6200299</v>
      </c>
      <c r="B301" s="10">
        <v>46303.805902777778</v>
      </c>
      <c r="C301" s="11" t="s">
        <v>82</v>
      </c>
      <c r="D301" s="11"/>
      <c r="E301" s="11" t="s">
        <v>92</v>
      </c>
      <c r="F301" s="11"/>
      <c r="G301" s="11" t="s">
        <v>593</v>
      </c>
      <c r="H301" s="3"/>
      <c r="I301" s="11" t="s">
        <v>75</v>
      </c>
      <c r="J301" s="11"/>
      <c r="K301" s="11"/>
      <c r="L301" s="11"/>
      <c r="M301" s="11"/>
      <c r="N301" s="2">
        <v>1.25</v>
      </c>
      <c r="O301" s="2"/>
      <c r="P301" s="2"/>
      <c r="Q301" s="2"/>
      <c r="R301" s="11"/>
      <c r="S301" s="11" t="s">
        <v>391</v>
      </c>
      <c r="T301" s="11" t="s">
        <v>85</v>
      </c>
      <c r="U301" s="11"/>
      <c r="V301" s="11"/>
      <c r="W301" s="11"/>
      <c r="X301" s="11"/>
      <c r="Y301" s="11"/>
      <c r="Z301" s="11"/>
      <c r="AA301" s="11"/>
      <c r="AB301" s="9"/>
      <c r="AC301" s="2"/>
      <c r="AD301" s="9"/>
      <c r="AE301" s="2"/>
      <c r="AF301" s="9"/>
      <c r="AG301" s="10"/>
      <c r="AH301" s="11"/>
      <c r="AI301" s="11" t="s">
        <v>86</v>
      </c>
      <c r="AJ301" s="11"/>
      <c r="AK301" s="2"/>
      <c r="AL301" s="11"/>
      <c r="AM301" s="11"/>
      <c r="AN301" s="11"/>
      <c r="AO301" s="2"/>
      <c r="AP301" s="3"/>
      <c r="AQ301" s="11"/>
      <c r="AR301" s="3"/>
      <c r="AS301" s="2"/>
      <c r="AT301" s="11"/>
      <c r="AU301" s="2"/>
      <c r="AV301" s="2"/>
      <c r="AW301" s="2"/>
      <c r="AX301" s="11"/>
      <c r="AY301" s="11"/>
      <c r="AZ301" s="9"/>
      <c r="BA301" s="2">
        <v>1875</v>
      </c>
      <c r="BB301" s="11"/>
      <c r="BC301" s="11"/>
      <c r="BD301" s="11"/>
      <c r="BE301" s="11"/>
      <c r="BF301" s="11"/>
      <c r="BG301" s="11"/>
      <c r="BH301" s="11"/>
      <c r="BI301" s="11"/>
      <c r="BJ301" s="11" t="s">
        <v>87</v>
      </c>
      <c r="BK301" s="10">
        <v>46303.805902777778</v>
      </c>
      <c r="BL301" s="11"/>
      <c r="BM301" s="11"/>
      <c r="BN301" s="10">
        <v>46303.625</v>
      </c>
      <c r="BO301" s="11"/>
      <c r="BP301" s="11"/>
      <c r="BQ301" s="11"/>
      <c r="BR301" s="11"/>
      <c r="BS301" s="11"/>
      <c r="BT301" s="11"/>
      <c r="BU301" s="11"/>
      <c r="BV301" s="2"/>
      <c r="BW301" s="11"/>
    </row>
    <row r="302" spans="1:75" ht="30" x14ac:dyDescent="0.25">
      <c r="A302" s="2">
        <v>6200300</v>
      </c>
      <c r="B302" s="10">
        <v>46303.805902777778</v>
      </c>
      <c r="C302" s="11" t="s">
        <v>82</v>
      </c>
      <c r="D302" s="11"/>
      <c r="E302" s="11" t="s">
        <v>83</v>
      </c>
      <c r="F302" s="11"/>
      <c r="G302" s="11" t="s">
        <v>592</v>
      </c>
      <c r="H302" s="3"/>
      <c r="I302" s="11" t="s">
        <v>75</v>
      </c>
      <c r="J302" s="11"/>
      <c r="K302" s="11"/>
      <c r="L302" s="11"/>
      <c r="M302" s="11"/>
      <c r="N302" s="2">
        <v>1.25</v>
      </c>
      <c r="O302" s="2"/>
      <c r="P302" s="2"/>
      <c r="Q302" s="2"/>
      <c r="R302" s="11"/>
      <c r="S302" s="11" t="s">
        <v>392</v>
      </c>
      <c r="T302" s="11" t="s">
        <v>85</v>
      </c>
      <c r="U302" s="11"/>
      <c r="V302" s="11"/>
      <c r="W302" s="11"/>
      <c r="X302" s="11"/>
      <c r="Y302" s="11"/>
      <c r="Z302" s="11"/>
      <c r="AA302" s="11"/>
      <c r="AB302" s="9"/>
      <c r="AC302" s="2"/>
      <c r="AD302" s="9"/>
      <c r="AE302" s="2"/>
      <c r="AF302" s="9"/>
      <c r="AG302" s="10"/>
      <c r="AH302" s="11"/>
      <c r="AI302" s="11" t="s">
        <v>86</v>
      </c>
      <c r="AJ302" s="11"/>
      <c r="AK302" s="2"/>
      <c r="AL302" s="11"/>
      <c r="AM302" s="11"/>
      <c r="AN302" s="11"/>
      <c r="AO302" s="2"/>
      <c r="AP302" s="3"/>
      <c r="AQ302" s="11"/>
      <c r="AR302" s="3"/>
      <c r="AS302" s="2"/>
      <c r="AT302" s="11"/>
      <c r="AU302" s="2"/>
      <c r="AV302" s="2"/>
      <c r="AW302" s="2"/>
      <c r="AX302" s="11"/>
      <c r="AY302" s="11"/>
      <c r="AZ302" s="9"/>
      <c r="BA302" s="2">
        <v>1875</v>
      </c>
      <c r="BB302" s="11"/>
      <c r="BC302" s="11"/>
      <c r="BD302" s="11"/>
      <c r="BE302" s="11"/>
      <c r="BF302" s="11"/>
      <c r="BG302" s="11"/>
      <c r="BH302" s="11"/>
      <c r="BI302" s="11"/>
      <c r="BJ302" s="11" t="s">
        <v>87</v>
      </c>
      <c r="BK302" s="10">
        <v>46303.805902777778</v>
      </c>
      <c r="BL302" s="11"/>
      <c r="BM302" s="11"/>
      <c r="BN302" s="10">
        <v>46303.625</v>
      </c>
      <c r="BO302" s="11"/>
      <c r="BP302" s="11"/>
      <c r="BQ302" s="11"/>
      <c r="BR302" s="11"/>
      <c r="BS302" s="11"/>
      <c r="BT302" s="11"/>
      <c r="BU302" s="11"/>
      <c r="BV302" s="2"/>
      <c r="BW302" s="11"/>
    </row>
    <row r="303" spans="1:75" ht="30" x14ac:dyDescent="0.25">
      <c r="A303" s="2">
        <v>6200301</v>
      </c>
      <c r="B303" s="10">
        <v>46303.805902777778</v>
      </c>
      <c r="C303" s="11" t="s">
        <v>82</v>
      </c>
      <c r="D303" s="11"/>
      <c r="E303" s="11" t="s">
        <v>88</v>
      </c>
      <c r="F303" s="11"/>
      <c r="G303" s="11" t="s">
        <v>89</v>
      </c>
      <c r="H303" s="3"/>
      <c r="I303" s="11" t="s">
        <v>90</v>
      </c>
      <c r="J303" s="11"/>
      <c r="K303" s="11"/>
      <c r="L303" s="11"/>
      <c r="M303" s="11"/>
      <c r="N303" s="2">
        <v>1.25</v>
      </c>
      <c r="O303" s="2"/>
      <c r="P303" s="2"/>
      <c r="Q303" s="2"/>
      <c r="R303" s="11"/>
      <c r="S303" s="11" t="s">
        <v>393</v>
      </c>
      <c r="T303" s="11" t="s">
        <v>85</v>
      </c>
      <c r="U303" s="11"/>
      <c r="V303" s="11"/>
      <c r="W303" s="11"/>
      <c r="X303" s="11"/>
      <c r="Y303" s="11"/>
      <c r="Z303" s="11"/>
      <c r="AA303" s="11"/>
      <c r="AB303" s="9"/>
      <c r="AC303" s="2"/>
      <c r="AD303" s="9"/>
      <c r="AE303" s="2"/>
      <c r="AF303" s="9"/>
      <c r="AG303" s="10"/>
      <c r="AH303" s="11"/>
      <c r="AI303" s="11" t="s">
        <v>86</v>
      </c>
      <c r="AJ303" s="11"/>
      <c r="AK303" s="2"/>
      <c r="AL303" s="11"/>
      <c r="AM303" s="11"/>
      <c r="AN303" s="11"/>
      <c r="AO303" s="2"/>
      <c r="AP303" s="3"/>
      <c r="AQ303" s="11"/>
      <c r="AR303" s="3"/>
      <c r="AS303" s="2"/>
      <c r="AT303" s="11"/>
      <c r="AU303" s="2"/>
      <c r="AV303" s="2"/>
      <c r="AW303" s="2"/>
      <c r="AX303" s="11"/>
      <c r="AY303" s="11"/>
      <c r="AZ303" s="9"/>
      <c r="BA303" s="2">
        <v>1875</v>
      </c>
      <c r="BB303" s="11"/>
      <c r="BC303" s="11"/>
      <c r="BD303" s="11"/>
      <c r="BE303" s="11"/>
      <c r="BF303" s="11"/>
      <c r="BG303" s="11"/>
      <c r="BH303" s="11"/>
      <c r="BI303" s="11"/>
      <c r="BJ303" s="11" t="s">
        <v>87</v>
      </c>
      <c r="BK303" s="10">
        <v>46303.805902777778</v>
      </c>
      <c r="BL303" s="11"/>
      <c r="BM303" s="11"/>
      <c r="BN303" s="10">
        <v>46303.625</v>
      </c>
      <c r="BO303" s="11"/>
      <c r="BP303" s="11"/>
      <c r="BQ303" s="11"/>
      <c r="BR303" s="11"/>
      <c r="BS303" s="11"/>
      <c r="BT303" s="11"/>
      <c r="BU303" s="11"/>
      <c r="BV303" s="2"/>
      <c r="BW303" s="11"/>
    </row>
    <row r="304" spans="1:75" ht="30" x14ac:dyDescent="0.25">
      <c r="A304" s="2">
        <v>6200302</v>
      </c>
      <c r="B304" s="10">
        <v>46303.805902777778</v>
      </c>
      <c r="C304" s="11" t="s">
        <v>82</v>
      </c>
      <c r="D304" s="11"/>
      <c r="E304" s="11" t="s">
        <v>92</v>
      </c>
      <c r="F304" s="11"/>
      <c r="G304" s="2">
        <v>470123456</v>
      </c>
      <c r="H304" s="3"/>
      <c r="I304" s="11" t="s">
        <v>75</v>
      </c>
      <c r="J304" s="11"/>
      <c r="K304" s="11"/>
      <c r="L304" s="11"/>
      <c r="M304" s="11"/>
      <c r="N304" s="2">
        <v>1.25</v>
      </c>
      <c r="O304" s="2"/>
      <c r="P304" s="2"/>
      <c r="Q304" s="2"/>
      <c r="R304" s="11"/>
      <c r="S304" s="11" t="s">
        <v>394</v>
      </c>
      <c r="T304" s="11" t="s">
        <v>85</v>
      </c>
      <c r="U304" s="11"/>
      <c r="V304" s="11"/>
      <c r="W304" s="11"/>
      <c r="X304" s="11"/>
      <c r="Y304" s="11"/>
      <c r="Z304" s="11"/>
      <c r="AA304" s="11"/>
      <c r="AB304" s="9"/>
      <c r="AC304" s="2"/>
      <c r="AD304" s="9"/>
      <c r="AE304" s="2"/>
      <c r="AF304" s="9"/>
      <c r="AG304" s="10"/>
      <c r="AH304" s="11"/>
      <c r="AI304" s="11" t="s">
        <v>86</v>
      </c>
      <c r="AJ304" s="11"/>
      <c r="AK304" s="2"/>
      <c r="AL304" s="11"/>
      <c r="AM304" s="11"/>
      <c r="AN304" s="11"/>
      <c r="AO304" s="2"/>
      <c r="AP304" s="3"/>
      <c r="AQ304" s="11"/>
      <c r="AR304" s="3"/>
      <c r="AS304" s="2"/>
      <c r="AT304" s="11"/>
      <c r="AU304" s="2"/>
      <c r="AV304" s="2"/>
      <c r="AW304" s="2"/>
      <c r="AX304" s="11"/>
      <c r="AY304" s="11"/>
      <c r="AZ304" s="9"/>
      <c r="BA304" s="2">
        <v>1875</v>
      </c>
      <c r="BB304" s="11"/>
      <c r="BC304" s="11"/>
      <c r="BD304" s="11"/>
      <c r="BE304" s="11"/>
      <c r="BF304" s="11"/>
      <c r="BG304" s="11"/>
      <c r="BH304" s="11"/>
      <c r="BI304" s="11"/>
      <c r="BJ304" s="11" t="s">
        <v>87</v>
      </c>
      <c r="BK304" s="10">
        <v>46303.805902777778</v>
      </c>
      <c r="BL304" s="11"/>
      <c r="BM304" s="11"/>
      <c r="BN304" s="10">
        <v>46303.625</v>
      </c>
      <c r="BO304" s="11"/>
      <c r="BP304" s="11"/>
      <c r="BQ304" s="11"/>
      <c r="BR304" s="11"/>
      <c r="BS304" s="11"/>
      <c r="BT304" s="11"/>
      <c r="BU304" s="11"/>
      <c r="BV304" s="2"/>
      <c r="BW304" s="11"/>
    </row>
    <row r="305" spans="1:75" ht="30" x14ac:dyDescent="0.25">
      <c r="A305" s="2">
        <v>6200303</v>
      </c>
      <c r="B305" s="10">
        <v>46303.805902777778</v>
      </c>
      <c r="C305" s="11" t="s">
        <v>82</v>
      </c>
      <c r="D305" s="11"/>
      <c r="E305" s="11" t="s">
        <v>83</v>
      </c>
      <c r="F305" s="11"/>
      <c r="G305" s="11" t="s">
        <v>94</v>
      </c>
      <c r="H305" s="3"/>
      <c r="I305" s="11" t="s">
        <v>90</v>
      </c>
      <c r="J305" s="11"/>
      <c r="K305" s="11"/>
      <c r="L305" s="11"/>
      <c r="M305" s="11"/>
      <c r="N305" s="2">
        <v>1.25</v>
      </c>
      <c r="O305" s="2"/>
      <c r="P305" s="2"/>
      <c r="Q305" s="2"/>
      <c r="R305" s="11"/>
      <c r="S305" s="11" t="s">
        <v>395</v>
      </c>
      <c r="T305" s="11" t="s">
        <v>85</v>
      </c>
      <c r="U305" s="11"/>
      <c r="V305" s="11"/>
      <c r="W305" s="11"/>
      <c r="X305" s="11"/>
      <c r="Y305" s="11"/>
      <c r="Z305" s="11"/>
      <c r="AA305" s="11"/>
      <c r="AB305" s="9"/>
      <c r="AC305" s="2"/>
      <c r="AD305" s="9"/>
      <c r="AE305" s="2"/>
      <c r="AF305" s="9"/>
      <c r="AG305" s="10"/>
      <c r="AH305" s="11"/>
      <c r="AI305" s="11" t="s">
        <v>86</v>
      </c>
      <c r="AJ305" s="11"/>
      <c r="AK305" s="2"/>
      <c r="AL305" s="11"/>
      <c r="AM305" s="11"/>
      <c r="AN305" s="11"/>
      <c r="AO305" s="2"/>
      <c r="AP305" s="3"/>
      <c r="AQ305" s="11"/>
      <c r="AR305" s="3"/>
      <c r="AS305" s="2"/>
      <c r="AT305" s="11"/>
      <c r="AU305" s="2"/>
      <c r="AV305" s="2"/>
      <c r="AW305" s="2"/>
      <c r="AX305" s="11"/>
      <c r="AY305" s="11"/>
      <c r="AZ305" s="9"/>
      <c r="BA305" s="2">
        <v>1875</v>
      </c>
      <c r="BB305" s="11"/>
      <c r="BC305" s="11"/>
      <c r="BD305" s="11"/>
      <c r="BE305" s="11"/>
      <c r="BF305" s="11"/>
      <c r="BG305" s="11"/>
      <c r="BH305" s="11"/>
      <c r="BI305" s="11"/>
      <c r="BJ305" s="11" t="s">
        <v>87</v>
      </c>
      <c r="BK305" s="10">
        <v>46303.805902777778</v>
      </c>
      <c r="BL305" s="11"/>
      <c r="BM305" s="11"/>
      <c r="BN305" s="10">
        <v>46303.625</v>
      </c>
      <c r="BO305" s="11"/>
      <c r="BP305" s="11"/>
      <c r="BQ305" s="11"/>
      <c r="BR305" s="11"/>
      <c r="BS305" s="11"/>
      <c r="BT305" s="11"/>
      <c r="BU305" s="11"/>
      <c r="BV305" s="2"/>
      <c r="BW305" s="11"/>
    </row>
    <row r="306" spans="1:75" ht="30" x14ac:dyDescent="0.25">
      <c r="A306" s="2">
        <v>6200304</v>
      </c>
      <c r="B306" s="10">
        <v>46303.805902777778</v>
      </c>
      <c r="C306" s="11" t="s">
        <v>82</v>
      </c>
      <c r="D306" s="11"/>
      <c r="E306" s="11" t="s">
        <v>88</v>
      </c>
      <c r="F306" s="11"/>
      <c r="G306" s="11" t="s">
        <v>593</v>
      </c>
      <c r="H306" s="3"/>
      <c r="I306" s="11" t="s">
        <v>75</v>
      </c>
      <c r="J306" s="11"/>
      <c r="K306" s="11"/>
      <c r="L306" s="11"/>
      <c r="M306" s="11"/>
      <c r="N306" s="2">
        <v>1.25</v>
      </c>
      <c r="O306" s="2"/>
      <c r="P306" s="2"/>
      <c r="Q306" s="2"/>
      <c r="R306" s="11"/>
      <c r="S306" s="11" t="s">
        <v>396</v>
      </c>
      <c r="T306" s="11" t="s">
        <v>85</v>
      </c>
      <c r="U306" s="11"/>
      <c r="V306" s="11"/>
      <c r="W306" s="11"/>
      <c r="X306" s="11"/>
      <c r="Y306" s="11"/>
      <c r="Z306" s="11"/>
      <c r="AA306" s="11"/>
      <c r="AB306" s="9"/>
      <c r="AC306" s="2"/>
      <c r="AD306" s="9"/>
      <c r="AE306" s="2"/>
      <c r="AF306" s="9"/>
      <c r="AG306" s="10"/>
      <c r="AH306" s="11"/>
      <c r="AI306" s="11" t="s">
        <v>86</v>
      </c>
      <c r="AJ306" s="11"/>
      <c r="AK306" s="2"/>
      <c r="AL306" s="11"/>
      <c r="AM306" s="11"/>
      <c r="AN306" s="11"/>
      <c r="AO306" s="2"/>
      <c r="AP306" s="3"/>
      <c r="AQ306" s="11"/>
      <c r="AR306" s="3"/>
      <c r="AS306" s="2"/>
      <c r="AT306" s="11"/>
      <c r="AU306" s="2"/>
      <c r="AV306" s="2"/>
      <c r="AW306" s="2"/>
      <c r="AX306" s="11"/>
      <c r="AY306" s="11"/>
      <c r="AZ306" s="9"/>
      <c r="BA306" s="2">
        <v>1875</v>
      </c>
      <c r="BB306" s="11"/>
      <c r="BC306" s="11"/>
      <c r="BD306" s="11"/>
      <c r="BE306" s="11"/>
      <c r="BF306" s="11"/>
      <c r="BG306" s="11"/>
      <c r="BH306" s="11"/>
      <c r="BI306" s="11"/>
      <c r="BJ306" s="11" t="s">
        <v>87</v>
      </c>
      <c r="BK306" s="10">
        <v>46303.805902777778</v>
      </c>
      <c r="BL306" s="11"/>
      <c r="BM306" s="11"/>
      <c r="BN306" s="10">
        <v>46303.625</v>
      </c>
      <c r="BO306" s="11"/>
      <c r="BP306" s="11"/>
      <c r="BQ306" s="11"/>
      <c r="BR306" s="11"/>
      <c r="BS306" s="11"/>
      <c r="BT306" s="11"/>
      <c r="BU306" s="11"/>
      <c r="BV306" s="2"/>
      <c r="BW306" s="11"/>
    </row>
    <row r="307" spans="1:75" ht="30" x14ac:dyDescent="0.25">
      <c r="A307" s="2">
        <v>6200305</v>
      </c>
      <c r="B307" s="10">
        <v>46303.805902777778</v>
      </c>
      <c r="C307" s="11" t="s">
        <v>82</v>
      </c>
      <c r="D307" s="11"/>
      <c r="E307" s="11" t="s">
        <v>92</v>
      </c>
      <c r="F307" s="11"/>
      <c r="G307" s="11" t="s">
        <v>592</v>
      </c>
      <c r="H307" s="3"/>
      <c r="I307" s="11" t="s">
        <v>75</v>
      </c>
      <c r="J307" s="11"/>
      <c r="K307" s="11"/>
      <c r="L307" s="11"/>
      <c r="M307" s="11"/>
      <c r="N307" s="2">
        <v>1.25</v>
      </c>
      <c r="O307" s="2"/>
      <c r="P307" s="2"/>
      <c r="Q307" s="2"/>
      <c r="R307" s="11"/>
      <c r="S307" s="11" t="s">
        <v>397</v>
      </c>
      <c r="T307" s="11" t="s">
        <v>85</v>
      </c>
      <c r="U307" s="11"/>
      <c r="V307" s="11"/>
      <c r="W307" s="11"/>
      <c r="X307" s="11"/>
      <c r="Y307" s="11"/>
      <c r="Z307" s="11"/>
      <c r="AA307" s="11"/>
      <c r="AB307" s="9"/>
      <c r="AC307" s="2"/>
      <c r="AD307" s="9"/>
      <c r="AE307" s="2"/>
      <c r="AF307" s="9"/>
      <c r="AG307" s="10"/>
      <c r="AH307" s="11"/>
      <c r="AI307" s="11" t="s">
        <v>86</v>
      </c>
      <c r="AJ307" s="11"/>
      <c r="AK307" s="2"/>
      <c r="AL307" s="11"/>
      <c r="AM307" s="11"/>
      <c r="AN307" s="11"/>
      <c r="AO307" s="2"/>
      <c r="AP307" s="3"/>
      <c r="AQ307" s="11"/>
      <c r="AR307" s="3"/>
      <c r="AS307" s="2"/>
      <c r="AT307" s="11"/>
      <c r="AU307" s="2"/>
      <c r="AV307" s="2"/>
      <c r="AW307" s="2"/>
      <c r="AX307" s="11"/>
      <c r="AY307" s="11"/>
      <c r="AZ307" s="9"/>
      <c r="BA307" s="2">
        <v>1875</v>
      </c>
      <c r="BB307" s="11"/>
      <c r="BC307" s="11"/>
      <c r="BD307" s="11"/>
      <c r="BE307" s="11"/>
      <c r="BF307" s="11"/>
      <c r="BG307" s="11"/>
      <c r="BH307" s="11"/>
      <c r="BI307" s="11"/>
      <c r="BJ307" s="11" t="s">
        <v>87</v>
      </c>
      <c r="BK307" s="10">
        <v>46303.805902777778</v>
      </c>
      <c r="BL307" s="11"/>
      <c r="BM307" s="11"/>
      <c r="BN307" s="10">
        <v>46303.625</v>
      </c>
      <c r="BO307" s="11"/>
      <c r="BP307" s="11"/>
      <c r="BQ307" s="11"/>
      <c r="BR307" s="11"/>
      <c r="BS307" s="11"/>
      <c r="BT307" s="11"/>
      <c r="BU307" s="11"/>
      <c r="BV307" s="2"/>
      <c r="BW307" s="11"/>
    </row>
    <row r="308" spans="1:75" ht="30" x14ac:dyDescent="0.25">
      <c r="A308" s="2">
        <v>6200306</v>
      </c>
      <c r="B308" s="10">
        <v>46303.805902777778</v>
      </c>
      <c r="C308" s="11" t="s">
        <v>82</v>
      </c>
      <c r="D308" s="11"/>
      <c r="E308" s="11" t="s">
        <v>83</v>
      </c>
      <c r="F308" s="11"/>
      <c r="G308" s="11" t="s">
        <v>89</v>
      </c>
      <c r="H308" s="3"/>
      <c r="I308" s="11" t="s">
        <v>90</v>
      </c>
      <c r="J308" s="11"/>
      <c r="K308" s="11"/>
      <c r="L308" s="11"/>
      <c r="M308" s="11"/>
      <c r="N308" s="2">
        <v>1.25</v>
      </c>
      <c r="O308" s="2"/>
      <c r="P308" s="2"/>
      <c r="Q308" s="2"/>
      <c r="R308" s="11"/>
      <c r="S308" s="11" t="s">
        <v>398</v>
      </c>
      <c r="T308" s="11" t="s">
        <v>85</v>
      </c>
      <c r="U308" s="11"/>
      <c r="V308" s="11"/>
      <c r="W308" s="11"/>
      <c r="X308" s="11"/>
      <c r="Y308" s="11"/>
      <c r="Z308" s="11"/>
      <c r="AA308" s="11"/>
      <c r="AB308" s="9"/>
      <c r="AC308" s="2"/>
      <c r="AD308" s="9"/>
      <c r="AE308" s="2"/>
      <c r="AF308" s="9"/>
      <c r="AG308" s="10"/>
      <c r="AH308" s="11"/>
      <c r="AI308" s="11" t="s">
        <v>86</v>
      </c>
      <c r="AJ308" s="11"/>
      <c r="AK308" s="2"/>
      <c r="AL308" s="11"/>
      <c r="AM308" s="11"/>
      <c r="AN308" s="11"/>
      <c r="AO308" s="2"/>
      <c r="AP308" s="3"/>
      <c r="AQ308" s="11"/>
      <c r="AR308" s="3"/>
      <c r="AS308" s="2"/>
      <c r="AT308" s="11"/>
      <c r="AU308" s="2"/>
      <c r="AV308" s="2"/>
      <c r="AW308" s="2"/>
      <c r="AX308" s="11"/>
      <c r="AY308" s="11"/>
      <c r="AZ308" s="9"/>
      <c r="BA308" s="2">
        <v>1875</v>
      </c>
      <c r="BB308" s="11"/>
      <c r="BC308" s="11"/>
      <c r="BD308" s="11"/>
      <c r="BE308" s="11"/>
      <c r="BF308" s="11"/>
      <c r="BG308" s="11"/>
      <c r="BH308" s="11"/>
      <c r="BI308" s="11"/>
      <c r="BJ308" s="11" t="s">
        <v>87</v>
      </c>
      <c r="BK308" s="10">
        <v>46303.805902777778</v>
      </c>
      <c r="BL308" s="11"/>
      <c r="BM308" s="11"/>
      <c r="BN308" s="10">
        <v>46303.625</v>
      </c>
      <c r="BO308" s="11"/>
      <c r="BP308" s="11"/>
      <c r="BQ308" s="11"/>
      <c r="BR308" s="11"/>
      <c r="BS308" s="11"/>
      <c r="BT308" s="11"/>
      <c r="BU308" s="11"/>
      <c r="BV308" s="2"/>
      <c r="BW308" s="11"/>
    </row>
    <row r="309" spans="1:75" ht="30" x14ac:dyDescent="0.25">
      <c r="A309" s="2">
        <v>6200307</v>
      </c>
      <c r="B309" s="10">
        <v>46303.805902777778</v>
      </c>
      <c r="C309" s="11" t="s">
        <v>82</v>
      </c>
      <c r="D309" s="11"/>
      <c r="E309" s="11" t="s">
        <v>88</v>
      </c>
      <c r="F309" s="11"/>
      <c r="G309" s="2">
        <v>470123456</v>
      </c>
      <c r="H309" s="3"/>
      <c r="I309" s="11" t="s">
        <v>75</v>
      </c>
      <c r="J309" s="11"/>
      <c r="K309" s="11"/>
      <c r="L309" s="11"/>
      <c r="M309" s="11"/>
      <c r="N309" s="2">
        <v>1.25</v>
      </c>
      <c r="O309" s="2"/>
      <c r="P309" s="2"/>
      <c r="Q309" s="2"/>
      <c r="R309" s="11"/>
      <c r="S309" s="11" t="s">
        <v>399</v>
      </c>
      <c r="T309" s="11" t="s">
        <v>85</v>
      </c>
      <c r="U309" s="11"/>
      <c r="V309" s="11"/>
      <c r="W309" s="11"/>
      <c r="X309" s="11"/>
      <c r="Y309" s="11"/>
      <c r="Z309" s="11"/>
      <c r="AA309" s="11"/>
      <c r="AB309" s="9"/>
      <c r="AC309" s="2"/>
      <c r="AD309" s="9"/>
      <c r="AE309" s="2"/>
      <c r="AF309" s="9"/>
      <c r="AG309" s="10"/>
      <c r="AH309" s="11"/>
      <c r="AI309" s="11" t="s">
        <v>86</v>
      </c>
      <c r="AJ309" s="11"/>
      <c r="AK309" s="2"/>
      <c r="AL309" s="11"/>
      <c r="AM309" s="11"/>
      <c r="AN309" s="11"/>
      <c r="AO309" s="2"/>
      <c r="AP309" s="3"/>
      <c r="AQ309" s="11"/>
      <c r="AR309" s="3"/>
      <c r="AS309" s="2"/>
      <c r="AT309" s="11"/>
      <c r="AU309" s="2"/>
      <c r="AV309" s="2"/>
      <c r="AW309" s="2"/>
      <c r="AX309" s="11"/>
      <c r="AY309" s="11"/>
      <c r="AZ309" s="9"/>
      <c r="BA309" s="2">
        <v>1875</v>
      </c>
      <c r="BB309" s="11"/>
      <c r="BC309" s="11"/>
      <c r="BD309" s="11"/>
      <c r="BE309" s="11"/>
      <c r="BF309" s="11"/>
      <c r="BG309" s="11"/>
      <c r="BH309" s="11"/>
      <c r="BI309" s="11"/>
      <c r="BJ309" s="11" t="s">
        <v>87</v>
      </c>
      <c r="BK309" s="10">
        <v>46303.805902777778</v>
      </c>
      <c r="BL309" s="11"/>
      <c r="BM309" s="11"/>
      <c r="BN309" s="10">
        <v>46303.625</v>
      </c>
      <c r="BO309" s="11"/>
      <c r="BP309" s="11"/>
      <c r="BQ309" s="11"/>
      <c r="BR309" s="11"/>
      <c r="BS309" s="11"/>
      <c r="BT309" s="11"/>
      <c r="BU309" s="11"/>
      <c r="BV309" s="2"/>
      <c r="BW309" s="11"/>
    </row>
    <row r="310" spans="1:75" ht="30" x14ac:dyDescent="0.25">
      <c r="A310" s="2">
        <v>6200308</v>
      </c>
      <c r="B310" s="10">
        <v>46303.805902777778</v>
      </c>
      <c r="C310" s="11" t="s">
        <v>82</v>
      </c>
      <c r="D310" s="11"/>
      <c r="E310" s="11" t="s">
        <v>92</v>
      </c>
      <c r="F310" s="11"/>
      <c r="G310" s="11" t="s">
        <v>94</v>
      </c>
      <c r="H310" s="3"/>
      <c r="I310" s="11" t="s">
        <v>90</v>
      </c>
      <c r="J310" s="11"/>
      <c r="K310" s="11"/>
      <c r="L310" s="11"/>
      <c r="M310" s="11"/>
      <c r="N310" s="2">
        <v>1.25</v>
      </c>
      <c r="O310" s="2"/>
      <c r="P310" s="2"/>
      <c r="Q310" s="2"/>
      <c r="R310" s="11"/>
      <c r="S310" s="11" t="s">
        <v>400</v>
      </c>
      <c r="T310" s="11" t="s">
        <v>85</v>
      </c>
      <c r="U310" s="11"/>
      <c r="V310" s="11"/>
      <c r="W310" s="11"/>
      <c r="X310" s="11"/>
      <c r="Y310" s="11"/>
      <c r="Z310" s="11"/>
      <c r="AA310" s="11"/>
      <c r="AB310" s="9"/>
      <c r="AC310" s="2"/>
      <c r="AD310" s="9"/>
      <c r="AE310" s="2"/>
      <c r="AF310" s="9"/>
      <c r="AG310" s="10"/>
      <c r="AH310" s="11"/>
      <c r="AI310" s="11" t="s">
        <v>86</v>
      </c>
      <c r="AJ310" s="11"/>
      <c r="AK310" s="2"/>
      <c r="AL310" s="11"/>
      <c r="AM310" s="11"/>
      <c r="AN310" s="11"/>
      <c r="AO310" s="2"/>
      <c r="AP310" s="3"/>
      <c r="AQ310" s="11"/>
      <c r="AR310" s="3"/>
      <c r="AS310" s="2"/>
      <c r="AT310" s="11"/>
      <c r="AU310" s="2"/>
      <c r="AV310" s="2"/>
      <c r="AW310" s="2"/>
      <c r="AX310" s="11"/>
      <c r="AY310" s="11"/>
      <c r="AZ310" s="9"/>
      <c r="BA310" s="2">
        <v>1875</v>
      </c>
      <c r="BB310" s="11"/>
      <c r="BC310" s="11"/>
      <c r="BD310" s="11"/>
      <c r="BE310" s="11"/>
      <c r="BF310" s="11"/>
      <c r="BG310" s="11"/>
      <c r="BH310" s="11"/>
      <c r="BI310" s="11"/>
      <c r="BJ310" s="11" t="s">
        <v>87</v>
      </c>
      <c r="BK310" s="10">
        <v>46303.805902777778</v>
      </c>
      <c r="BL310" s="11"/>
      <c r="BM310" s="11"/>
      <c r="BN310" s="10">
        <v>46303.625</v>
      </c>
      <c r="BO310" s="11"/>
      <c r="BP310" s="11"/>
      <c r="BQ310" s="11"/>
      <c r="BR310" s="11"/>
      <c r="BS310" s="11"/>
      <c r="BT310" s="11"/>
      <c r="BU310" s="11"/>
      <c r="BV310" s="2"/>
      <c r="BW310" s="11"/>
    </row>
    <row r="311" spans="1:75" ht="30" x14ac:dyDescent="0.25">
      <c r="A311" s="2">
        <v>6200309</v>
      </c>
      <c r="B311" s="10">
        <v>46303.805902777778</v>
      </c>
      <c r="C311" s="11" t="s">
        <v>82</v>
      </c>
      <c r="D311" s="11"/>
      <c r="E311" s="11" t="s">
        <v>83</v>
      </c>
      <c r="F311" s="11"/>
      <c r="G311" s="11" t="s">
        <v>593</v>
      </c>
      <c r="H311" s="3"/>
      <c r="I311" s="11" t="s">
        <v>75</v>
      </c>
      <c r="J311" s="11"/>
      <c r="K311" s="11"/>
      <c r="L311" s="11"/>
      <c r="M311" s="11"/>
      <c r="N311" s="2">
        <v>1.25</v>
      </c>
      <c r="O311" s="2"/>
      <c r="P311" s="2"/>
      <c r="Q311" s="2"/>
      <c r="R311" s="11"/>
      <c r="S311" s="11" t="s">
        <v>401</v>
      </c>
      <c r="T311" s="11" t="s">
        <v>85</v>
      </c>
      <c r="U311" s="11"/>
      <c r="V311" s="11"/>
      <c r="W311" s="11"/>
      <c r="X311" s="11"/>
      <c r="Y311" s="11"/>
      <c r="Z311" s="11"/>
      <c r="AA311" s="11"/>
      <c r="AB311" s="9"/>
      <c r="AC311" s="2"/>
      <c r="AD311" s="9"/>
      <c r="AE311" s="2"/>
      <c r="AF311" s="9"/>
      <c r="AG311" s="10"/>
      <c r="AH311" s="11"/>
      <c r="AI311" s="11" t="s">
        <v>86</v>
      </c>
      <c r="AJ311" s="11"/>
      <c r="AK311" s="2"/>
      <c r="AL311" s="11"/>
      <c r="AM311" s="11"/>
      <c r="AN311" s="11"/>
      <c r="AO311" s="2"/>
      <c r="AP311" s="3"/>
      <c r="AQ311" s="11"/>
      <c r="AR311" s="3"/>
      <c r="AS311" s="2"/>
      <c r="AT311" s="11"/>
      <c r="AU311" s="2"/>
      <c r="AV311" s="2"/>
      <c r="AW311" s="2"/>
      <c r="AX311" s="11"/>
      <c r="AY311" s="11"/>
      <c r="AZ311" s="9"/>
      <c r="BA311" s="2">
        <v>1875</v>
      </c>
      <c r="BB311" s="11"/>
      <c r="BC311" s="11"/>
      <c r="BD311" s="11"/>
      <c r="BE311" s="11"/>
      <c r="BF311" s="11"/>
      <c r="BG311" s="11"/>
      <c r="BH311" s="11"/>
      <c r="BI311" s="11"/>
      <c r="BJ311" s="11" t="s">
        <v>87</v>
      </c>
      <c r="BK311" s="10">
        <v>46303.805902777778</v>
      </c>
      <c r="BL311" s="11"/>
      <c r="BM311" s="11"/>
      <c r="BN311" s="10">
        <v>46303.625</v>
      </c>
      <c r="BO311" s="11"/>
      <c r="BP311" s="11"/>
      <c r="BQ311" s="11"/>
      <c r="BR311" s="11"/>
      <c r="BS311" s="11"/>
      <c r="BT311" s="11"/>
      <c r="BU311" s="11"/>
      <c r="BV311" s="2"/>
      <c r="BW311" s="11"/>
    </row>
    <row r="312" spans="1:75" ht="30" x14ac:dyDescent="0.25">
      <c r="A312" s="2">
        <v>6200310</v>
      </c>
      <c r="B312" s="10">
        <v>46303.805902777778</v>
      </c>
      <c r="C312" s="11" t="s">
        <v>82</v>
      </c>
      <c r="D312" s="11"/>
      <c r="E312" s="11" t="s">
        <v>88</v>
      </c>
      <c r="F312" s="11"/>
      <c r="G312" s="11" t="s">
        <v>592</v>
      </c>
      <c r="H312" s="3"/>
      <c r="I312" s="11" t="s">
        <v>75</v>
      </c>
      <c r="J312" s="11"/>
      <c r="K312" s="11"/>
      <c r="L312" s="11"/>
      <c r="M312" s="11"/>
      <c r="N312" s="2">
        <v>1.25</v>
      </c>
      <c r="O312" s="2"/>
      <c r="P312" s="2"/>
      <c r="Q312" s="2"/>
      <c r="R312" s="11"/>
      <c r="S312" s="11" t="s">
        <v>402</v>
      </c>
      <c r="T312" s="11" t="s">
        <v>85</v>
      </c>
      <c r="U312" s="11"/>
      <c r="V312" s="11"/>
      <c r="W312" s="11"/>
      <c r="X312" s="11"/>
      <c r="Y312" s="11"/>
      <c r="Z312" s="11"/>
      <c r="AA312" s="11"/>
      <c r="AB312" s="9"/>
      <c r="AC312" s="2"/>
      <c r="AD312" s="9"/>
      <c r="AE312" s="2"/>
      <c r="AF312" s="9"/>
      <c r="AG312" s="10"/>
      <c r="AH312" s="11"/>
      <c r="AI312" s="11" t="s">
        <v>86</v>
      </c>
      <c r="AJ312" s="11"/>
      <c r="AK312" s="2"/>
      <c r="AL312" s="11"/>
      <c r="AM312" s="11"/>
      <c r="AN312" s="11"/>
      <c r="AO312" s="2"/>
      <c r="AP312" s="3"/>
      <c r="AQ312" s="11"/>
      <c r="AR312" s="3"/>
      <c r="AS312" s="2"/>
      <c r="AT312" s="11"/>
      <c r="AU312" s="2"/>
      <c r="AV312" s="2"/>
      <c r="AW312" s="2"/>
      <c r="AX312" s="11"/>
      <c r="AY312" s="11"/>
      <c r="AZ312" s="9"/>
      <c r="BA312" s="2">
        <v>1875</v>
      </c>
      <c r="BB312" s="11"/>
      <c r="BC312" s="11"/>
      <c r="BD312" s="11"/>
      <c r="BE312" s="11"/>
      <c r="BF312" s="11"/>
      <c r="BG312" s="11"/>
      <c r="BH312" s="11"/>
      <c r="BI312" s="11"/>
      <c r="BJ312" s="11" t="s">
        <v>87</v>
      </c>
      <c r="BK312" s="10">
        <v>46303.805902777778</v>
      </c>
      <c r="BL312" s="11"/>
      <c r="BM312" s="11"/>
      <c r="BN312" s="10">
        <v>46303.625</v>
      </c>
      <c r="BO312" s="11"/>
      <c r="BP312" s="11"/>
      <c r="BQ312" s="11"/>
      <c r="BR312" s="11"/>
      <c r="BS312" s="11"/>
      <c r="BT312" s="11"/>
      <c r="BU312" s="11"/>
      <c r="BV312" s="2"/>
      <c r="BW312" s="11"/>
    </row>
    <row r="313" spans="1:75" ht="30" x14ac:dyDescent="0.25">
      <c r="A313" s="2">
        <v>6200311</v>
      </c>
      <c r="B313" s="10">
        <v>46303.805902777778</v>
      </c>
      <c r="C313" s="11" t="s">
        <v>82</v>
      </c>
      <c r="D313" s="11"/>
      <c r="E313" s="11" t="s">
        <v>92</v>
      </c>
      <c r="F313" s="11"/>
      <c r="G313" s="11" t="s">
        <v>89</v>
      </c>
      <c r="H313" s="3"/>
      <c r="I313" s="11" t="s">
        <v>90</v>
      </c>
      <c r="J313" s="11"/>
      <c r="K313" s="11"/>
      <c r="L313" s="11"/>
      <c r="M313" s="11"/>
      <c r="N313" s="2">
        <v>1.25</v>
      </c>
      <c r="O313" s="2"/>
      <c r="P313" s="2"/>
      <c r="Q313" s="2"/>
      <c r="R313" s="11"/>
      <c r="S313" s="11" t="s">
        <v>403</v>
      </c>
      <c r="T313" s="11" t="s">
        <v>85</v>
      </c>
      <c r="U313" s="11"/>
      <c r="V313" s="11"/>
      <c r="W313" s="11"/>
      <c r="X313" s="11"/>
      <c r="Y313" s="11"/>
      <c r="Z313" s="11"/>
      <c r="AA313" s="11"/>
      <c r="AB313" s="9"/>
      <c r="AC313" s="2"/>
      <c r="AD313" s="9"/>
      <c r="AE313" s="2"/>
      <c r="AF313" s="9"/>
      <c r="AG313" s="10"/>
      <c r="AH313" s="11"/>
      <c r="AI313" s="11" t="s">
        <v>86</v>
      </c>
      <c r="AJ313" s="11"/>
      <c r="AK313" s="2"/>
      <c r="AL313" s="11"/>
      <c r="AM313" s="11"/>
      <c r="AN313" s="11"/>
      <c r="AO313" s="2"/>
      <c r="AP313" s="3"/>
      <c r="AQ313" s="11"/>
      <c r="AR313" s="3"/>
      <c r="AS313" s="2"/>
      <c r="AT313" s="11"/>
      <c r="AU313" s="2"/>
      <c r="AV313" s="2"/>
      <c r="AW313" s="2"/>
      <c r="AX313" s="11"/>
      <c r="AY313" s="11"/>
      <c r="AZ313" s="9"/>
      <c r="BA313" s="2">
        <v>1875</v>
      </c>
      <c r="BB313" s="11"/>
      <c r="BC313" s="11"/>
      <c r="BD313" s="11"/>
      <c r="BE313" s="11"/>
      <c r="BF313" s="11"/>
      <c r="BG313" s="11"/>
      <c r="BH313" s="11"/>
      <c r="BI313" s="11"/>
      <c r="BJ313" s="11" t="s">
        <v>87</v>
      </c>
      <c r="BK313" s="10">
        <v>46303.805902777778</v>
      </c>
      <c r="BL313" s="11"/>
      <c r="BM313" s="11"/>
      <c r="BN313" s="10">
        <v>46303.625</v>
      </c>
      <c r="BO313" s="11"/>
      <c r="BP313" s="11"/>
      <c r="BQ313" s="11"/>
      <c r="BR313" s="11"/>
      <c r="BS313" s="11"/>
      <c r="BT313" s="11"/>
      <c r="BU313" s="11"/>
      <c r="BV313" s="2"/>
      <c r="BW313" s="11"/>
    </row>
    <row r="314" spans="1:75" ht="30" x14ac:dyDescent="0.25">
      <c r="A314" s="2">
        <v>6200312</v>
      </c>
      <c r="B314" s="10">
        <v>46303.805902777778</v>
      </c>
      <c r="C314" s="11" t="s">
        <v>82</v>
      </c>
      <c r="D314" s="11"/>
      <c r="E314" s="11" t="s">
        <v>83</v>
      </c>
      <c r="F314" s="11"/>
      <c r="G314" s="2">
        <v>470123456</v>
      </c>
      <c r="H314" s="3"/>
      <c r="I314" s="11" t="s">
        <v>75</v>
      </c>
      <c r="J314" s="11"/>
      <c r="K314" s="11"/>
      <c r="L314" s="11"/>
      <c r="M314" s="11"/>
      <c r="N314" s="2">
        <v>1.25</v>
      </c>
      <c r="O314" s="2"/>
      <c r="P314" s="2"/>
      <c r="Q314" s="2"/>
      <c r="R314" s="11"/>
      <c r="S314" s="11" t="s">
        <v>404</v>
      </c>
      <c r="T314" s="11" t="s">
        <v>85</v>
      </c>
      <c r="U314" s="11"/>
      <c r="V314" s="11"/>
      <c r="W314" s="11"/>
      <c r="X314" s="11"/>
      <c r="Y314" s="11"/>
      <c r="Z314" s="11"/>
      <c r="AA314" s="11"/>
      <c r="AB314" s="9"/>
      <c r="AC314" s="2"/>
      <c r="AD314" s="9"/>
      <c r="AE314" s="2"/>
      <c r="AF314" s="9"/>
      <c r="AG314" s="10"/>
      <c r="AH314" s="11"/>
      <c r="AI314" s="11" t="s">
        <v>86</v>
      </c>
      <c r="AJ314" s="11"/>
      <c r="AK314" s="2"/>
      <c r="AL314" s="11"/>
      <c r="AM314" s="11"/>
      <c r="AN314" s="11"/>
      <c r="AO314" s="2"/>
      <c r="AP314" s="3"/>
      <c r="AQ314" s="11"/>
      <c r="AR314" s="3"/>
      <c r="AS314" s="2"/>
      <c r="AT314" s="11"/>
      <c r="AU314" s="2"/>
      <c r="AV314" s="2"/>
      <c r="AW314" s="2"/>
      <c r="AX314" s="11"/>
      <c r="AY314" s="11"/>
      <c r="AZ314" s="9"/>
      <c r="BA314" s="2">
        <v>1875</v>
      </c>
      <c r="BB314" s="11"/>
      <c r="BC314" s="11"/>
      <c r="BD314" s="11"/>
      <c r="BE314" s="11"/>
      <c r="BF314" s="11"/>
      <c r="BG314" s="11"/>
      <c r="BH314" s="11"/>
      <c r="BI314" s="11"/>
      <c r="BJ314" s="11" t="s">
        <v>87</v>
      </c>
      <c r="BK314" s="10">
        <v>46303.805902777778</v>
      </c>
      <c r="BL314" s="11"/>
      <c r="BM314" s="11"/>
      <c r="BN314" s="10">
        <v>46303.625</v>
      </c>
      <c r="BO314" s="11"/>
      <c r="BP314" s="11"/>
      <c r="BQ314" s="11"/>
      <c r="BR314" s="11"/>
      <c r="BS314" s="11"/>
      <c r="BT314" s="11"/>
      <c r="BU314" s="11"/>
      <c r="BV314" s="2"/>
      <c r="BW314" s="11"/>
    </row>
    <row r="315" spans="1:75" ht="30" x14ac:dyDescent="0.25">
      <c r="A315" s="2">
        <v>6200313</v>
      </c>
      <c r="B315" s="10">
        <v>46303.805902777778</v>
      </c>
      <c r="C315" s="11" t="s">
        <v>82</v>
      </c>
      <c r="D315" s="11"/>
      <c r="E315" s="11" t="s">
        <v>88</v>
      </c>
      <c r="F315" s="11"/>
      <c r="G315" s="11" t="s">
        <v>94</v>
      </c>
      <c r="H315" s="3"/>
      <c r="I315" s="11" t="s">
        <v>90</v>
      </c>
      <c r="J315" s="11"/>
      <c r="K315" s="11"/>
      <c r="L315" s="11"/>
      <c r="M315" s="11"/>
      <c r="N315" s="2">
        <v>1.25</v>
      </c>
      <c r="O315" s="2"/>
      <c r="P315" s="2"/>
      <c r="Q315" s="2"/>
      <c r="R315" s="11"/>
      <c r="S315" s="11" t="s">
        <v>405</v>
      </c>
      <c r="T315" s="11" t="s">
        <v>85</v>
      </c>
      <c r="U315" s="11"/>
      <c r="V315" s="11"/>
      <c r="W315" s="11"/>
      <c r="X315" s="11"/>
      <c r="Y315" s="11"/>
      <c r="Z315" s="11"/>
      <c r="AA315" s="11"/>
      <c r="AB315" s="9"/>
      <c r="AC315" s="2"/>
      <c r="AD315" s="9"/>
      <c r="AE315" s="2"/>
      <c r="AF315" s="9"/>
      <c r="AG315" s="10"/>
      <c r="AH315" s="11"/>
      <c r="AI315" s="11" t="s">
        <v>86</v>
      </c>
      <c r="AJ315" s="11"/>
      <c r="AK315" s="2"/>
      <c r="AL315" s="11"/>
      <c r="AM315" s="11"/>
      <c r="AN315" s="11"/>
      <c r="AO315" s="2"/>
      <c r="AP315" s="3"/>
      <c r="AQ315" s="11"/>
      <c r="AR315" s="3"/>
      <c r="AS315" s="2"/>
      <c r="AT315" s="11"/>
      <c r="AU315" s="2"/>
      <c r="AV315" s="2"/>
      <c r="AW315" s="2"/>
      <c r="AX315" s="11"/>
      <c r="AY315" s="11"/>
      <c r="AZ315" s="9"/>
      <c r="BA315" s="2">
        <v>1875</v>
      </c>
      <c r="BB315" s="11"/>
      <c r="BC315" s="11"/>
      <c r="BD315" s="11"/>
      <c r="BE315" s="11"/>
      <c r="BF315" s="11"/>
      <c r="BG315" s="11"/>
      <c r="BH315" s="11"/>
      <c r="BI315" s="11"/>
      <c r="BJ315" s="11" t="s">
        <v>87</v>
      </c>
      <c r="BK315" s="10">
        <v>46303.805902777778</v>
      </c>
      <c r="BL315" s="11"/>
      <c r="BM315" s="11"/>
      <c r="BN315" s="10">
        <v>46303.625</v>
      </c>
      <c r="BO315" s="11"/>
      <c r="BP315" s="11"/>
      <c r="BQ315" s="11"/>
      <c r="BR315" s="11"/>
      <c r="BS315" s="11"/>
      <c r="BT315" s="11"/>
      <c r="BU315" s="11"/>
      <c r="BV315" s="2"/>
      <c r="BW315" s="11"/>
    </row>
    <row r="316" spans="1:75" ht="30" x14ac:dyDescent="0.25">
      <c r="A316" s="2">
        <v>6200314</v>
      </c>
      <c r="B316" s="10">
        <v>46303.805902777778</v>
      </c>
      <c r="C316" s="11" t="s">
        <v>82</v>
      </c>
      <c r="D316" s="11"/>
      <c r="E316" s="11" t="s">
        <v>92</v>
      </c>
      <c r="F316" s="11"/>
      <c r="G316" s="11" t="s">
        <v>593</v>
      </c>
      <c r="H316" s="3"/>
      <c r="I316" s="11" t="s">
        <v>75</v>
      </c>
      <c r="J316" s="11"/>
      <c r="K316" s="11"/>
      <c r="L316" s="11"/>
      <c r="M316" s="11"/>
      <c r="N316" s="2">
        <v>1.25</v>
      </c>
      <c r="O316" s="2"/>
      <c r="P316" s="2"/>
      <c r="Q316" s="2"/>
      <c r="R316" s="11"/>
      <c r="S316" s="11" t="s">
        <v>406</v>
      </c>
      <c r="T316" s="11" t="s">
        <v>85</v>
      </c>
      <c r="U316" s="11"/>
      <c r="V316" s="11"/>
      <c r="W316" s="11"/>
      <c r="X316" s="11"/>
      <c r="Y316" s="11"/>
      <c r="Z316" s="11"/>
      <c r="AA316" s="11"/>
      <c r="AB316" s="9"/>
      <c r="AC316" s="2"/>
      <c r="AD316" s="9"/>
      <c r="AE316" s="2"/>
      <c r="AF316" s="9"/>
      <c r="AG316" s="10"/>
      <c r="AH316" s="11"/>
      <c r="AI316" s="11" t="s">
        <v>86</v>
      </c>
      <c r="AJ316" s="11"/>
      <c r="AK316" s="2"/>
      <c r="AL316" s="11"/>
      <c r="AM316" s="11"/>
      <c r="AN316" s="11"/>
      <c r="AO316" s="2"/>
      <c r="AP316" s="3"/>
      <c r="AQ316" s="11"/>
      <c r="AR316" s="3"/>
      <c r="AS316" s="2"/>
      <c r="AT316" s="11"/>
      <c r="AU316" s="2"/>
      <c r="AV316" s="2"/>
      <c r="AW316" s="2"/>
      <c r="AX316" s="11"/>
      <c r="AY316" s="11"/>
      <c r="AZ316" s="9"/>
      <c r="BA316" s="2">
        <v>1875</v>
      </c>
      <c r="BB316" s="11"/>
      <c r="BC316" s="11"/>
      <c r="BD316" s="11"/>
      <c r="BE316" s="11"/>
      <c r="BF316" s="11"/>
      <c r="BG316" s="11"/>
      <c r="BH316" s="11"/>
      <c r="BI316" s="11"/>
      <c r="BJ316" s="11" t="s">
        <v>87</v>
      </c>
      <c r="BK316" s="10">
        <v>46303.805902777778</v>
      </c>
      <c r="BL316" s="11"/>
      <c r="BM316" s="11"/>
      <c r="BN316" s="10">
        <v>46303.625</v>
      </c>
      <c r="BO316" s="11"/>
      <c r="BP316" s="11"/>
      <c r="BQ316" s="11"/>
      <c r="BR316" s="11"/>
      <c r="BS316" s="11"/>
      <c r="BT316" s="11"/>
      <c r="BU316" s="11"/>
      <c r="BV316" s="2"/>
      <c r="BW316" s="11"/>
    </row>
    <row r="317" spans="1:75" ht="30" x14ac:dyDescent="0.25">
      <c r="A317" s="2">
        <v>6200315</v>
      </c>
      <c r="B317" s="10">
        <v>46303.805902777778</v>
      </c>
      <c r="C317" s="11" t="s">
        <v>82</v>
      </c>
      <c r="D317" s="11"/>
      <c r="E317" s="11" t="s">
        <v>83</v>
      </c>
      <c r="F317" s="11"/>
      <c r="G317" s="11" t="s">
        <v>592</v>
      </c>
      <c r="H317" s="3"/>
      <c r="I317" s="11" t="s">
        <v>75</v>
      </c>
      <c r="J317" s="11"/>
      <c r="K317" s="11"/>
      <c r="L317" s="11"/>
      <c r="M317" s="11"/>
      <c r="N317" s="2">
        <v>1.25</v>
      </c>
      <c r="O317" s="2"/>
      <c r="P317" s="2"/>
      <c r="Q317" s="2"/>
      <c r="R317" s="11"/>
      <c r="S317" s="11" t="s">
        <v>407</v>
      </c>
      <c r="T317" s="11" t="s">
        <v>85</v>
      </c>
      <c r="U317" s="11"/>
      <c r="V317" s="11"/>
      <c r="W317" s="11"/>
      <c r="X317" s="11"/>
      <c r="Y317" s="11"/>
      <c r="Z317" s="11"/>
      <c r="AA317" s="11"/>
      <c r="AB317" s="9"/>
      <c r="AC317" s="2"/>
      <c r="AD317" s="9"/>
      <c r="AE317" s="2"/>
      <c r="AF317" s="9"/>
      <c r="AG317" s="10"/>
      <c r="AH317" s="11"/>
      <c r="AI317" s="11" t="s">
        <v>86</v>
      </c>
      <c r="AJ317" s="11"/>
      <c r="AK317" s="2"/>
      <c r="AL317" s="11"/>
      <c r="AM317" s="11"/>
      <c r="AN317" s="11"/>
      <c r="AO317" s="2"/>
      <c r="AP317" s="3"/>
      <c r="AQ317" s="11"/>
      <c r="AR317" s="3"/>
      <c r="AS317" s="2"/>
      <c r="AT317" s="11"/>
      <c r="AU317" s="2"/>
      <c r="AV317" s="2"/>
      <c r="AW317" s="2"/>
      <c r="AX317" s="11"/>
      <c r="AY317" s="11"/>
      <c r="AZ317" s="9"/>
      <c r="BA317" s="2">
        <v>1875</v>
      </c>
      <c r="BB317" s="11"/>
      <c r="BC317" s="11"/>
      <c r="BD317" s="11"/>
      <c r="BE317" s="11"/>
      <c r="BF317" s="11"/>
      <c r="BG317" s="11"/>
      <c r="BH317" s="11"/>
      <c r="BI317" s="11"/>
      <c r="BJ317" s="11" t="s">
        <v>87</v>
      </c>
      <c r="BK317" s="10">
        <v>46303.805902777778</v>
      </c>
      <c r="BL317" s="11"/>
      <c r="BM317" s="11"/>
      <c r="BN317" s="10">
        <v>46303.625</v>
      </c>
      <c r="BO317" s="11"/>
      <c r="BP317" s="11"/>
      <c r="BQ317" s="11"/>
      <c r="BR317" s="11"/>
      <c r="BS317" s="11"/>
      <c r="BT317" s="11"/>
      <c r="BU317" s="11"/>
      <c r="BV317" s="2"/>
      <c r="BW317" s="11"/>
    </row>
    <row r="318" spans="1:75" ht="30" x14ac:dyDescent="0.25">
      <c r="A318" s="2">
        <v>6200316</v>
      </c>
      <c r="B318" s="10">
        <v>46303.805902777778</v>
      </c>
      <c r="C318" s="11" t="s">
        <v>82</v>
      </c>
      <c r="D318" s="11"/>
      <c r="E318" s="11" t="s">
        <v>88</v>
      </c>
      <c r="F318" s="11"/>
      <c r="G318" s="11" t="s">
        <v>89</v>
      </c>
      <c r="H318" s="3"/>
      <c r="I318" s="11" t="s">
        <v>90</v>
      </c>
      <c r="J318" s="11"/>
      <c r="K318" s="11"/>
      <c r="L318" s="11"/>
      <c r="M318" s="11"/>
      <c r="N318" s="2">
        <v>1.25</v>
      </c>
      <c r="O318" s="2"/>
      <c r="P318" s="2"/>
      <c r="Q318" s="2"/>
      <c r="R318" s="11"/>
      <c r="S318" s="11" t="s">
        <v>408</v>
      </c>
      <c r="T318" s="11" t="s">
        <v>85</v>
      </c>
      <c r="U318" s="11"/>
      <c r="V318" s="11"/>
      <c r="W318" s="11"/>
      <c r="X318" s="11"/>
      <c r="Y318" s="11"/>
      <c r="Z318" s="11"/>
      <c r="AA318" s="11"/>
      <c r="AB318" s="9"/>
      <c r="AC318" s="2"/>
      <c r="AD318" s="9"/>
      <c r="AE318" s="2"/>
      <c r="AF318" s="9"/>
      <c r="AG318" s="10"/>
      <c r="AH318" s="11"/>
      <c r="AI318" s="11" t="s">
        <v>86</v>
      </c>
      <c r="AJ318" s="11"/>
      <c r="AK318" s="2"/>
      <c r="AL318" s="11"/>
      <c r="AM318" s="11"/>
      <c r="AN318" s="11"/>
      <c r="AO318" s="2"/>
      <c r="AP318" s="3"/>
      <c r="AQ318" s="11"/>
      <c r="AR318" s="3"/>
      <c r="AS318" s="2"/>
      <c r="AT318" s="11"/>
      <c r="AU318" s="2"/>
      <c r="AV318" s="2"/>
      <c r="AW318" s="2"/>
      <c r="AX318" s="11"/>
      <c r="AY318" s="11"/>
      <c r="AZ318" s="9"/>
      <c r="BA318" s="2">
        <v>1875</v>
      </c>
      <c r="BB318" s="11"/>
      <c r="BC318" s="11"/>
      <c r="BD318" s="11"/>
      <c r="BE318" s="11"/>
      <c r="BF318" s="11"/>
      <c r="BG318" s="11"/>
      <c r="BH318" s="11"/>
      <c r="BI318" s="11"/>
      <c r="BJ318" s="11" t="s">
        <v>87</v>
      </c>
      <c r="BK318" s="10">
        <v>46303.805902777778</v>
      </c>
      <c r="BL318" s="11"/>
      <c r="BM318" s="11"/>
      <c r="BN318" s="10">
        <v>46303.625</v>
      </c>
      <c r="BO318" s="11"/>
      <c r="BP318" s="11"/>
      <c r="BQ318" s="11"/>
      <c r="BR318" s="11"/>
      <c r="BS318" s="11"/>
      <c r="BT318" s="11"/>
      <c r="BU318" s="11"/>
      <c r="BV318" s="2"/>
      <c r="BW318" s="11"/>
    </row>
    <row r="319" spans="1:75" ht="30" x14ac:dyDescent="0.25">
      <c r="A319" s="2">
        <v>6200317</v>
      </c>
      <c r="B319" s="10">
        <v>46303.805902777778</v>
      </c>
      <c r="C319" s="11" t="s">
        <v>82</v>
      </c>
      <c r="D319" s="11"/>
      <c r="E319" s="11" t="s">
        <v>92</v>
      </c>
      <c r="F319" s="11"/>
      <c r="G319" s="2">
        <v>470123456</v>
      </c>
      <c r="H319" s="3"/>
      <c r="I319" s="11" t="s">
        <v>75</v>
      </c>
      <c r="J319" s="11"/>
      <c r="K319" s="11"/>
      <c r="L319" s="11"/>
      <c r="M319" s="11"/>
      <c r="N319" s="2">
        <v>1.25</v>
      </c>
      <c r="O319" s="2"/>
      <c r="P319" s="2"/>
      <c r="Q319" s="2"/>
      <c r="R319" s="11"/>
      <c r="S319" s="11" t="s">
        <v>409</v>
      </c>
      <c r="T319" s="11" t="s">
        <v>85</v>
      </c>
      <c r="U319" s="11"/>
      <c r="V319" s="11"/>
      <c r="W319" s="11"/>
      <c r="X319" s="11"/>
      <c r="Y319" s="11"/>
      <c r="Z319" s="11"/>
      <c r="AA319" s="11"/>
      <c r="AB319" s="9"/>
      <c r="AC319" s="2"/>
      <c r="AD319" s="9"/>
      <c r="AE319" s="2"/>
      <c r="AF319" s="9"/>
      <c r="AG319" s="10"/>
      <c r="AH319" s="11"/>
      <c r="AI319" s="11" t="s">
        <v>86</v>
      </c>
      <c r="AJ319" s="11"/>
      <c r="AK319" s="2"/>
      <c r="AL319" s="11"/>
      <c r="AM319" s="11"/>
      <c r="AN319" s="11"/>
      <c r="AO319" s="2"/>
      <c r="AP319" s="3"/>
      <c r="AQ319" s="11"/>
      <c r="AR319" s="3"/>
      <c r="AS319" s="2"/>
      <c r="AT319" s="11"/>
      <c r="AU319" s="2"/>
      <c r="AV319" s="2"/>
      <c r="AW319" s="2"/>
      <c r="AX319" s="11"/>
      <c r="AY319" s="11"/>
      <c r="AZ319" s="9"/>
      <c r="BA319" s="2">
        <v>1875</v>
      </c>
      <c r="BB319" s="11"/>
      <c r="BC319" s="11"/>
      <c r="BD319" s="11"/>
      <c r="BE319" s="11"/>
      <c r="BF319" s="11"/>
      <c r="BG319" s="11"/>
      <c r="BH319" s="11"/>
      <c r="BI319" s="11"/>
      <c r="BJ319" s="11" t="s">
        <v>87</v>
      </c>
      <c r="BK319" s="10">
        <v>46303.805902777778</v>
      </c>
      <c r="BL319" s="11"/>
      <c r="BM319" s="11"/>
      <c r="BN319" s="10">
        <v>46303.625</v>
      </c>
      <c r="BO319" s="11"/>
      <c r="BP319" s="11"/>
      <c r="BQ319" s="11"/>
      <c r="BR319" s="11"/>
      <c r="BS319" s="11"/>
      <c r="BT319" s="11"/>
      <c r="BU319" s="11"/>
      <c r="BV319" s="2"/>
      <c r="BW319" s="11"/>
    </row>
    <row r="320" spans="1:75" ht="30" x14ac:dyDescent="0.25">
      <c r="A320" s="2">
        <v>6200318</v>
      </c>
      <c r="B320" s="10">
        <v>46303.805902777778</v>
      </c>
      <c r="C320" s="11" t="s">
        <v>82</v>
      </c>
      <c r="D320" s="11"/>
      <c r="E320" s="11" t="s">
        <v>83</v>
      </c>
      <c r="F320" s="11"/>
      <c r="G320" s="11" t="s">
        <v>94</v>
      </c>
      <c r="H320" s="3"/>
      <c r="I320" s="11" t="s">
        <v>90</v>
      </c>
      <c r="J320" s="11"/>
      <c r="K320" s="11"/>
      <c r="L320" s="11"/>
      <c r="M320" s="11"/>
      <c r="N320" s="2">
        <v>1.25</v>
      </c>
      <c r="O320" s="2"/>
      <c r="P320" s="2"/>
      <c r="Q320" s="2"/>
      <c r="R320" s="11"/>
      <c r="S320" s="11" t="s">
        <v>410</v>
      </c>
      <c r="T320" s="11" t="s">
        <v>85</v>
      </c>
      <c r="U320" s="11"/>
      <c r="V320" s="11"/>
      <c r="W320" s="11"/>
      <c r="X320" s="11"/>
      <c r="Y320" s="11"/>
      <c r="Z320" s="11"/>
      <c r="AA320" s="11"/>
      <c r="AB320" s="9"/>
      <c r="AC320" s="2"/>
      <c r="AD320" s="9"/>
      <c r="AE320" s="2"/>
      <c r="AF320" s="9"/>
      <c r="AG320" s="10"/>
      <c r="AH320" s="11"/>
      <c r="AI320" s="11" t="s">
        <v>86</v>
      </c>
      <c r="AJ320" s="11"/>
      <c r="AK320" s="2"/>
      <c r="AL320" s="11"/>
      <c r="AM320" s="11"/>
      <c r="AN320" s="11"/>
      <c r="AO320" s="2"/>
      <c r="AP320" s="3"/>
      <c r="AQ320" s="11"/>
      <c r="AR320" s="3"/>
      <c r="AS320" s="2"/>
      <c r="AT320" s="11"/>
      <c r="AU320" s="2"/>
      <c r="AV320" s="2"/>
      <c r="AW320" s="2"/>
      <c r="AX320" s="11"/>
      <c r="AY320" s="11"/>
      <c r="AZ320" s="9"/>
      <c r="BA320" s="2">
        <v>1875</v>
      </c>
      <c r="BB320" s="11"/>
      <c r="BC320" s="11"/>
      <c r="BD320" s="11"/>
      <c r="BE320" s="11"/>
      <c r="BF320" s="11"/>
      <c r="BG320" s="11"/>
      <c r="BH320" s="11"/>
      <c r="BI320" s="11"/>
      <c r="BJ320" s="11" t="s">
        <v>87</v>
      </c>
      <c r="BK320" s="10">
        <v>46303.805902777778</v>
      </c>
      <c r="BL320" s="11"/>
      <c r="BM320" s="11"/>
      <c r="BN320" s="10">
        <v>46303.625</v>
      </c>
      <c r="BO320" s="11"/>
      <c r="BP320" s="11"/>
      <c r="BQ320" s="11"/>
      <c r="BR320" s="11"/>
      <c r="BS320" s="11"/>
      <c r="BT320" s="11"/>
      <c r="BU320" s="11"/>
      <c r="BV320" s="2"/>
      <c r="BW320" s="11"/>
    </row>
    <row r="321" spans="1:75" ht="30" x14ac:dyDescent="0.25">
      <c r="A321" s="2">
        <v>6200319</v>
      </c>
      <c r="B321" s="10">
        <v>46303.805902777778</v>
      </c>
      <c r="C321" s="11" t="s">
        <v>82</v>
      </c>
      <c r="D321" s="11"/>
      <c r="E321" s="11" t="s">
        <v>88</v>
      </c>
      <c r="F321" s="11"/>
      <c r="G321" s="11" t="s">
        <v>593</v>
      </c>
      <c r="H321" s="3"/>
      <c r="I321" s="11" t="s">
        <v>75</v>
      </c>
      <c r="J321" s="11"/>
      <c r="K321" s="11"/>
      <c r="L321" s="11"/>
      <c r="M321" s="11"/>
      <c r="N321" s="2">
        <v>1.25</v>
      </c>
      <c r="O321" s="2"/>
      <c r="P321" s="2"/>
      <c r="Q321" s="2"/>
      <c r="R321" s="11"/>
      <c r="S321" s="11" t="s">
        <v>411</v>
      </c>
      <c r="T321" s="11" t="s">
        <v>85</v>
      </c>
      <c r="U321" s="11"/>
      <c r="V321" s="11"/>
      <c r="W321" s="11"/>
      <c r="X321" s="11"/>
      <c r="Y321" s="11"/>
      <c r="Z321" s="11"/>
      <c r="AA321" s="11"/>
      <c r="AB321" s="9"/>
      <c r="AC321" s="2"/>
      <c r="AD321" s="9"/>
      <c r="AE321" s="2"/>
      <c r="AF321" s="9"/>
      <c r="AG321" s="10"/>
      <c r="AH321" s="11"/>
      <c r="AI321" s="11" t="s">
        <v>86</v>
      </c>
      <c r="AJ321" s="11"/>
      <c r="AK321" s="2"/>
      <c r="AL321" s="11"/>
      <c r="AM321" s="11"/>
      <c r="AN321" s="11"/>
      <c r="AO321" s="2"/>
      <c r="AP321" s="3"/>
      <c r="AQ321" s="11"/>
      <c r="AR321" s="3"/>
      <c r="AS321" s="2"/>
      <c r="AT321" s="11"/>
      <c r="AU321" s="2"/>
      <c r="AV321" s="2"/>
      <c r="AW321" s="2"/>
      <c r="AX321" s="11"/>
      <c r="AY321" s="11"/>
      <c r="AZ321" s="9"/>
      <c r="BA321" s="2">
        <v>1875</v>
      </c>
      <c r="BB321" s="11"/>
      <c r="BC321" s="11"/>
      <c r="BD321" s="11"/>
      <c r="BE321" s="11"/>
      <c r="BF321" s="11"/>
      <c r="BG321" s="11"/>
      <c r="BH321" s="11"/>
      <c r="BI321" s="11"/>
      <c r="BJ321" s="11" t="s">
        <v>87</v>
      </c>
      <c r="BK321" s="10">
        <v>46303.805902777778</v>
      </c>
      <c r="BL321" s="11"/>
      <c r="BM321" s="11"/>
      <c r="BN321" s="10">
        <v>46303.625</v>
      </c>
      <c r="BO321" s="11"/>
      <c r="BP321" s="11"/>
      <c r="BQ321" s="11"/>
      <c r="BR321" s="11"/>
      <c r="BS321" s="11"/>
      <c r="BT321" s="11"/>
      <c r="BU321" s="11"/>
      <c r="BV321" s="2"/>
      <c r="BW321" s="11"/>
    </row>
    <row r="322" spans="1:75" ht="30" x14ac:dyDescent="0.25">
      <c r="A322" s="2">
        <v>6200320</v>
      </c>
      <c r="B322" s="10">
        <v>46303.805902777778</v>
      </c>
      <c r="C322" s="11" t="s">
        <v>82</v>
      </c>
      <c r="D322" s="11"/>
      <c r="E322" s="11" t="s">
        <v>92</v>
      </c>
      <c r="F322" s="11"/>
      <c r="G322" s="11" t="s">
        <v>592</v>
      </c>
      <c r="H322" s="3"/>
      <c r="I322" s="11" t="s">
        <v>75</v>
      </c>
      <c r="J322" s="11"/>
      <c r="K322" s="11"/>
      <c r="L322" s="11"/>
      <c r="M322" s="11"/>
      <c r="N322" s="2">
        <v>1.25</v>
      </c>
      <c r="O322" s="2"/>
      <c r="P322" s="2"/>
      <c r="Q322" s="2"/>
      <c r="R322" s="11"/>
      <c r="S322" s="11" t="s">
        <v>412</v>
      </c>
      <c r="T322" s="11" t="s">
        <v>85</v>
      </c>
      <c r="U322" s="11"/>
      <c r="V322" s="11"/>
      <c r="W322" s="11"/>
      <c r="X322" s="11"/>
      <c r="Y322" s="11"/>
      <c r="Z322" s="11"/>
      <c r="AA322" s="11"/>
      <c r="AB322" s="9"/>
      <c r="AC322" s="2"/>
      <c r="AD322" s="9"/>
      <c r="AE322" s="2"/>
      <c r="AF322" s="9"/>
      <c r="AG322" s="10"/>
      <c r="AH322" s="11"/>
      <c r="AI322" s="11" t="s">
        <v>86</v>
      </c>
      <c r="AJ322" s="11"/>
      <c r="AK322" s="2"/>
      <c r="AL322" s="11"/>
      <c r="AM322" s="11"/>
      <c r="AN322" s="11"/>
      <c r="AO322" s="2"/>
      <c r="AP322" s="3"/>
      <c r="AQ322" s="11"/>
      <c r="AR322" s="3"/>
      <c r="AS322" s="2"/>
      <c r="AT322" s="11"/>
      <c r="AU322" s="2"/>
      <c r="AV322" s="2"/>
      <c r="AW322" s="2"/>
      <c r="AX322" s="11"/>
      <c r="AY322" s="11"/>
      <c r="AZ322" s="9"/>
      <c r="BA322" s="2">
        <v>1875</v>
      </c>
      <c r="BB322" s="11"/>
      <c r="BC322" s="11"/>
      <c r="BD322" s="11"/>
      <c r="BE322" s="11"/>
      <c r="BF322" s="11"/>
      <c r="BG322" s="11"/>
      <c r="BH322" s="11"/>
      <c r="BI322" s="11"/>
      <c r="BJ322" s="11" t="s">
        <v>87</v>
      </c>
      <c r="BK322" s="10">
        <v>46303.805902777778</v>
      </c>
      <c r="BL322" s="11"/>
      <c r="BM322" s="11"/>
      <c r="BN322" s="10">
        <v>46303.625</v>
      </c>
      <c r="BO322" s="11"/>
      <c r="BP322" s="11"/>
      <c r="BQ322" s="11"/>
      <c r="BR322" s="11"/>
      <c r="BS322" s="11"/>
      <c r="BT322" s="11"/>
      <c r="BU322" s="11"/>
      <c r="BV322" s="2"/>
      <c r="BW322" s="11"/>
    </row>
    <row r="323" spans="1:75" ht="30" x14ac:dyDescent="0.25">
      <c r="A323" s="2">
        <v>6200321</v>
      </c>
      <c r="B323" s="10">
        <v>46303.805902777778</v>
      </c>
      <c r="C323" s="11" t="s">
        <v>82</v>
      </c>
      <c r="D323" s="11"/>
      <c r="E323" s="11" t="s">
        <v>83</v>
      </c>
      <c r="F323" s="11"/>
      <c r="G323" s="11" t="s">
        <v>89</v>
      </c>
      <c r="H323" s="3"/>
      <c r="I323" s="11" t="s">
        <v>90</v>
      </c>
      <c r="J323" s="11"/>
      <c r="K323" s="11"/>
      <c r="L323" s="11"/>
      <c r="M323" s="11"/>
      <c r="N323" s="2">
        <v>1.25</v>
      </c>
      <c r="O323" s="2"/>
      <c r="P323" s="2"/>
      <c r="Q323" s="2"/>
      <c r="R323" s="11"/>
      <c r="S323" s="11" t="s">
        <v>413</v>
      </c>
      <c r="T323" s="11" t="s">
        <v>85</v>
      </c>
      <c r="U323" s="11"/>
      <c r="V323" s="11"/>
      <c r="W323" s="11"/>
      <c r="X323" s="11"/>
      <c r="Y323" s="11"/>
      <c r="Z323" s="11"/>
      <c r="AA323" s="11"/>
      <c r="AB323" s="9"/>
      <c r="AC323" s="2"/>
      <c r="AD323" s="9"/>
      <c r="AE323" s="2"/>
      <c r="AF323" s="9"/>
      <c r="AG323" s="10"/>
      <c r="AH323" s="11"/>
      <c r="AI323" s="11" t="s">
        <v>86</v>
      </c>
      <c r="AJ323" s="11"/>
      <c r="AK323" s="2"/>
      <c r="AL323" s="11"/>
      <c r="AM323" s="11"/>
      <c r="AN323" s="11"/>
      <c r="AO323" s="2"/>
      <c r="AP323" s="3"/>
      <c r="AQ323" s="11"/>
      <c r="AR323" s="3"/>
      <c r="AS323" s="2"/>
      <c r="AT323" s="11"/>
      <c r="AU323" s="2"/>
      <c r="AV323" s="2"/>
      <c r="AW323" s="2"/>
      <c r="AX323" s="11"/>
      <c r="AY323" s="11"/>
      <c r="AZ323" s="9"/>
      <c r="BA323" s="2">
        <v>1875</v>
      </c>
      <c r="BB323" s="11"/>
      <c r="BC323" s="11"/>
      <c r="BD323" s="11"/>
      <c r="BE323" s="11"/>
      <c r="BF323" s="11"/>
      <c r="BG323" s="11"/>
      <c r="BH323" s="11"/>
      <c r="BI323" s="11"/>
      <c r="BJ323" s="11" t="s">
        <v>87</v>
      </c>
      <c r="BK323" s="10">
        <v>46303.805902777778</v>
      </c>
      <c r="BL323" s="11"/>
      <c r="BM323" s="11"/>
      <c r="BN323" s="10">
        <v>46303.625</v>
      </c>
      <c r="BO323" s="11"/>
      <c r="BP323" s="11"/>
      <c r="BQ323" s="11"/>
      <c r="BR323" s="11"/>
      <c r="BS323" s="11"/>
      <c r="BT323" s="11"/>
      <c r="BU323" s="11"/>
      <c r="BV323" s="2"/>
      <c r="BW323" s="11"/>
    </row>
    <row r="324" spans="1:75" ht="30" x14ac:dyDescent="0.25">
      <c r="A324" s="2">
        <v>6200322</v>
      </c>
      <c r="B324" s="10">
        <v>46303.805902777778</v>
      </c>
      <c r="C324" s="11" t="s">
        <v>82</v>
      </c>
      <c r="D324" s="11"/>
      <c r="E324" s="11" t="s">
        <v>88</v>
      </c>
      <c r="F324" s="11"/>
      <c r="G324" s="2">
        <v>470123456</v>
      </c>
      <c r="H324" s="3"/>
      <c r="I324" s="11" t="s">
        <v>75</v>
      </c>
      <c r="J324" s="11"/>
      <c r="K324" s="11"/>
      <c r="L324" s="11"/>
      <c r="M324" s="11"/>
      <c r="N324" s="2">
        <v>1.25</v>
      </c>
      <c r="O324" s="2"/>
      <c r="P324" s="2"/>
      <c r="Q324" s="2"/>
      <c r="R324" s="11"/>
      <c r="S324" s="11" t="s">
        <v>414</v>
      </c>
      <c r="T324" s="11" t="s">
        <v>85</v>
      </c>
      <c r="U324" s="11"/>
      <c r="V324" s="11"/>
      <c r="W324" s="11"/>
      <c r="X324" s="11"/>
      <c r="Y324" s="11"/>
      <c r="Z324" s="11"/>
      <c r="AA324" s="11"/>
      <c r="AB324" s="9"/>
      <c r="AC324" s="2"/>
      <c r="AD324" s="9"/>
      <c r="AE324" s="2"/>
      <c r="AF324" s="9"/>
      <c r="AG324" s="10"/>
      <c r="AH324" s="11"/>
      <c r="AI324" s="11" t="s">
        <v>86</v>
      </c>
      <c r="AJ324" s="11"/>
      <c r="AK324" s="2"/>
      <c r="AL324" s="11"/>
      <c r="AM324" s="11"/>
      <c r="AN324" s="11"/>
      <c r="AO324" s="2"/>
      <c r="AP324" s="3"/>
      <c r="AQ324" s="11"/>
      <c r="AR324" s="3"/>
      <c r="AS324" s="2"/>
      <c r="AT324" s="11"/>
      <c r="AU324" s="2"/>
      <c r="AV324" s="2"/>
      <c r="AW324" s="2"/>
      <c r="AX324" s="11"/>
      <c r="AY324" s="11"/>
      <c r="AZ324" s="9"/>
      <c r="BA324" s="2">
        <v>1875</v>
      </c>
      <c r="BB324" s="11"/>
      <c r="BC324" s="11"/>
      <c r="BD324" s="11"/>
      <c r="BE324" s="11"/>
      <c r="BF324" s="11"/>
      <c r="BG324" s="11"/>
      <c r="BH324" s="11"/>
      <c r="BI324" s="11"/>
      <c r="BJ324" s="11" t="s">
        <v>87</v>
      </c>
      <c r="BK324" s="10">
        <v>46303.805902777778</v>
      </c>
      <c r="BL324" s="11"/>
      <c r="BM324" s="11"/>
      <c r="BN324" s="10">
        <v>46303.625</v>
      </c>
      <c r="BO324" s="11"/>
      <c r="BP324" s="11"/>
      <c r="BQ324" s="11"/>
      <c r="BR324" s="11"/>
      <c r="BS324" s="11"/>
      <c r="BT324" s="11"/>
      <c r="BU324" s="11"/>
      <c r="BV324" s="2"/>
      <c r="BW324" s="11"/>
    </row>
    <row r="325" spans="1:75" ht="30" x14ac:dyDescent="0.25">
      <c r="A325" s="2">
        <v>6200323</v>
      </c>
      <c r="B325" s="10">
        <v>46303.805902777778</v>
      </c>
      <c r="C325" s="11" t="s">
        <v>82</v>
      </c>
      <c r="D325" s="11"/>
      <c r="E325" s="11" t="s">
        <v>92</v>
      </c>
      <c r="F325" s="11"/>
      <c r="G325" s="11" t="s">
        <v>94</v>
      </c>
      <c r="H325" s="3"/>
      <c r="I325" s="11" t="s">
        <v>90</v>
      </c>
      <c r="J325" s="11"/>
      <c r="K325" s="11"/>
      <c r="L325" s="11"/>
      <c r="M325" s="11"/>
      <c r="N325" s="2">
        <v>1.25</v>
      </c>
      <c r="O325" s="2"/>
      <c r="P325" s="2"/>
      <c r="Q325" s="2"/>
      <c r="R325" s="11"/>
      <c r="S325" s="11" t="s">
        <v>415</v>
      </c>
      <c r="T325" s="11" t="s">
        <v>85</v>
      </c>
      <c r="U325" s="11"/>
      <c r="V325" s="11"/>
      <c r="W325" s="11"/>
      <c r="X325" s="11"/>
      <c r="Y325" s="11"/>
      <c r="Z325" s="11"/>
      <c r="AA325" s="11"/>
      <c r="AB325" s="9"/>
      <c r="AC325" s="2"/>
      <c r="AD325" s="9"/>
      <c r="AE325" s="2"/>
      <c r="AF325" s="9"/>
      <c r="AG325" s="10"/>
      <c r="AH325" s="11"/>
      <c r="AI325" s="11" t="s">
        <v>86</v>
      </c>
      <c r="AJ325" s="11"/>
      <c r="AK325" s="2"/>
      <c r="AL325" s="11"/>
      <c r="AM325" s="11"/>
      <c r="AN325" s="11"/>
      <c r="AO325" s="2"/>
      <c r="AP325" s="3"/>
      <c r="AQ325" s="11"/>
      <c r="AR325" s="3"/>
      <c r="AS325" s="2"/>
      <c r="AT325" s="11"/>
      <c r="AU325" s="2"/>
      <c r="AV325" s="2"/>
      <c r="AW325" s="2"/>
      <c r="AX325" s="11"/>
      <c r="AY325" s="11"/>
      <c r="AZ325" s="9"/>
      <c r="BA325" s="2">
        <v>1875</v>
      </c>
      <c r="BB325" s="11"/>
      <c r="BC325" s="11"/>
      <c r="BD325" s="11"/>
      <c r="BE325" s="11"/>
      <c r="BF325" s="11"/>
      <c r="BG325" s="11"/>
      <c r="BH325" s="11"/>
      <c r="BI325" s="11"/>
      <c r="BJ325" s="11" t="s">
        <v>87</v>
      </c>
      <c r="BK325" s="10">
        <v>46303.805902777778</v>
      </c>
      <c r="BL325" s="11"/>
      <c r="BM325" s="11"/>
      <c r="BN325" s="10">
        <v>46303.625</v>
      </c>
      <c r="BO325" s="11"/>
      <c r="BP325" s="11"/>
      <c r="BQ325" s="11"/>
      <c r="BR325" s="11"/>
      <c r="BS325" s="11"/>
      <c r="BT325" s="11"/>
      <c r="BU325" s="11"/>
      <c r="BV325" s="2"/>
      <c r="BW325" s="11"/>
    </row>
    <row r="326" spans="1:75" ht="30" x14ac:dyDescent="0.25">
      <c r="A326" s="2">
        <v>6200324</v>
      </c>
      <c r="B326" s="10">
        <v>46303.805902777778</v>
      </c>
      <c r="C326" s="11" t="s">
        <v>82</v>
      </c>
      <c r="D326" s="11"/>
      <c r="E326" s="11" t="s">
        <v>83</v>
      </c>
      <c r="F326" s="11"/>
      <c r="G326" s="11" t="s">
        <v>593</v>
      </c>
      <c r="H326" s="3"/>
      <c r="I326" s="11" t="s">
        <v>75</v>
      </c>
      <c r="J326" s="11"/>
      <c r="K326" s="11"/>
      <c r="L326" s="11"/>
      <c r="M326" s="11"/>
      <c r="N326" s="2">
        <v>1.25</v>
      </c>
      <c r="O326" s="2"/>
      <c r="P326" s="2"/>
      <c r="Q326" s="2"/>
      <c r="R326" s="11"/>
      <c r="S326" s="11" t="s">
        <v>416</v>
      </c>
      <c r="T326" s="11" t="s">
        <v>85</v>
      </c>
      <c r="U326" s="11"/>
      <c r="V326" s="11"/>
      <c r="W326" s="11"/>
      <c r="X326" s="11"/>
      <c r="Y326" s="11"/>
      <c r="Z326" s="11"/>
      <c r="AA326" s="11"/>
      <c r="AB326" s="9"/>
      <c r="AC326" s="2"/>
      <c r="AD326" s="9"/>
      <c r="AE326" s="2"/>
      <c r="AF326" s="9"/>
      <c r="AG326" s="10"/>
      <c r="AH326" s="11"/>
      <c r="AI326" s="11" t="s">
        <v>86</v>
      </c>
      <c r="AJ326" s="11"/>
      <c r="AK326" s="2"/>
      <c r="AL326" s="11"/>
      <c r="AM326" s="11"/>
      <c r="AN326" s="11"/>
      <c r="AO326" s="2"/>
      <c r="AP326" s="3"/>
      <c r="AQ326" s="11"/>
      <c r="AR326" s="3"/>
      <c r="AS326" s="2"/>
      <c r="AT326" s="11"/>
      <c r="AU326" s="2"/>
      <c r="AV326" s="2"/>
      <c r="AW326" s="2"/>
      <c r="AX326" s="11"/>
      <c r="AY326" s="11"/>
      <c r="AZ326" s="9"/>
      <c r="BA326" s="2">
        <v>1875</v>
      </c>
      <c r="BB326" s="11"/>
      <c r="BC326" s="11"/>
      <c r="BD326" s="11"/>
      <c r="BE326" s="11"/>
      <c r="BF326" s="11"/>
      <c r="BG326" s="11"/>
      <c r="BH326" s="11"/>
      <c r="BI326" s="11"/>
      <c r="BJ326" s="11" t="s">
        <v>87</v>
      </c>
      <c r="BK326" s="10">
        <v>46303.805902777778</v>
      </c>
      <c r="BL326" s="11"/>
      <c r="BM326" s="11"/>
      <c r="BN326" s="10">
        <v>46303.625</v>
      </c>
      <c r="BO326" s="11"/>
      <c r="BP326" s="11"/>
      <c r="BQ326" s="11"/>
      <c r="BR326" s="11"/>
      <c r="BS326" s="11"/>
      <c r="BT326" s="11"/>
      <c r="BU326" s="11"/>
      <c r="BV326" s="2"/>
      <c r="BW326" s="11"/>
    </row>
    <row r="327" spans="1:75" ht="30" x14ac:dyDescent="0.25">
      <c r="A327" s="2">
        <v>6200325</v>
      </c>
      <c r="B327" s="10">
        <v>46303.805902777778</v>
      </c>
      <c r="C327" s="11" t="s">
        <v>82</v>
      </c>
      <c r="D327" s="11"/>
      <c r="E327" s="11" t="s">
        <v>88</v>
      </c>
      <c r="F327" s="11"/>
      <c r="G327" s="11" t="s">
        <v>592</v>
      </c>
      <c r="H327" s="3"/>
      <c r="I327" s="11" t="s">
        <v>75</v>
      </c>
      <c r="J327" s="11"/>
      <c r="K327" s="11"/>
      <c r="L327" s="11"/>
      <c r="M327" s="11"/>
      <c r="N327" s="2">
        <v>1.25</v>
      </c>
      <c r="O327" s="2"/>
      <c r="P327" s="2"/>
      <c r="Q327" s="2"/>
      <c r="R327" s="11"/>
      <c r="S327" s="11" t="s">
        <v>417</v>
      </c>
      <c r="T327" s="11" t="s">
        <v>85</v>
      </c>
      <c r="U327" s="11"/>
      <c r="V327" s="11"/>
      <c r="W327" s="11"/>
      <c r="X327" s="11"/>
      <c r="Y327" s="11"/>
      <c r="Z327" s="11"/>
      <c r="AA327" s="11"/>
      <c r="AB327" s="9"/>
      <c r="AC327" s="2"/>
      <c r="AD327" s="9"/>
      <c r="AE327" s="2"/>
      <c r="AF327" s="9"/>
      <c r="AG327" s="10"/>
      <c r="AH327" s="11"/>
      <c r="AI327" s="11" t="s">
        <v>86</v>
      </c>
      <c r="AJ327" s="11"/>
      <c r="AK327" s="2"/>
      <c r="AL327" s="11"/>
      <c r="AM327" s="11"/>
      <c r="AN327" s="11"/>
      <c r="AO327" s="2"/>
      <c r="AP327" s="3"/>
      <c r="AQ327" s="11"/>
      <c r="AR327" s="3"/>
      <c r="AS327" s="2"/>
      <c r="AT327" s="11"/>
      <c r="AU327" s="2"/>
      <c r="AV327" s="2"/>
      <c r="AW327" s="2"/>
      <c r="AX327" s="11"/>
      <c r="AY327" s="11"/>
      <c r="AZ327" s="9"/>
      <c r="BA327" s="2">
        <v>1875</v>
      </c>
      <c r="BB327" s="11"/>
      <c r="BC327" s="11"/>
      <c r="BD327" s="11"/>
      <c r="BE327" s="11"/>
      <c r="BF327" s="11"/>
      <c r="BG327" s="11"/>
      <c r="BH327" s="11"/>
      <c r="BI327" s="11"/>
      <c r="BJ327" s="11" t="s">
        <v>87</v>
      </c>
      <c r="BK327" s="10">
        <v>46303.805902777778</v>
      </c>
      <c r="BL327" s="11"/>
      <c r="BM327" s="11"/>
      <c r="BN327" s="10">
        <v>46303.625</v>
      </c>
      <c r="BO327" s="11"/>
      <c r="BP327" s="11"/>
      <c r="BQ327" s="11"/>
      <c r="BR327" s="11"/>
      <c r="BS327" s="11"/>
      <c r="BT327" s="11"/>
      <c r="BU327" s="11"/>
      <c r="BV327" s="2"/>
      <c r="BW327" s="11"/>
    </row>
    <row r="328" spans="1:75" ht="30" x14ac:dyDescent="0.25">
      <c r="A328" s="2">
        <v>6200326</v>
      </c>
      <c r="B328" s="10">
        <v>46303.805902777778</v>
      </c>
      <c r="C328" s="11" t="s">
        <v>82</v>
      </c>
      <c r="D328" s="11"/>
      <c r="E328" s="11" t="s">
        <v>92</v>
      </c>
      <c r="F328" s="11"/>
      <c r="G328" s="11" t="s">
        <v>89</v>
      </c>
      <c r="H328" s="3"/>
      <c r="I328" s="11" t="s">
        <v>90</v>
      </c>
      <c r="J328" s="11"/>
      <c r="K328" s="11"/>
      <c r="L328" s="11"/>
      <c r="M328" s="11"/>
      <c r="N328" s="2">
        <v>1.25</v>
      </c>
      <c r="O328" s="2"/>
      <c r="P328" s="2"/>
      <c r="Q328" s="2"/>
      <c r="R328" s="11"/>
      <c r="S328" s="11" t="s">
        <v>418</v>
      </c>
      <c r="T328" s="11" t="s">
        <v>85</v>
      </c>
      <c r="U328" s="11"/>
      <c r="V328" s="11"/>
      <c r="W328" s="11"/>
      <c r="X328" s="11"/>
      <c r="Y328" s="11"/>
      <c r="Z328" s="11"/>
      <c r="AA328" s="11"/>
      <c r="AB328" s="9"/>
      <c r="AC328" s="2"/>
      <c r="AD328" s="9"/>
      <c r="AE328" s="2"/>
      <c r="AF328" s="9"/>
      <c r="AG328" s="10"/>
      <c r="AH328" s="11"/>
      <c r="AI328" s="11" t="s">
        <v>86</v>
      </c>
      <c r="AJ328" s="11"/>
      <c r="AK328" s="2"/>
      <c r="AL328" s="11"/>
      <c r="AM328" s="11"/>
      <c r="AN328" s="11"/>
      <c r="AO328" s="2"/>
      <c r="AP328" s="3"/>
      <c r="AQ328" s="11"/>
      <c r="AR328" s="3"/>
      <c r="AS328" s="2"/>
      <c r="AT328" s="11"/>
      <c r="AU328" s="2"/>
      <c r="AV328" s="2"/>
      <c r="AW328" s="2"/>
      <c r="AX328" s="11"/>
      <c r="AY328" s="11"/>
      <c r="AZ328" s="9"/>
      <c r="BA328" s="2">
        <v>1875</v>
      </c>
      <c r="BB328" s="11"/>
      <c r="BC328" s="11"/>
      <c r="BD328" s="11"/>
      <c r="BE328" s="11"/>
      <c r="BF328" s="11"/>
      <c r="BG328" s="11"/>
      <c r="BH328" s="11"/>
      <c r="BI328" s="11"/>
      <c r="BJ328" s="11" t="s">
        <v>87</v>
      </c>
      <c r="BK328" s="10">
        <v>46303.805902777778</v>
      </c>
      <c r="BL328" s="11"/>
      <c r="BM328" s="11"/>
      <c r="BN328" s="10">
        <v>46303.625</v>
      </c>
      <c r="BO328" s="11"/>
      <c r="BP328" s="11"/>
      <c r="BQ328" s="11"/>
      <c r="BR328" s="11"/>
      <c r="BS328" s="11"/>
      <c r="BT328" s="11"/>
      <c r="BU328" s="11"/>
      <c r="BV328" s="2"/>
      <c r="BW328" s="11"/>
    </row>
    <row r="329" spans="1:75" ht="30" x14ac:dyDescent="0.25">
      <c r="A329" s="2">
        <v>6200327</v>
      </c>
      <c r="B329" s="10">
        <v>46303.805902777778</v>
      </c>
      <c r="C329" s="11" t="s">
        <v>82</v>
      </c>
      <c r="D329" s="11"/>
      <c r="E329" s="11" t="s">
        <v>83</v>
      </c>
      <c r="F329" s="11"/>
      <c r="G329" s="2">
        <v>470123456</v>
      </c>
      <c r="H329" s="3"/>
      <c r="I329" s="11" t="s">
        <v>75</v>
      </c>
      <c r="J329" s="11"/>
      <c r="K329" s="11"/>
      <c r="L329" s="11"/>
      <c r="M329" s="11"/>
      <c r="N329" s="2">
        <v>1.25</v>
      </c>
      <c r="O329" s="2"/>
      <c r="P329" s="2"/>
      <c r="Q329" s="2"/>
      <c r="R329" s="11"/>
      <c r="S329" s="11" t="s">
        <v>419</v>
      </c>
      <c r="T329" s="11" t="s">
        <v>85</v>
      </c>
      <c r="U329" s="11"/>
      <c r="V329" s="11"/>
      <c r="W329" s="11"/>
      <c r="X329" s="11"/>
      <c r="Y329" s="11"/>
      <c r="Z329" s="11"/>
      <c r="AA329" s="11"/>
      <c r="AB329" s="9"/>
      <c r="AC329" s="2"/>
      <c r="AD329" s="9"/>
      <c r="AE329" s="2"/>
      <c r="AF329" s="9"/>
      <c r="AG329" s="10"/>
      <c r="AH329" s="11"/>
      <c r="AI329" s="11" t="s">
        <v>86</v>
      </c>
      <c r="AJ329" s="11"/>
      <c r="AK329" s="2"/>
      <c r="AL329" s="11"/>
      <c r="AM329" s="11"/>
      <c r="AN329" s="11"/>
      <c r="AO329" s="2"/>
      <c r="AP329" s="3"/>
      <c r="AQ329" s="11"/>
      <c r="AR329" s="3"/>
      <c r="AS329" s="2"/>
      <c r="AT329" s="11"/>
      <c r="AU329" s="2"/>
      <c r="AV329" s="2"/>
      <c r="AW329" s="2"/>
      <c r="AX329" s="11"/>
      <c r="AY329" s="11"/>
      <c r="AZ329" s="9"/>
      <c r="BA329" s="2">
        <v>1875</v>
      </c>
      <c r="BB329" s="11"/>
      <c r="BC329" s="11"/>
      <c r="BD329" s="11"/>
      <c r="BE329" s="11"/>
      <c r="BF329" s="11"/>
      <c r="BG329" s="11"/>
      <c r="BH329" s="11"/>
      <c r="BI329" s="11"/>
      <c r="BJ329" s="11" t="s">
        <v>87</v>
      </c>
      <c r="BK329" s="10">
        <v>46303.805902777778</v>
      </c>
      <c r="BL329" s="11"/>
      <c r="BM329" s="11"/>
      <c r="BN329" s="10">
        <v>46303.625</v>
      </c>
      <c r="BO329" s="11"/>
      <c r="BP329" s="11"/>
      <c r="BQ329" s="11"/>
      <c r="BR329" s="11"/>
      <c r="BS329" s="11"/>
      <c r="BT329" s="11"/>
      <c r="BU329" s="11"/>
      <c r="BV329" s="2"/>
      <c r="BW329" s="11"/>
    </row>
    <row r="330" spans="1:75" ht="30" x14ac:dyDescent="0.25">
      <c r="A330" s="2">
        <v>6200328</v>
      </c>
      <c r="B330" s="10">
        <v>46303.805902777778</v>
      </c>
      <c r="C330" s="11" t="s">
        <v>82</v>
      </c>
      <c r="D330" s="11"/>
      <c r="E330" s="11" t="s">
        <v>88</v>
      </c>
      <c r="F330" s="11"/>
      <c r="G330" s="11" t="s">
        <v>94</v>
      </c>
      <c r="H330" s="3"/>
      <c r="I330" s="11" t="s">
        <v>90</v>
      </c>
      <c r="J330" s="11"/>
      <c r="K330" s="11"/>
      <c r="L330" s="11"/>
      <c r="M330" s="11"/>
      <c r="N330" s="2">
        <v>1.25</v>
      </c>
      <c r="O330" s="2"/>
      <c r="P330" s="2"/>
      <c r="Q330" s="2"/>
      <c r="R330" s="11"/>
      <c r="S330" s="11" t="s">
        <v>420</v>
      </c>
      <c r="T330" s="11" t="s">
        <v>85</v>
      </c>
      <c r="U330" s="11"/>
      <c r="V330" s="11"/>
      <c r="W330" s="11"/>
      <c r="X330" s="11"/>
      <c r="Y330" s="11"/>
      <c r="Z330" s="11"/>
      <c r="AA330" s="11"/>
      <c r="AB330" s="9"/>
      <c r="AC330" s="2"/>
      <c r="AD330" s="9"/>
      <c r="AE330" s="2"/>
      <c r="AF330" s="9"/>
      <c r="AG330" s="10"/>
      <c r="AH330" s="11"/>
      <c r="AI330" s="11" t="s">
        <v>86</v>
      </c>
      <c r="AJ330" s="11"/>
      <c r="AK330" s="2"/>
      <c r="AL330" s="11"/>
      <c r="AM330" s="11"/>
      <c r="AN330" s="11"/>
      <c r="AO330" s="2"/>
      <c r="AP330" s="3"/>
      <c r="AQ330" s="11"/>
      <c r="AR330" s="3"/>
      <c r="AS330" s="2"/>
      <c r="AT330" s="11"/>
      <c r="AU330" s="2"/>
      <c r="AV330" s="2"/>
      <c r="AW330" s="2"/>
      <c r="AX330" s="11"/>
      <c r="AY330" s="11"/>
      <c r="AZ330" s="9"/>
      <c r="BA330" s="2">
        <v>1875</v>
      </c>
      <c r="BB330" s="11"/>
      <c r="BC330" s="11"/>
      <c r="BD330" s="11"/>
      <c r="BE330" s="11"/>
      <c r="BF330" s="11"/>
      <c r="BG330" s="11"/>
      <c r="BH330" s="11"/>
      <c r="BI330" s="11"/>
      <c r="BJ330" s="11" t="s">
        <v>87</v>
      </c>
      <c r="BK330" s="10">
        <v>46303.805902777778</v>
      </c>
      <c r="BL330" s="11"/>
      <c r="BM330" s="11"/>
      <c r="BN330" s="10">
        <v>46303.625</v>
      </c>
      <c r="BO330" s="11"/>
      <c r="BP330" s="11"/>
      <c r="BQ330" s="11"/>
      <c r="BR330" s="11"/>
      <c r="BS330" s="11"/>
      <c r="BT330" s="11"/>
      <c r="BU330" s="11"/>
      <c r="BV330" s="2"/>
      <c r="BW330" s="11"/>
    </row>
    <row r="331" spans="1:75" ht="30" x14ac:dyDescent="0.25">
      <c r="A331" s="2">
        <v>6200329</v>
      </c>
      <c r="B331" s="10">
        <v>46303.805902777778</v>
      </c>
      <c r="C331" s="11" t="s">
        <v>82</v>
      </c>
      <c r="D331" s="11"/>
      <c r="E331" s="11" t="s">
        <v>92</v>
      </c>
      <c r="F331" s="11"/>
      <c r="G331" s="11" t="s">
        <v>593</v>
      </c>
      <c r="H331" s="3"/>
      <c r="I331" s="11" t="s">
        <v>75</v>
      </c>
      <c r="J331" s="11"/>
      <c r="K331" s="11"/>
      <c r="L331" s="11"/>
      <c r="M331" s="11"/>
      <c r="N331" s="2">
        <v>1.25</v>
      </c>
      <c r="O331" s="2"/>
      <c r="P331" s="2"/>
      <c r="Q331" s="2"/>
      <c r="R331" s="11"/>
      <c r="S331" s="11" t="s">
        <v>421</v>
      </c>
      <c r="T331" s="11" t="s">
        <v>85</v>
      </c>
      <c r="U331" s="11"/>
      <c r="V331" s="11"/>
      <c r="W331" s="11"/>
      <c r="X331" s="11"/>
      <c r="Y331" s="11"/>
      <c r="Z331" s="11"/>
      <c r="AA331" s="11"/>
      <c r="AB331" s="9"/>
      <c r="AC331" s="2"/>
      <c r="AD331" s="9"/>
      <c r="AE331" s="2"/>
      <c r="AF331" s="9"/>
      <c r="AG331" s="10"/>
      <c r="AH331" s="11"/>
      <c r="AI331" s="11" t="s">
        <v>86</v>
      </c>
      <c r="AJ331" s="11"/>
      <c r="AK331" s="2"/>
      <c r="AL331" s="11"/>
      <c r="AM331" s="11"/>
      <c r="AN331" s="11"/>
      <c r="AO331" s="2"/>
      <c r="AP331" s="3"/>
      <c r="AQ331" s="11"/>
      <c r="AR331" s="3"/>
      <c r="AS331" s="2"/>
      <c r="AT331" s="11"/>
      <c r="AU331" s="2"/>
      <c r="AV331" s="2"/>
      <c r="AW331" s="2"/>
      <c r="AX331" s="11"/>
      <c r="AY331" s="11"/>
      <c r="AZ331" s="9"/>
      <c r="BA331" s="2">
        <v>1875</v>
      </c>
      <c r="BB331" s="11"/>
      <c r="BC331" s="11"/>
      <c r="BD331" s="11"/>
      <c r="BE331" s="11"/>
      <c r="BF331" s="11"/>
      <c r="BG331" s="11"/>
      <c r="BH331" s="11"/>
      <c r="BI331" s="11"/>
      <c r="BJ331" s="11" t="s">
        <v>87</v>
      </c>
      <c r="BK331" s="10">
        <v>46303.805902777778</v>
      </c>
      <c r="BL331" s="11"/>
      <c r="BM331" s="11"/>
      <c r="BN331" s="10">
        <v>46303.625</v>
      </c>
      <c r="BO331" s="11"/>
      <c r="BP331" s="11"/>
      <c r="BQ331" s="11"/>
      <c r="BR331" s="11"/>
      <c r="BS331" s="11"/>
      <c r="BT331" s="11"/>
      <c r="BU331" s="11"/>
      <c r="BV331" s="2"/>
      <c r="BW331" s="11"/>
    </row>
    <row r="332" spans="1:75" ht="30" x14ac:dyDescent="0.25">
      <c r="A332" s="2">
        <v>6200330</v>
      </c>
      <c r="B332" s="10">
        <v>46303.805902777778</v>
      </c>
      <c r="C332" s="11" t="s">
        <v>82</v>
      </c>
      <c r="D332" s="11"/>
      <c r="E332" s="11" t="s">
        <v>83</v>
      </c>
      <c r="F332" s="11"/>
      <c r="G332" s="11" t="s">
        <v>592</v>
      </c>
      <c r="H332" s="3"/>
      <c r="I332" s="11" t="s">
        <v>75</v>
      </c>
      <c r="J332" s="11"/>
      <c r="K332" s="11"/>
      <c r="L332" s="11"/>
      <c r="M332" s="11"/>
      <c r="N332" s="2">
        <v>1.25</v>
      </c>
      <c r="O332" s="2"/>
      <c r="P332" s="2"/>
      <c r="Q332" s="2"/>
      <c r="R332" s="11"/>
      <c r="S332" s="11" t="s">
        <v>422</v>
      </c>
      <c r="T332" s="11" t="s">
        <v>85</v>
      </c>
      <c r="U332" s="11"/>
      <c r="V332" s="11"/>
      <c r="W332" s="11"/>
      <c r="X332" s="11"/>
      <c r="Y332" s="11"/>
      <c r="Z332" s="11"/>
      <c r="AA332" s="11"/>
      <c r="AB332" s="9"/>
      <c r="AC332" s="2"/>
      <c r="AD332" s="9"/>
      <c r="AE332" s="2"/>
      <c r="AF332" s="9"/>
      <c r="AG332" s="10"/>
      <c r="AH332" s="11"/>
      <c r="AI332" s="11" t="s">
        <v>86</v>
      </c>
      <c r="AJ332" s="11"/>
      <c r="AK332" s="2"/>
      <c r="AL332" s="11"/>
      <c r="AM332" s="11"/>
      <c r="AN332" s="11"/>
      <c r="AO332" s="2"/>
      <c r="AP332" s="3"/>
      <c r="AQ332" s="11"/>
      <c r="AR332" s="3"/>
      <c r="AS332" s="2"/>
      <c r="AT332" s="11"/>
      <c r="AU332" s="2"/>
      <c r="AV332" s="2"/>
      <c r="AW332" s="2"/>
      <c r="AX332" s="11"/>
      <c r="AY332" s="11"/>
      <c r="AZ332" s="9"/>
      <c r="BA332" s="2">
        <v>1875</v>
      </c>
      <c r="BB332" s="11"/>
      <c r="BC332" s="11"/>
      <c r="BD332" s="11"/>
      <c r="BE332" s="11"/>
      <c r="BF332" s="11"/>
      <c r="BG332" s="11"/>
      <c r="BH332" s="11"/>
      <c r="BI332" s="11"/>
      <c r="BJ332" s="11" t="s">
        <v>87</v>
      </c>
      <c r="BK332" s="10">
        <v>46303.805902777778</v>
      </c>
      <c r="BL332" s="11"/>
      <c r="BM332" s="11"/>
      <c r="BN332" s="10">
        <v>46303.625</v>
      </c>
      <c r="BO332" s="11"/>
      <c r="BP332" s="11"/>
      <c r="BQ332" s="11"/>
      <c r="BR332" s="11"/>
      <c r="BS332" s="11"/>
      <c r="BT332" s="11"/>
      <c r="BU332" s="11"/>
      <c r="BV332" s="2"/>
      <c r="BW332" s="11"/>
    </row>
    <row r="333" spans="1:75" ht="30" x14ac:dyDescent="0.25">
      <c r="A333" s="2">
        <v>6200331</v>
      </c>
      <c r="B333" s="10">
        <v>46303.805902777778</v>
      </c>
      <c r="C333" s="11" t="s">
        <v>82</v>
      </c>
      <c r="D333" s="11"/>
      <c r="E333" s="11" t="s">
        <v>88</v>
      </c>
      <c r="F333" s="11"/>
      <c r="G333" s="11" t="s">
        <v>89</v>
      </c>
      <c r="H333" s="3"/>
      <c r="I333" s="11" t="s">
        <v>90</v>
      </c>
      <c r="J333" s="11"/>
      <c r="K333" s="11"/>
      <c r="L333" s="11"/>
      <c r="M333" s="11"/>
      <c r="N333" s="2">
        <v>1.25</v>
      </c>
      <c r="O333" s="2"/>
      <c r="P333" s="2"/>
      <c r="Q333" s="2"/>
      <c r="R333" s="11"/>
      <c r="S333" s="11" t="s">
        <v>423</v>
      </c>
      <c r="T333" s="11" t="s">
        <v>85</v>
      </c>
      <c r="U333" s="11"/>
      <c r="V333" s="11"/>
      <c r="W333" s="11"/>
      <c r="X333" s="11"/>
      <c r="Y333" s="11"/>
      <c r="Z333" s="11"/>
      <c r="AA333" s="11"/>
      <c r="AB333" s="9"/>
      <c r="AC333" s="2"/>
      <c r="AD333" s="9"/>
      <c r="AE333" s="2"/>
      <c r="AF333" s="9"/>
      <c r="AG333" s="10"/>
      <c r="AH333" s="11"/>
      <c r="AI333" s="11" t="s">
        <v>86</v>
      </c>
      <c r="AJ333" s="11"/>
      <c r="AK333" s="2"/>
      <c r="AL333" s="11"/>
      <c r="AM333" s="11"/>
      <c r="AN333" s="11"/>
      <c r="AO333" s="2"/>
      <c r="AP333" s="3"/>
      <c r="AQ333" s="11"/>
      <c r="AR333" s="3"/>
      <c r="AS333" s="2"/>
      <c r="AT333" s="11"/>
      <c r="AU333" s="2"/>
      <c r="AV333" s="2"/>
      <c r="AW333" s="2"/>
      <c r="AX333" s="11"/>
      <c r="AY333" s="11"/>
      <c r="AZ333" s="9"/>
      <c r="BA333" s="2">
        <v>1875</v>
      </c>
      <c r="BB333" s="11"/>
      <c r="BC333" s="11"/>
      <c r="BD333" s="11"/>
      <c r="BE333" s="11"/>
      <c r="BF333" s="11"/>
      <c r="BG333" s="11"/>
      <c r="BH333" s="11"/>
      <c r="BI333" s="11"/>
      <c r="BJ333" s="11" t="s">
        <v>87</v>
      </c>
      <c r="BK333" s="10">
        <v>46303.805902777778</v>
      </c>
      <c r="BL333" s="11"/>
      <c r="BM333" s="11"/>
      <c r="BN333" s="10">
        <v>46303.625</v>
      </c>
      <c r="BO333" s="11"/>
      <c r="BP333" s="11"/>
      <c r="BQ333" s="11"/>
      <c r="BR333" s="11"/>
      <c r="BS333" s="11"/>
      <c r="BT333" s="11"/>
      <c r="BU333" s="11"/>
      <c r="BV333" s="2"/>
      <c r="BW333" s="11"/>
    </row>
    <row r="334" spans="1:75" ht="30" x14ac:dyDescent="0.25">
      <c r="A334" s="2">
        <v>6200332</v>
      </c>
      <c r="B334" s="10">
        <v>46303.805902777778</v>
      </c>
      <c r="C334" s="11" t="s">
        <v>82</v>
      </c>
      <c r="D334" s="11"/>
      <c r="E334" s="11" t="s">
        <v>92</v>
      </c>
      <c r="F334" s="11"/>
      <c r="G334" s="2">
        <v>470123456</v>
      </c>
      <c r="H334" s="3"/>
      <c r="I334" s="11" t="s">
        <v>75</v>
      </c>
      <c r="J334" s="11"/>
      <c r="K334" s="11"/>
      <c r="L334" s="11"/>
      <c r="M334" s="11"/>
      <c r="N334" s="2">
        <v>1.25</v>
      </c>
      <c r="O334" s="2"/>
      <c r="P334" s="2"/>
      <c r="Q334" s="2"/>
      <c r="R334" s="11"/>
      <c r="S334" s="11" t="s">
        <v>424</v>
      </c>
      <c r="T334" s="11" t="s">
        <v>85</v>
      </c>
      <c r="U334" s="11"/>
      <c r="V334" s="11"/>
      <c r="W334" s="11"/>
      <c r="X334" s="11"/>
      <c r="Y334" s="11"/>
      <c r="Z334" s="11"/>
      <c r="AA334" s="11"/>
      <c r="AB334" s="9"/>
      <c r="AC334" s="2"/>
      <c r="AD334" s="9"/>
      <c r="AE334" s="2"/>
      <c r="AF334" s="9"/>
      <c r="AG334" s="10"/>
      <c r="AH334" s="11"/>
      <c r="AI334" s="11" t="s">
        <v>86</v>
      </c>
      <c r="AJ334" s="11"/>
      <c r="AK334" s="2"/>
      <c r="AL334" s="11"/>
      <c r="AM334" s="11"/>
      <c r="AN334" s="11"/>
      <c r="AO334" s="2"/>
      <c r="AP334" s="3"/>
      <c r="AQ334" s="11"/>
      <c r="AR334" s="3"/>
      <c r="AS334" s="2"/>
      <c r="AT334" s="11"/>
      <c r="AU334" s="2"/>
      <c r="AV334" s="2"/>
      <c r="AW334" s="2"/>
      <c r="AX334" s="11"/>
      <c r="AY334" s="11"/>
      <c r="AZ334" s="9"/>
      <c r="BA334" s="2">
        <v>1875</v>
      </c>
      <c r="BB334" s="11"/>
      <c r="BC334" s="11"/>
      <c r="BD334" s="11"/>
      <c r="BE334" s="11"/>
      <c r="BF334" s="11"/>
      <c r="BG334" s="11"/>
      <c r="BH334" s="11"/>
      <c r="BI334" s="11"/>
      <c r="BJ334" s="11" t="s">
        <v>87</v>
      </c>
      <c r="BK334" s="10">
        <v>46303.805902777778</v>
      </c>
      <c r="BL334" s="11"/>
      <c r="BM334" s="11"/>
      <c r="BN334" s="10">
        <v>46303.625</v>
      </c>
      <c r="BO334" s="11"/>
      <c r="BP334" s="11"/>
      <c r="BQ334" s="11"/>
      <c r="BR334" s="11"/>
      <c r="BS334" s="11"/>
      <c r="BT334" s="11"/>
      <c r="BU334" s="11"/>
      <c r="BV334" s="2"/>
      <c r="BW334" s="11"/>
    </row>
    <row r="335" spans="1:75" ht="30" x14ac:dyDescent="0.25">
      <c r="A335" s="2">
        <v>6200333</v>
      </c>
      <c r="B335" s="10">
        <v>46303.805902777778</v>
      </c>
      <c r="C335" s="11" t="s">
        <v>82</v>
      </c>
      <c r="D335" s="11"/>
      <c r="E335" s="11" t="s">
        <v>83</v>
      </c>
      <c r="F335" s="11"/>
      <c r="G335" s="11" t="s">
        <v>94</v>
      </c>
      <c r="H335" s="3"/>
      <c r="I335" s="11" t="s">
        <v>90</v>
      </c>
      <c r="J335" s="11"/>
      <c r="K335" s="11"/>
      <c r="L335" s="11"/>
      <c r="M335" s="11"/>
      <c r="N335" s="2">
        <v>1.25</v>
      </c>
      <c r="O335" s="2"/>
      <c r="P335" s="2"/>
      <c r="Q335" s="2"/>
      <c r="R335" s="11"/>
      <c r="S335" s="11" t="s">
        <v>425</v>
      </c>
      <c r="T335" s="11" t="s">
        <v>85</v>
      </c>
      <c r="U335" s="11"/>
      <c r="V335" s="11"/>
      <c r="W335" s="11"/>
      <c r="X335" s="11"/>
      <c r="Y335" s="11"/>
      <c r="Z335" s="11"/>
      <c r="AA335" s="11"/>
      <c r="AB335" s="9"/>
      <c r="AC335" s="2"/>
      <c r="AD335" s="9"/>
      <c r="AE335" s="2"/>
      <c r="AF335" s="9"/>
      <c r="AG335" s="10"/>
      <c r="AH335" s="11"/>
      <c r="AI335" s="11" t="s">
        <v>86</v>
      </c>
      <c r="AJ335" s="11"/>
      <c r="AK335" s="2"/>
      <c r="AL335" s="11"/>
      <c r="AM335" s="11"/>
      <c r="AN335" s="11"/>
      <c r="AO335" s="2"/>
      <c r="AP335" s="3"/>
      <c r="AQ335" s="11"/>
      <c r="AR335" s="3"/>
      <c r="AS335" s="2"/>
      <c r="AT335" s="11"/>
      <c r="AU335" s="2"/>
      <c r="AV335" s="2"/>
      <c r="AW335" s="2"/>
      <c r="AX335" s="11"/>
      <c r="AY335" s="11"/>
      <c r="AZ335" s="9"/>
      <c r="BA335" s="2">
        <v>1875</v>
      </c>
      <c r="BB335" s="11"/>
      <c r="BC335" s="11"/>
      <c r="BD335" s="11"/>
      <c r="BE335" s="11"/>
      <c r="BF335" s="11"/>
      <c r="BG335" s="11"/>
      <c r="BH335" s="11"/>
      <c r="BI335" s="11"/>
      <c r="BJ335" s="11" t="s">
        <v>87</v>
      </c>
      <c r="BK335" s="10">
        <v>46303.805902777778</v>
      </c>
      <c r="BL335" s="11"/>
      <c r="BM335" s="11"/>
      <c r="BN335" s="10">
        <v>46303.625</v>
      </c>
      <c r="BO335" s="11"/>
      <c r="BP335" s="11"/>
      <c r="BQ335" s="11"/>
      <c r="BR335" s="11"/>
      <c r="BS335" s="11"/>
      <c r="BT335" s="11"/>
      <c r="BU335" s="11"/>
      <c r="BV335" s="2"/>
      <c r="BW335" s="11"/>
    </row>
    <row r="336" spans="1:75" ht="30" x14ac:dyDescent="0.25">
      <c r="A336" s="2">
        <v>6200334</v>
      </c>
      <c r="B336" s="10">
        <v>46303.805902777778</v>
      </c>
      <c r="C336" s="11" t="s">
        <v>82</v>
      </c>
      <c r="D336" s="11"/>
      <c r="E336" s="11" t="s">
        <v>88</v>
      </c>
      <c r="F336" s="11"/>
      <c r="G336" s="11" t="s">
        <v>593</v>
      </c>
      <c r="H336" s="3"/>
      <c r="I336" s="11" t="s">
        <v>75</v>
      </c>
      <c r="J336" s="11"/>
      <c r="K336" s="11"/>
      <c r="L336" s="11"/>
      <c r="M336" s="11"/>
      <c r="N336" s="2">
        <v>1.25</v>
      </c>
      <c r="O336" s="2"/>
      <c r="P336" s="2"/>
      <c r="Q336" s="2"/>
      <c r="R336" s="11"/>
      <c r="S336" s="11" t="s">
        <v>426</v>
      </c>
      <c r="T336" s="11" t="s">
        <v>85</v>
      </c>
      <c r="U336" s="11"/>
      <c r="V336" s="11"/>
      <c r="W336" s="11"/>
      <c r="X336" s="11"/>
      <c r="Y336" s="11"/>
      <c r="Z336" s="11"/>
      <c r="AA336" s="11"/>
      <c r="AB336" s="9"/>
      <c r="AC336" s="2"/>
      <c r="AD336" s="9"/>
      <c r="AE336" s="2"/>
      <c r="AF336" s="9"/>
      <c r="AG336" s="10"/>
      <c r="AH336" s="11"/>
      <c r="AI336" s="11" t="s">
        <v>86</v>
      </c>
      <c r="AJ336" s="11"/>
      <c r="AK336" s="2"/>
      <c r="AL336" s="11"/>
      <c r="AM336" s="11"/>
      <c r="AN336" s="11"/>
      <c r="AO336" s="2"/>
      <c r="AP336" s="3"/>
      <c r="AQ336" s="11"/>
      <c r="AR336" s="3"/>
      <c r="AS336" s="2"/>
      <c r="AT336" s="11"/>
      <c r="AU336" s="2"/>
      <c r="AV336" s="2"/>
      <c r="AW336" s="2"/>
      <c r="AX336" s="11"/>
      <c r="AY336" s="11"/>
      <c r="AZ336" s="9"/>
      <c r="BA336" s="2">
        <v>1875</v>
      </c>
      <c r="BB336" s="11"/>
      <c r="BC336" s="11"/>
      <c r="BD336" s="11"/>
      <c r="BE336" s="11"/>
      <c r="BF336" s="11"/>
      <c r="BG336" s="11"/>
      <c r="BH336" s="11"/>
      <c r="BI336" s="11"/>
      <c r="BJ336" s="11" t="s">
        <v>87</v>
      </c>
      <c r="BK336" s="10">
        <v>46303.805902777778</v>
      </c>
      <c r="BL336" s="11"/>
      <c r="BM336" s="11"/>
      <c r="BN336" s="10">
        <v>46303.625</v>
      </c>
      <c r="BO336" s="11"/>
      <c r="BP336" s="11"/>
      <c r="BQ336" s="11"/>
      <c r="BR336" s="11"/>
      <c r="BS336" s="11"/>
      <c r="BT336" s="11"/>
      <c r="BU336" s="11"/>
      <c r="BV336" s="2"/>
      <c r="BW336" s="11"/>
    </row>
    <row r="337" spans="1:75" ht="30" x14ac:dyDescent="0.25">
      <c r="A337" s="2">
        <v>6200335</v>
      </c>
      <c r="B337" s="10">
        <v>46303.805902777778</v>
      </c>
      <c r="C337" s="11" t="s">
        <v>82</v>
      </c>
      <c r="D337" s="11"/>
      <c r="E337" s="11" t="s">
        <v>92</v>
      </c>
      <c r="F337" s="11"/>
      <c r="G337" s="11" t="s">
        <v>592</v>
      </c>
      <c r="H337" s="3"/>
      <c r="I337" s="11" t="s">
        <v>75</v>
      </c>
      <c r="J337" s="11"/>
      <c r="K337" s="11"/>
      <c r="L337" s="11"/>
      <c r="M337" s="11"/>
      <c r="N337" s="2">
        <v>1.25</v>
      </c>
      <c r="O337" s="2"/>
      <c r="P337" s="2"/>
      <c r="Q337" s="2"/>
      <c r="R337" s="11"/>
      <c r="S337" s="11" t="s">
        <v>427</v>
      </c>
      <c r="T337" s="11" t="s">
        <v>85</v>
      </c>
      <c r="U337" s="11"/>
      <c r="V337" s="11"/>
      <c r="W337" s="11"/>
      <c r="X337" s="11"/>
      <c r="Y337" s="11"/>
      <c r="Z337" s="11"/>
      <c r="AA337" s="11"/>
      <c r="AB337" s="9"/>
      <c r="AC337" s="2"/>
      <c r="AD337" s="9"/>
      <c r="AE337" s="2"/>
      <c r="AF337" s="9"/>
      <c r="AG337" s="10"/>
      <c r="AH337" s="11"/>
      <c r="AI337" s="11" t="s">
        <v>86</v>
      </c>
      <c r="AJ337" s="11"/>
      <c r="AK337" s="2"/>
      <c r="AL337" s="11"/>
      <c r="AM337" s="11"/>
      <c r="AN337" s="11"/>
      <c r="AO337" s="2"/>
      <c r="AP337" s="3"/>
      <c r="AQ337" s="11"/>
      <c r="AR337" s="3"/>
      <c r="AS337" s="2"/>
      <c r="AT337" s="11"/>
      <c r="AU337" s="2"/>
      <c r="AV337" s="2"/>
      <c r="AW337" s="2"/>
      <c r="AX337" s="11"/>
      <c r="AY337" s="11"/>
      <c r="AZ337" s="9"/>
      <c r="BA337" s="2">
        <v>1875</v>
      </c>
      <c r="BB337" s="11"/>
      <c r="BC337" s="11"/>
      <c r="BD337" s="11"/>
      <c r="BE337" s="11"/>
      <c r="BF337" s="11"/>
      <c r="BG337" s="11"/>
      <c r="BH337" s="11"/>
      <c r="BI337" s="11"/>
      <c r="BJ337" s="11" t="s">
        <v>87</v>
      </c>
      <c r="BK337" s="10">
        <v>46303.805902777778</v>
      </c>
      <c r="BL337" s="11"/>
      <c r="BM337" s="11"/>
      <c r="BN337" s="10">
        <v>46303.625</v>
      </c>
      <c r="BO337" s="11"/>
      <c r="BP337" s="11"/>
      <c r="BQ337" s="11"/>
      <c r="BR337" s="11"/>
      <c r="BS337" s="11"/>
      <c r="BT337" s="11"/>
      <c r="BU337" s="11"/>
      <c r="BV337" s="2"/>
      <c r="BW337" s="11"/>
    </row>
    <row r="338" spans="1:75" ht="30" x14ac:dyDescent="0.25">
      <c r="A338" s="2">
        <v>6200336</v>
      </c>
      <c r="B338" s="10">
        <v>46303.805902777778</v>
      </c>
      <c r="C338" s="11" t="s">
        <v>82</v>
      </c>
      <c r="D338" s="11"/>
      <c r="E338" s="11" t="s">
        <v>83</v>
      </c>
      <c r="F338" s="11"/>
      <c r="G338" s="11" t="s">
        <v>89</v>
      </c>
      <c r="H338" s="3"/>
      <c r="I338" s="11" t="s">
        <v>90</v>
      </c>
      <c r="J338" s="11"/>
      <c r="K338" s="11"/>
      <c r="L338" s="11"/>
      <c r="M338" s="11"/>
      <c r="N338" s="2">
        <v>1.25</v>
      </c>
      <c r="O338" s="2"/>
      <c r="P338" s="2"/>
      <c r="Q338" s="2"/>
      <c r="R338" s="11"/>
      <c r="S338" s="11" t="s">
        <v>428</v>
      </c>
      <c r="T338" s="11" t="s">
        <v>85</v>
      </c>
      <c r="U338" s="11"/>
      <c r="V338" s="11"/>
      <c r="W338" s="11"/>
      <c r="X338" s="11"/>
      <c r="Y338" s="11"/>
      <c r="Z338" s="11"/>
      <c r="AA338" s="11"/>
      <c r="AB338" s="9"/>
      <c r="AC338" s="2"/>
      <c r="AD338" s="9"/>
      <c r="AE338" s="2"/>
      <c r="AF338" s="9"/>
      <c r="AG338" s="10"/>
      <c r="AH338" s="11"/>
      <c r="AI338" s="11" t="s">
        <v>86</v>
      </c>
      <c r="AJ338" s="11"/>
      <c r="AK338" s="2"/>
      <c r="AL338" s="11"/>
      <c r="AM338" s="11"/>
      <c r="AN338" s="11"/>
      <c r="AO338" s="2"/>
      <c r="AP338" s="3"/>
      <c r="AQ338" s="11"/>
      <c r="AR338" s="3"/>
      <c r="AS338" s="2"/>
      <c r="AT338" s="11"/>
      <c r="AU338" s="2"/>
      <c r="AV338" s="2"/>
      <c r="AW338" s="2"/>
      <c r="AX338" s="11"/>
      <c r="AY338" s="11"/>
      <c r="AZ338" s="9"/>
      <c r="BA338" s="2">
        <v>1875</v>
      </c>
      <c r="BB338" s="11"/>
      <c r="BC338" s="11"/>
      <c r="BD338" s="11"/>
      <c r="BE338" s="11"/>
      <c r="BF338" s="11"/>
      <c r="BG338" s="11"/>
      <c r="BH338" s="11"/>
      <c r="BI338" s="11"/>
      <c r="BJ338" s="11" t="s">
        <v>87</v>
      </c>
      <c r="BK338" s="10">
        <v>46303.805902777778</v>
      </c>
      <c r="BL338" s="11"/>
      <c r="BM338" s="11"/>
      <c r="BN338" s="10">
        <v>46303.625</v>
      </c>
      <c r="BO338" s="11"/>
      <c r="BP338" s="11"/>
      <c r="BQ338" s="11"/>
      <c r="BR338" s="11"/>
      <c r="BS338" s="11"/>
      <c r="BT338" s="11"/>
      <c r="BU338" s="11"/>
      <c r="BV338" s="2"/>
      <c r="BW338" s="11"/>
    </row>
    <row r="339" spans="1:75" ht="30" x14ac:dyDescent="0.25">
      <c r="A339" s="2">
        <v>6200337</v>
      </c>
      <c r="B339" s="10">
        <v>46303.805902777778</v>
      </c>
      <c r="C339" s="11" t="s">
        <v>82</v>
      </c>
      <c r="D339" s="11"/>
      <c r="E339" s="11" t="s">
        <v>88</v>
      </c>
      <c r="F339" s="11"/>
      <c r="G339" s="2">
        <v>470123456</v>
      </c>
      <c r="H339" s="3"/>
      <c r="I339" s="11" t="s">
        <v>75</v>
      </c>
      <c r="J339" s="11"/>
      <c r="K339" s="11"/>
      <c r="L339" s="11"/>
      <c r="M339" s="11"/>
      <c r="N339" s="2">
        <v>1.25</v>
      </c>
      <c r="O339" s="2"/>
      <c r="P339" s="2"/>
      <c r="Q339" s="2"/>
      <c r="R339" s="11"/>
      <c r="S339" s="11" t="s">
        <v>429</v>
      </c>
      <c r="T339" s="11" t="s">
        <v>85</v>
      </c>
      <c r="U339" s="11"/>
      <c r="V339" s="11"/>
      <c r="W339" s="11"/>
      <c r="X339" s="11"/>
      <c r="Y339" s="11"/>
      <c r="Z339" s="11"/>
      <c r="AA339" s="11"/>
      <c r="AB339" s="9"/>
      <c r="AC339" s="2"/>
      <c r="AD339" s="9"/>
      <c r="AE339" s="2"/>
      <c r="AF339" s="9"/>
      <c r="AG339" s="10"/>
      <c r="AH339" s="11"/>
      <c r="AI339" s="11" t="s">
        <v>86</v>
      </c>
      <c r="AJ339" s="11"/>
      <c r="AK339" s="2"/>
      <c r="AL339" s="11"/>
      <c r="AM339" s="11"/>
      <c r="AN339" s="11"/>
      <c r="AO339" s="2"/>
      <c r="AP339" s="3"/>
      <c r="AQ339" s="11"/>
      <c r="AR339" s="3"/>
      <c r="AS339" s="2"/>
      <c r="AT339" s="11"/>
      <c r="AU339" s="2"/>
      <c r="AV339" s="2"/>
      <c r="AW339" s="2"/>
      <c r="AX339" s="11"/>
      <c r="AY339" s="11"/>
      <c r="AZ339" s="9"/>
      <c r="BA339" s="2">
        <v>1875</v>
      </c>
      <c r="BB339" s="11"/>
      <c r="BC339" s="11"/>
      <c r="BD339" s="11"/>
      <c r="BE339" s="11"/>
      <c r="BF339" s="11"/>
      <c r="BG339" s="11"/>
      <c r="BH339" s="11"/>
      <c r="BI339" s="11"/>
      <c r="BJ339" s="11" t="s">
        <v>87</v>
      </c>
      <c r="BK339" s="10">
        <v>46303.805902777778</v>
      </c>
      <c r="BL339" s="11"/>
      <c r="BM339" s="11"/>
      <c r="BN339" s="10">
        <v>46303.625</v>
      </c>
      <c r="BO339" s="11"/>
      <c r="BP339" s="11"/>
      <c r="BQ339" s="11"/>
      <c r="BR339" s="11"/>
      <c r="BS339" s="11"/>
      <c r="BT339" s="11"/>
      <c r="BU339" s="11"/>
      <c r="BV339" s="2"/>
      <c r="BW339" s="11"/>
    </row>
    <row r="340" spans="1:75" ht="30" x14ac:dyDescent="0.25">
      <c r="A340" s="2">
        <v>6200338</v>
      </c>
      <c r="B340" s="10">
        <v>46303.805902777778</v>
      </c>
      <c r="C340" s="11" t="s">
        <v>82</v>
      </c>
      <c r="D340" s="11"/>
      <c r="E340" s="11" t="s">
        <v>92</v>
      </c>
      <c r="F340" s="11"/>
      <c r="G340" s="11" t="s">
        <v>94</v>
      </c>
      <c r="H340" s="3"/>
      <c r="I340" s="11" t="s">
        <v>90</v>
      </c>
      <c r="J340" s="11"/>
      <c r="K340" s="11"/>
      <c r="L340" s="11"/>
      <c r="M340" s="11"/>
      <c r="N340" s="2">
        <v>1.25</v>
      </c>
      <c r="O340" s="2"/>
      <c r="P340" s="2"/>
      <c r="Q340" s="2"/>
      <c r="R340" s="11"/>
      <c r="S340" s="11" t="s">
        <v>430</v>
      </c>
      <c r="T340" s="11" t="s">
        <v>85</v>
      </c>
      <c r="U340" s="11"/>
      <c r="V340" s="11"/>
      <c r="W340" s="11"/>
      <c r="X340" s="11"/>
      <c r="Y340" s="11"/>
      <c r="Z340" s="11"/>
      <c r="AA340" s="11"/>
      <c r="AB340" s="9"/>
      <c r="AC340" s="2"/>
      <c r="AD340" s="9"/>
      <c r="AE340" s="2"/>
      <c r="AF340" s="9"/>
      <c r="AG340" s="10"/>
      <c r="AH340" s="11"/>
      <c r="AI340" s="11" t="s">
        <v>86</v>
      </c>
      <c r="AJ340" s="11"/>
      <c r="AK340" s="2"/>
      <c r="AL340" s="11"/>
      <c r="AM340" s="11"/>
      <c r="AN340" s="11"/>
      <c r="AO340" s="2"/>
      <c r="AP340" s="3"/>
      <c r="AQ340" s="11"/>
      <c r="AR340" s="3"/>
      <c r="AS340" s="2"/>
      <c r="AT340" s="11"/>
      <c r="AU340" s="2"/>
      <c r="AV340" s="2"/>
      <c r="AW340" s="2"/>
      <c r="AX340" s="11"/>
      <c r="AY340" s="11"/>
      <c r="AZ340" s="9"/>
      <c r="BA340" s="2">
        <v>1875</v>
      </c>
      <c r="BB340" s="11"/>
      <c r="BC340" s="11"/>
      <c r="BD340" s="11"/>
      <c r="BE340" s="11"/>
      <c r="BF340" s="11"/>
      <c r="BG340" s="11"/>
      <c r="BH340" s="11"/>
      <c r="BI340" s="11"/>
      <c r="BJ340" s="11" t="s">
        <v>87</v>
      </c>
      <c r="BK340" s="10">
        <v>46303.805902777778</v>
      </c>
      <c r="BL340" s="11"/>
      <c r="BM340" s="11"/>
      <c r="BN340" s="10">
        <v>46303.625</v>
      </c>
      <c r="BO340" s="11"/>
      <c r="BP340" s="11"/>
      <c r="BQ340" s="11"/>
      <c r="BR340" s="11"/>
      <c r="BS340" s="11"/>
      <c r="BT340" s="11"/>
      <c r="BU340" s="11"/>
      <c r="BV340" s="2"/>
      <c r="BW340" s="11"/>
    </row>
    <row r="341" spans="1:75" ht="30" x14ac:dyDescent="0.25">
      <c r="A341" s="2">
        <v>6200339</v>
      </c>
      <c r="B341" s="10">
        <v>46303.805902777778</v>
      </c>
      <c r="C341" s="11" t="s">
        <v>82</v>
      </c>
      <c r="D341" s="11"/>
      <c r="E341" s="11" t="s">
        <v>83</v>
      </c>
      <c r="F341" s="11"/>
      <c r="G341" s="11" t="s">
        <v>593</v>
      </c>
      <c r="H341" s="3"/>
      <c r="I341" s="11" t="s">
        <v>75</v>
      </c>
      <c r="J341" s="11"/>
      <c r="K341" s="11"/>
      <c r="L341" s="11"/>
      <c r="M341" s="11"/>
      <c r="N341" s="2">
        <v>1.25</v>
      </c>
      <c r="O341" s="2"/>
      <c r="P341" s="2"/>
      <c r="Q341" s="2"/>
      <c r="R341" s="11"/>
      <c r="S341" s="11" t="s">
        <v>431</v>
      </c>
      <c r="T341" s="11" t="s">
        <v>85</v>
      </c>
      <c r="U341" s="11"/>
      <c r="V341" s="11"/>
      <c r="W341" s="11"/>
      <c r="X341" s="11"/>
      <c r="Y341" s="11"/>
      <c r="Z341" s="11"/>
      <c r="AA341" s="11"/>
      <c r="AB341" s="9"/>
      <c r="AC341" s="2"/>
      <c r="AD341" s="9"/>
      <c r="AE341" s="2"/>
      <c r="AF341" s="9"/>
      <c r="AG341" s="10"/>
      <c r="AH341" s="11"/>
      <c r="AI341" s="11" t="s">
        <v>86</v>
      </c>
      <c r="AJ341" s="11"/>
      <c r="AK341" s="2"/>
      <c r="AL341" s="11"/>
      <c r="AM341" s="11"/>
      <c r="AN341" s="11"/>
      <c r="AO341" s="2"/>
      <c r="AP341" s="3"/>
      <c r="AQ341" s="11"/>
      <c r="AR341" s="3"/>
      <c r="AS341" s="2"/>
      <c r="AT341" s="11"/>
      <c r="AU341" s="2"/>
      <c r="AV341" s="2"/>
      <c r="AW341" s="2"/>
      <c r="AX341" s="11"/>
      <c r="AY341" s="11"/>
      <c r="AZ341" s="9"/>
      <c r="BA341" s="2">
        <v>1875</v>
      </c>
      <c r="BB341" s="11"/>
      <c r="BC341" s="11"/>
      <c r="BD341" s="11"/>
      <c r="BE341" s="11"/>
      <c r="BF341" s="11"/>
      <c r="BG341" s="11"/>
      <c r="BH341" s="11"/>
      <c r="BI341" s="11"/>
      <c r="BJ341" s="11" t="s">
        <v>87</v>
      </c>
      <c r="BK341" s="10">
        <v>46303.805902777778</v>
      </c>
      <c r="BL341" s="11"/>
      <c r="BM341" s="11"/>
      <c r="BN341" s="10">
        <v>46303.625</v>
      </c>
      <c r="BO341" s="11"/>
      <c r="BP341" s="11"/>
      <c r="BQ341" s="11"/>
      <c r="BR341" s="11"/>
      <c r="BS341" s="11"/>
      <c r="BT341" s="11"/>
      <c r="BU341" s="11"/>
      <c r="BV341" s="2"/>
      <c r="BW341" s="11"/>
    </row>
    <row r="342" spans="1:75" ht="30" x14ac:dyDescent="0.25">
      <c r="A342" s="2">
        <v>6200340</v>
      </c>
      <c r="B342" s="10">
        <v>46303.805902777778</v>
      </c>
      <c r="C342" s="11" t="s">
        <v>82</v>
      </c>
      <c r="D342" s="11"/>
      <c r="E342" s="11" t="s">
        <v>88</v>
      </c>
      <c r="F342" s="11"/>
      <c r="G342" s="11" t="s">
        <v>592</v>
      </c>
      <c r="H342" s="3"/>
      <c r="I342" s="11" t="s">
        <v>75</v>
      </c>
      <c r="J342" s="11"/>
      <c r="K342" s="11"/>
      <c r="L342" s="11"/>
      <c r="M342" s="11"/>
      <c r="N342" s="2">
        <v>1.25</v>
      </c>
      <c r="O342" s="2"/>
      <c r="P342" s="2"/>
      <c r="Q342" s="2"/>
      <c r="R342" s="11"/>
      <c r="S342" s="11" t="s">
        <v>432</v>
      </c>
      <c r="T342" s="11" t="s">
        <v>85</v>
      </c>
      <c r="U342" s="11"/>
      <c r="V342" s="11"/>
      <c r="W342" s="11"/>
      <c r="X342" s="11"/>
      <c r="Y342" s="11"/>
      <c r="Z342" s="11"/>
      <c r="AA342" s="11"/>
      <c r="AB342" s="9"/>
      <c r="AC342" s="2"/>
      <c r="AD342" s="9"/>
      <c r="AE342" s="2"/>
      <c r="AF342" s="9"/>
      <c r="AG342" s="10"/>
      <c r="AH342" s="11"/>
      <c r="AI342" s="11" t="s">
        <v>86</v>
      </c>
      <c r="AJ342" s="11"/>
      <c r="AK342" s="2"/>
      <c r="AL342" s="11"/>
      <c r="AM342" s="11"/>
      <c r="AN342" s="11"/>
      <c r="AO342" s="2"/>
      <c r="AP342" s="3"/>
      <c r="AQ342" s="11"/>
      <c r="AR342" s="3"/>
      <c r="AS342" s="2"/>
      <c r="AT342" s="11"/>
      <c r="AU342" s="2"/>
      <c r="AV342" s="2"/>
      <c r="AW342" s="2"/>
      <c r="AX342" s="11"/>
      <c r="AY342" s="11"/>
      <c r="AZ342" s="9"/>
      <c r="BA342" s="2">
        <v>1875</v>
      </c>
      <c r="BB342" s="11"/>
      <c r="BC342" s="11"/>
      <c r="BD342" s="11"/>
      <c r="BE342" s="11"/>
      <c r="BF342" s="11"/>
      <c r="BG342" s="11"/>
      <c r="BH342" s="11"/>
      <c r="BI342" s="11"/>
      <c r="BJ342" s="11" t="s">
        <v>87</v>
      </c>
      <c r="BK342" s="10">
        <v>46303.805902777778</v>
      </c>
      <c r="BL342" s="11"/>
      <c r="BM342" s="11"/>
      <c r="BN342" s="10">
        <v>46303.625</v>
      </c>
      <c r="BO342" s="11"/>
      <c r="BP342" s="11"/>
      <c r="BQ342" s="11"/>
      <c r="BR342" s="11"/>
      <c r="BS342" s="11"/>
      <c r="BT342" s="11"/>
      <c r="BU342" s="11"/>
      <c r="BV342" s="2"/>
      <c r="BW342" s="11"/>
    </row>
    <row r="343" spans="1:75" ht="30" x14ac:dyDescent="0.25">
      <c r="A343" s="2">
        <v>6200341</v>
      </c>
      <c r="B343" s="10">
        <v>46303.805902777778</v>
      </c>
      <c r="C343" s="11" t="s">
        <v>82</v>
      </c>
      <c r="D343" s="11"/>
      <c r="E343" s="11" t="s">
        <v>92</v>
      </c>
      <c r="F343" s="11"/>
      <c r="G343" s="11" t="s">
        <v>89</v>
      </c>
      <c r="H343" s="3"/>
      <c r="I343" s="11" t="s">
        <v>90</v>
      </c>
      <c r="J343" s="11"/>
      <c r="K343" s="11"/>
      <c r="L343" s="11"/>
      <c r="M343" s="11"/>
      <c r="N343" s="2">
        <v>1.25</v>
      </c>
      <c r="O343" s="2"/>
      <c r="P343" s="2"/>
      <c r="Q343" s="2"/>
      <c r="R343" s="11"/>
      <c r="S343" s="11" t="s">
        <v>433</v>
      </c>
      <c r="T343" s="11" t="s">
        <v>85</v>
      </c>
      <c r="U343" s="11"/>
      <c r="V343" s="11"/>
      <c r="W343" s="11"/>
      <c r="X343" s="11"/>
      <c r="Y343" s="11"/>
      <c r="Z343" s="11"/>
      <c r="AA343" s="11"/>
      <c r="AB343" s="9"/>
      <c r="AC343" s="2"/>
      <c r="AD343" s="9"/>
      <c r="AE343" s="2"/>
      <c r="AF343" s="9"/>
      <c r="AG343" s="10"/>
      <c r="AH343" s="11"/>
      <c r="AI343" s="11" t="s">
        <v>86</v>
      </c>
      <c r="AJ343" s="11"/>
      <c r="AK343" s="2"/>
      <c r="AL343" s="11"/>
      <c r="AM343" s="11"/>
      <c r="AN343" s="11"/>
      <c r="AO343" s="2"/>
      <c r="AP343" s="3"/>
      <c r="AQ343" s="11"/>
      <c r="AR343" s="3"/>
      <c r="AS343" s="2"/>
      <c r="AT343" s="11"/>
      <c r="AU343" s="2"/>
      <c r="AV343" s="2"/>
      <c r="AW343" s="2"/>
      <c r="AX343" s="11"/>
      <c r="AY343" s="11"/>
      <c r="AZ343" s="9"/>
      <c r="BA343" s="2">
        <v>1875</v>
      </c>
      <c r="BB343" s="11"/>
      <c r="BC343" s="11"/>
      <c r="BD343" s="11"/>
      <c r="BE343" s="11"/>
      <c r="BF343" s="11"/>
      <c r="BG343" s="11"/>
      <c r="BH343" s="11"/>
      <c r="BI343" s="11"/>
      <c r="BJ343" s="11" t="s">
        <v>87</v>
      </c>
      <c r="BK343" s="10">
        <v>46303.805902777778</v>
      </c>
      <c r="BL343" s="11"/>
      <c r="BM343" s="11"/>
      <c r="BN343" s="10">
        <v>46303.625</v>
      </c>
      <c r="BO343" s="11"/>
      <c r="BP343" s="11"/>
      <c r="BQ343" s="11"/>
      <c r="BR343" s="11"/>
      <c r="BS343" s="11"/>
      <c r="BT343" s="11"/>
      <c r="BU343" s="11"/>
      <c r="BV343" s="2"/>
      <c r="BW343" s="11"/>
    </row>
    <row r="344" spans="1:75" ht="30" x14ac:dyDescent="0.25">
      <c r="A344" s="2">
        <v>6200342</v>
      </c>
      <c r="B344" s="10">
        <v>46303.805902777778</v>
      </c>
      <c r="C344" s="11" t="s">
        <v>82</v>
      </c>
      <c r="D344" s="11"/>
      <c r="E344" s="11" t="s">
        <v>83</v>
      </c>
      <c r="F344" s="11"/>
      <c r="G344" s="2">
        <v>470123456</v>
      </c>
      <c r="H344" s="3"/>
      <c r="I344" s="11" t="s">
        <v>75</v>
      </c>
      <c r="J344" s="11"/>
      <c r="K344" s="11"/>
      <c r="L344" s="11"/>
      <c r="M344" s="11"/>
      <c r="N344" s="2">
        <v>1.25</v>
      </c>
      <c r="O344" s="2"/>
      <c r="P344" s="2"/>
      <c r="Q344" s="2"/>
      <c r="R344" s="11"/>
      <c r="S344" s="11" t="s">
        <v>434</v>
      </c>
      <c r="T344" s="11" t="s">
        <v>85</v>
      </c>
      <c r="U344" s="11"/>
      <c r="V344" s="11"/>
      <c r="W344" s="11"/>
      <c r="X344" s="11"/>
      <c r="Y344" s="11"/>
      <c r="Z344" s="11"/>
      <c r="AA344" s="11"/>
      <c r="AB344" s="9"/>
      <c r="AC344" s="2"/>
      <c r="AD344" s="9"/>
      <c r="AE344" s="2"/>
      <c r="AF344" s="9"/>
      <c r="AG344" s="10"/>
      <c r="AH344" s="11"/>
      <c r="AI344" s="11" t="s">
        <v>86</v>
      </c>
      <c r="AJ344" s="11"/>
      <c r="AK344" s="2"/>
      <c r="AL344" s="11"/>
      <c r="AM344" s="11"/>
      <c r="AN344" s="11"/>
      <c r="AO344" s="2"/>
      <c r="AP344" s="3"/>
      <c r="AQ344" s="11"/>
      <c r="AR344" s="3"/>
      <c r="AS344" s="2"/>
      <c r="AT344" s="11"/>
      <c r="AU344" s="2"/>
      <c r="AV344" s="2"/>
      <c r="AW344" s="2"/>
      <c r="AX344" s="11"/>
      <c r="AY344" s="11"/>
      <c r="AZ344" s="9"/>
      <c r="BA344" s="2">
        <v>1875</v>
      </c>
      <c r="BB344" s="11"/>
      <c r="BC344" s="11"/>
      <c r="BD344" s="11"/>
      <c r="BE344" s="11"/>
      <c r="BF344" s="11"/>
      <c r="BG344" s="11"/>
      <c r="BH344" s="11"/>
      <c r="BI344" s="11"/>
      <c r="BJ344" s="11" t="s">
        <v>87</v>
      </c>
      <c r="BK344" s="10">
        <v>46303.805902777778</v>
      </c>
      <c r="BL344" s="11"/>
      <c r="BM344" s="11"/>
      <c r="BN344" s="10">
        <v>46303.625</v>
      </c>
      <c r="BO344" s="11"/>
      <c r="BP344" s="11"/>
      <c r="BQ344" s="11"/>
      <c r="BR344" s="11"/>
      <c r="BS344" s="11"/>
      <c r="BT344" s="11"/>
      <c r="BU344" s="11"/>
      <c r="BV344" s="2"/>
      <c r="BW344" s="11"/>
    </row>
    <row r="345" spans="1:75" ht="30" x14ac:dyDescent="0.25">
      <c r="A345" s="2">
        <v>6200343</v>
      </c>
      <c r="B345" s="10">
        <v>46303.805902777778</v>
      </c>
      <c r="C345" s="11" t="s">
        <v>82</v>
      </c>
      <c r="D345" s="11"/>
      <c r="E345" s="11" t="s">
        <v>88</v>
      </c>
      <c r="F345" s="11"/>
      <c r="G345" s="11" t="s">
        <v>94</v>
      </c>
      <c r="H345" s="3"/>
      <c r="I345" s="11" t="s">
        <v>90</v>
      </c>
      <c r="J345" s="11"/>
      <c r="K345" s="11"/>
      <c r="L345" s="11"/>
      <c r="M345" s="11"/>
      <c r="N345" s="2">
        <v>1.25</v>
      </c>
      <c r="O345" s="2"/>
      <c r="P345" s="2"/>
      <c r="Q345" s="2"/>
      <c r="R345" s="11"/>
      <c r="S345" s="11" t="s">
        <v>435</v>
      </c>
      <c r="T345" s="11" t="s">
        <v>85</v>
      </c>
      <c r="U345" s="11"/>
      <c r="V345" s="11"/>
      <c r="W345" s="11"/>
      <c r="X345" s="11"/>
      <c r="Y345" s="11"/>
      <c r="Z345" s="11"/>
      <c r="AA345" s="11"/>
      <c r="AB345" s="9"/>
      <c r="AC345" s="2"/>
      <c r="AD345" s="9"/>
      <c r="AE345" s="2"/>
      <c r="AF345" s="9"/>
      <c r="AG345" s="10"/>
      <c r="AH345" s="11"/>
      <c r="AI345" s="11" t="s">
        <v>86</v>
      </c>
      <c r="AJ345" s="11"/>
      <c r="AK345" s="2"/>
      <c r="AL345" s="11"/>
      <c r="AM345" s="11"/>
      <c r="AN345" s="11"/>
      <c r="AO345" s="2"/>
      <c r="AP345" s="3"/>
      <c r="AQ345" s="11"/>
      <c r="AR345" s="3"/>
      <c r="AS345" s="2"/>
      <c r="AT345" s="11"/>
      <c r="AU345" s="2"/>
      <c r="AV345" s="2"/>
      <c r="AW345" s="2"/>
      <c r="AX345" s="11"/>
      <c r="AY345" s="11"/>
      <c r="AZ345" s="9"/>
      <c r="BA345" s="2">
        <v>1875</v>
      </c>
      <c r="BB345" s="11"/>
      <c r="BC345" s="11"/>
      <c r="BD345" s="11"/>
      <c r="BE345" s="11"/>
      <c r="BF345" s="11"/>
      <c r="BG345" s="11"/>
      <c r="BH345" s="11"/>
      <c r="BI345" s="11"/>
      <c r="BJ345" s="11" t="s">
        <v>87</v>
      </c>
      <c r="BK345" s="10">
        <v>46303.805902777778</v>
      </c>
      <c r="BL345" s="11"/>
      <c r="BM345" s="11"/>
      <c r="BN345" s="10">
        <v>46303.625</v>
      </c>
      <c r="BO345" s="11"/>
      <c r="BP345" s="11"/>
      <c r="BQ345" s="11"/>
      <c r="BR345" s="11"/>
      <c r="BS345" s="11"/>
      <c r="BT345" s="11"/>
      <c r="BU345" s="11"/>
      <c r="BV345" s="2"/>
      <c r="BW345" s="11"/>
    </row>
    <row r="346" spans="1:75" ht="30" x14ac:dyDescent="0.25">
      <c r="A346" s="2">
        <v>6200344</v>
      </c>
      <c r="B346" s="10">
        <v>46303.805902777778</v>
      </c>
      <c r="C346" s="11" t="s">
        <v>82</v>
      </c>
      <c r="D346" s="11"/>
      <c r="E346" s="11" t="s">
        <v>92</v>
      </c>
      <c r="F346" s="11"/>
      <c r="G346" s="11" t="s">
        <v>593</v>
      </c>
      <c r="H346" s="3"/>
      <c r="I346" s="11" t="s">
        <v>75</v>
      </c>
      <c r="J346" s="11"/>
      <c r="K346" s="11"/>
      <c r="L346" s="11"/>
      <c r="M346" s="11"/>
      <c r="N346" s="2">
        <v>1.25</v>
      </c>
      <c r="O346" s="2"/>
      <c r="P346" s="2"/>
      <c r="Q346" s="2"/>
      <c r="R346" s="11"/>
      <c r="S346" s="11" t="s">
        <v>436</v>
      </c>
      <c r="T346" s="11" t="s">
        <v>85</v>
      </c>
      <c r="U346" s="11"/>
      <c r="V346" s="11"/>
      <c r="W346" s="11"/>
      <c r="X346" s="11"/>
      <c r="Y346" s="11"/>
      <c r="Z346" s="11"/>
      <c r="AA346" s="11"/>
      <c r="AB346" s="9"/>
      <c r="AC346" s="2"/>
      <c r="AD346" s="9"/>
      <c r="AE346" s="2"/>
      <c r="AF346" s="9"/>
      <c r="AG346" s="10"/>
      <c r="AH346" s="11"/>
      <c r="AI346" s="11" t="s">
        <v>86</v>
      </c>
      <c r="AJ346" s="11"/>
      <c r="AK346" s="2"/>
      <c r="AL346" s="11"/>
      <c r="AM346" s="11"/>
      <c r="AN346" s="11"/>
      <c r="AO346" s="2"/>
      <c r="AP346" s="3"/>
      <c r="AQ346" s="11"/>
      <c r="AR346" s="3"/>
      <c r="AS346" s="2"/>
      <c r="AT346" s="11"/>
      <c r="AU346" s="2"/>
      <c r="AV346" s="2"/>
      <c r="AW346" s="2"/>
      <c r="AX346" s="11"/>
      <c r="AY346" s="11"/>
      <c r="AZ346" s="9"/>
      <c r="BA346" s="2">
        <v>1875</v>
      </c>
      <c r="BB346" s="11"/>
      <c r="BC346" s="11"/>
      <c r="BD346" s="11"/>
      <c r="BE346" s="11"/>
      <c r="BF346" s="11"/>
      <c r="BG346" s="11"/>
      <c r="BH346" s="11"/>
      <c r="BI346" s="11"/>
      <c r="BJ346" s="11" t="s">
        <v>87</v>
      </c>
      <c r="BK346" s="10">
        <v>46303.805902777778</v>
      </c>
      <c r="BL346" s="11"/>
      <c r="BM346" s="11"/>
      <c r="BN346" s="10">
        <v>46303.625</v>
      </c>
      <c r="BO346" s="11"/>
      <c r="BP346" s="11"/>
      <c r="BQ346" s="11"/>
      <c r="BR346" s="11"/>
      <c r="BS346" s="11"/>
      <c r="BT346" s="11"/>
      <c r="BU346" s="11"/>
      <c r="BV346" s="2"/>
      <c r="BW346" s="11"/>
    </row>
    <row r="347" spans="1:75" ht="30" x14ac:dyDescent="0.25">
      <c r="A347" s="2">
        <v>6200345</v>
      </c>
      <c r="B347" s="10">
        <v>46303.805902777778</v>
      </c>
      <c r="C347" s="11" t="s">
        <v>82</v>
      </c>
      <c r="D347" s="11"/>
      <c r="E347" s="11" t="s">
        <v>83</v>
      </c>
      <c r="F347" s="11"/>
      <c r="G347" s="11" t="s">
        <v>592</v>
      </c>
      <c r="H347" s="3"/>
      <c r="I347" s="11" t="s">
        <v>75</v>
      </c>
      <c r="J347" s="11"/>
      <c r="K347" s="11"/>
      <c r="L347" s="11"/>
      <c r="M347" s="11"/>
      <c r="N347" s="2">
        <v>1.25</v>
      </c>
      <c r="O347" s="2"/>
      <c r="P347" s="2"/>
      <c r="Q347" s="2"/>
      <c r="R347" s="11"/>
      <c r="S347" s="11" t="s">
        <v>437</v>
      </c>
      <c r="T347" s="11" t="s">
        <v>85</v>
      </c>
      <c r="U347" s="11"/>
      <c r="V347" s="11"/>
      <c r="W347" s="11"/>
      <c r="X347" s="11"/>
      <c r="Y347" s="11"/>
      <c r="Z347" s="11"/>
      <c r="AA347" s="11"/>
      <c r="AB347" s="9"/>
      <c r="AC347" s="2"/>
      <c r="AD347" s="9"/>
      <c r="AE347" s="2"/>
      <c r="AF347" s="9"/>
      <c r="AG347" s="10"/>
      <c r="AH347" s="11"/>
      <c r="AI347" s="11" t="s">
        <v>86</v>
      </c>
      <c r="AJ347" s="11"/>
      <c r="AK347" s="2"/>
      <c r="AL347" s="11"/>
      <c r="AM347" s="11"/>
      <c r="AN347" s="11"/>
      <c r="AO347" s="2"/>
      <c r="AP347" s="3"/>
      <c r="AQ347" s="11"/>
      <c r="AR347" s="3"/>
      <c r="AS347" s="2"/>
      <c r="AT347" s="11"/>
      <c r="AU347" s="2"/>
      <c r="AV347" s="2"/>
      <c r="AW347" s="2"/>
      <c r="AX347" s="11"/>
      <c r="AY347" s="11"/>
      <c r="AZ347" s="9"/>
      <c r="BA347" s="2">
        <v>1875</v>
      </c>
      <c r="BB347" s="11"/>
      <c r="BC347" s="11"/>
      <c r="BD347" s="11"/>
      <c r="BE347" s="11"/>
      <c r="BF347" s="11"/>
      <c r="BG347" s="11"/>
      <c r="BH347" s="11"/>
      <c r="BI347" s="11"/>
      <c r="BJ347" s="11" t="s">
        <v>87</v>
      </c>
      <c r="BK347" s="10">
        <v>46303.805902777778</v>
      </c>
      <c r="BL347" s="11"/>
      <c r="BM347" s="11"/>
      <c r="BN347" s="10">
        <v>46303.625</v>
      </c>
      <c r="BO347" s="11"/>
      <c r="BP347" s="11"/>
      <c r="BQ347" s="11"/>
      <c r="BR347" s="11"/>
      <c r="BS347" s="11"/>
      <c r="BT347" s="11"/>
      <c r="BU347" s="11"/>
      <c r="BV347" s="2"/>
      <c r="BW347" s="11"/>
    </row>
    <row r="348" spans="1:75" ht="30" x14ac:dyDescent="0.25">
      <c r="A348" s="2">
        <v>6200346</v>
      </c>
      <c r="B348" s="10">
        <v>46303.805902777778</v>
      </c>
      <c r="C348" s="11" t="s">
        <v>82</v>
      </c>
      <c r="D348" s="11"/>
      <c r="E348" s="11" t="s">
        <v>88</v>
      </c>
      <c r="F348" s="11"/>
      <c r="G348" s="11" t="s">
        <v>89</v>
      </c>
      <c r="H348" s="3"/>
      <c r="I348" s="11" t="s">
        <v>90</v>
      </c>
      <c r="J348" s="11"/>
      <c r="K348" s="11"/>
      <c r="L348" s="11"/>
      <c r="M348" s="11"/>
      <c r="N348" s="2">
        <v>1.25</v>
      </c>
      <c r="O348" s="2"/>
      <c r="P348" s="2"/>
      <c r="Q348" s="2"/>
      <c r="R348" s="11"/>
      <c r="S348" s="11" t="s">
        <v>438</v>
      </c>
      <c r="T348" s="11" t="s">
        <v>85</v>
      </c>
      <c r="U348" s="11"/>
      <c r="V348" s="11"/>
      <c r="W348" s="11"/>
      <c r="X348" s="11"/>
      <c r="Y348" s="11"/>
      <c r="Z348" s="11"/>
      <c r="AA348" s="11"/>
      <c r="AB348" s="9"/>
      <c r="AC348" s="2"/>
      <c r="AD348" s="9"/>
      <c r="AE348" s="2"/>
      <c r="AF348" s="9"/>
      <c r="AG348" s="10"/>
      <c r="AH348" s="11"/>
      <c r="AI348" s="11" t="s">
        <v>86</v>
      </c>
      <c r="AJ348" s="11"/>
      <c r="AK348" s="2"/>
      <c r="AL348" s="11"/>
      <c r="AM348" s="11"/>
      <c r="AN348" s="11"/>
      <c r="AO348" s="2"/>
      <c r="AP348" s="3"/>
      <c r="AQ348" s="11"/>
      <c r="AR348" s="3"/>
      <c r="AS348" s="2"/>
      <c r="AT348" s="11"/>
      <c r="AU348" s="2"/>
      <c r="AV348" s="2"/>
      <c r="AW348" s="2"/>
      <c r="AX348" s="11"/>
      <c r="AY348" s="11"/>
      <c r="AZ348" s="9"/>
      <c r="BA348" s="2">
        <v>1875</v>
      </c>
      <c r="BB348" s="11"/>
      <c r="BC348" s="11"/>
      <c r="BD348" s="11"/>
      <c r="BE348" s="11"/>
      <c r="BF348" s="11"/>
      <c r="BG348" s="11"/>
      <c r="BH348" s="11"/>
      <c r="BI348" s="11"/>
      <c r="BJ348" s="11" t="s">
        <v>87</v>
      </c>
      <c r="BK348" s="10">
        <v>46303.805902777778</v>
      </c>
      <c r="BL348" s="11"/>
      <c r="BM348" s="11"/>
      <c r="BN348" s="10">
        <v>46303.625</v>
      </c>
      <c r="BO348" s="11"/>
      <c r="BP348" s="11"/>
      <c r="BQ348" s="11"/>
      <c r="BR348" s="11"/>
      <c r="BS348" s="11"/>
      <c r="BT348" s="11"/>
      <c r="BU348" s="11"/>
      <c r="BV348" s="2"/>
      <c r="BW348" s="11"/>
    </row>
    <row r="349" spans="1:75" ht="30" x14ac:dyDescent="0.25">
      <c r="A349" s="2">
        <v>6200347</v>
      </c>
      <c r="B349" s="10">
        <v>46303.805902777778</v>
      </c>
      <c r="C349" s="11" t="s">
        <v>82</v>
      </c>
      <c r="D349" s="11"/>
      <c r="E349" s="11" t="s">
        <v>92</v>
      </c>
      <c r="F349" s="11"/>
      <c r="G349" s="2">
        <v>470123456</v>
      </c>
      <c r="H349" s="3"/>
      <c r="I349" s="11" t="s">
        <v>75</v>
      </c>
      <c r="J349" s="11"/>
      <c r="K349" s="11"/>
      <c r="L349" s="11"/>
      <c r="M349" s="11"/>
      <c r="N349" s="2">
        <v>1.25</v>
      </c>
      <c r="O349" s="2"/>
      <c r="P349" s="2"/>
      <c r="Q349" s="2"/>
      <c r="R349" s="11"/>
      <c r="S349" s="11" t="s">
        <v>439</v>
      </c>
      <c r="T349" s="11" t="s">
        <v>85</v>
      </c>
      <c r="U349" s="11"/>
      <c r="V349" s="11"/>
      <c r="W349" s="11"/>
      <c r="X349" s="11"/>
      <c r="Y349" s="11"/>
      <c r="Z349" s="11"/>
      <c r="AA349" s="11"/>
      <c r="AB349" s="9"/>
      <c r="AC349" s="2"/>
      <c r="AD349" s="9"/>
      <c r="AE349" s="2"/>
      <c r="AF349" s="9"/>
      <c r="AG349" s="10"/>
      <c r="AH349" s="11"/>
      <c r="AI349" s="11" t="s">
        <v>86</v>
      </c>
      <c r="AJ349" s="11"/>
      <c r="AK349" s="2"/>
      <c r="AL349" s="11"/>
      <c r="AM349" s="11"/>
      <c r="AN349" s="11"/>
      <c r="AO349" s="2"/>
      <c r="AP349" s="3"/>
      <c r="AQ349" s="11"/>
      <c r="AR349" s="3"/>
      <c r="AS349" s="2"/>
      <c r="AT349" s="11"/>
      <c r="AU349" s="2"/>
      <c r="AV349" s="2"/>
      <c r="AW349" s="2"/>
      <c r="AX349" s="11"/>
      <c r="AY349" s="11"/>
      <c r="AZ349" s="9"/>
      <c r="BA349" s="2">
        <v>1875</v>
      </c>
      <c r="BB349" s="11"/>
      <c r="BC349" s="11"/>
      <c r="BD349" s="11"/>
      <c r="BE349" s="11"/>
      <c r="BF349" s="11"/>
      <c r="BG349" s="11"/>
      <c r="BH349" s="11"/>
      <c r="BI349" s="11"/>
      <c r="BJ349" s="11" t="s">
        <v>87</v>
      </c>
      <c r="BK349" s="10">
        <v>46303.805902777778</v>
      </c>
      <c r="BL349" s="11"/>
      <c r="BM349" s="11"/>
      <c r="BN349" s="10">
        <v>46303.625</v>
      </c>
      <c r="BO349" s="11"/>
      <c r="BP349" s="11"/>
      <c r="BQ349" s="11"/>
      <c r="BR349" s="11"/>
      <c r="BS349" s="11"/>
      <c r="BT349" s="11"/>
      <c r="BU349" s="11"/>
      <c r="BV349" s="2"/>
      <c r="BW349" s="11"/>
    </row>
    <row r="350" spans="1:75" ht="30" x14ac:dyDescent="0.25">
      <c r="A350" s="2">
        <v>6200348</v>
      </c>
      <c r="B350" s="10">
        <v>46303.805902777778</v>
      </c>
      <c r="C350" s="11" t="s">
        <v>82</v>
      </c>
      <c r="D350" s="11"/>
      <c r="E350" s="11" t="s">
        <v>83</v>
      </c>
      <c r="F350" s="11"/>
      <c r="G350" s="11" t="s">
        <v>94</v>
      </c>
      <c r="H350" s="3"/>
      <c r="I350" s="11" t="s">
        <v>90</v>
      </c>
      <c r="J350" s="11"/>
      <c r="K350" s="11"/>
      <c r="L350" s="11"/>
      <c r="M350" s="11"/>
      <c r="N350" s="2">
        <v>1.25</v>
      </c>
      <c r="O350" s="2"/>
      <c r="P350" s="2"/>
      <c r="Q350" s="2"/>
      <c r="R350" s="11"/>
      <c r="S350" s="11" t="s">
        <v>440</v>
      </c>
      <c r="T350" s="11" t="s">
        <v>85</v>
      </c>
      <c r="U350" s="11"/>
      <c r="V350" s="11"/>
      <c r="W350" s="11"/>
      <c r="X350" s="11"/>
      <c r="Y350" s="11"/>
      <c r="Z350" s="11"/>
      <c r="AA350" s="11"/>
      <c r="AB350" s="9"/>
      <c r="AC350" s="2"/>
      <c r="AD350" s="9"/>
      <c r="AE350" s="2"/>
      <c r="AF350" s="9"/>
      <c r="AG350" s="10"/>
      <c r="AH350" s="11"/>
      <c r="AI350" s="11" t="s">
        <v>86</v>
      </c>
      <c r="AJ350" s="11"/>
      <c r="AK350" s="2"/>
      <c r="AL350" s="11"/>
      <c r="AM350" s="11"/>
      <c r="AN350" s="11"/>
      <c r="AO350" s="2"/>
      <c r="AP350" s="3"/>
      <c r="AQ350" s="11"/>
      <c r="AR350" s="3"/>
      <c r="AS350" s="2"/>
      <c r="AT350" s="11"/>
      <c r="AU350" s="2"/>
      <c r="AV350" s="2"/>
      <c r="AW350" s="2"/>
      <c r="AX350" s="11"/>
      <c r="AY350" s="11"/>
      <c r="AZ350" s="9"/>
      <c r="BA350" s="2">
        <v>1875</v>
      </c>
      <c r="BB350" s="11"/>
      <c r="BC350" s="11"/>
      <c r="BD350" s="11"/>
      <c r="BE350" s="11"/>
      <c r="BF350" s="11"/>
      <c r="BG350" s="11"/>
      <c r="BH350" s="11"/>
      <c r="BI350" s="11"/>
      <c r="BJ350" s="11" t="s">
        <v>87</v>
      </c>
      <c r="BK350" s="10">
        <v>46303.805902777778</v>
      </c>
      <c r="BL350" s="11"/>
      <c r="BM350" s="11"/>
      <c r="BN350" s="10">
        <v>46303.625</v>
      </c>
      <c r="BO350" s="11"/>
      <c r="BP350" s="11"/>
      <c r="BQ350" s="11"/>
      <c r="BR350" s="11"/>
      <c r="BS350" s="11"/>
      <c r="BT350" s="11"/>
      <c r="BU350" s="11"/>
      <c r="BV350" s="2"/>
      <c r="BW350" s="11"/>
    </row>
    <row r="351" spans="1:75" ht="30" x14ac:dyDescent="0.25">
      <c r="A351" s="2">
        <v>6200349</v>
      </c>
      <c r="B351" s="10">
        <v>46303.805902777778</v>
      </c>
      <c r="C351" s="11" t="s">
        <v>82</v>
      </c>
      <c r="D351" s="11"/>
      <c r="E351" s="11" t="s">
        <v>88</v>
      </c>
      <c r="F351" s="11"/>
      <c r="G351" s="11" t="s">
        <v>593</v>
      </c>
      <c r="H351" s="3"/>
      <c r="I351" s="11" t="s">
        <v>75</v>
      </c>
      <c r="J351" s="11"/>
      <c r="K351" s="11"/>
      <c r="L351" s="11"/>
      <c r="M351" s="11"/>
      <c r="N351" s="2">
        <v>1.25</v>
      </c>
      <c r="O351" s="2"/>
      <c r="P351" s="2"/>
      <c r="Q351" s="2"/>
      <c r="R351" s="11"/>
      <c r="S351" s="11" t="s">
        <v>441</v>
      </c>
      <c r="T351" s="11" t="s">
        <v>85</v>
      </c>
      <c r="U351" s="11"/>
      <c r="V351" s="11"/>
      <c r="W351" s="11"/>
      <c r="X351" s="11"/>
      <c r="Y351" s="11"/>
      <c r="Z351" s="11"/>
      <c r="AA351" s="11"/>
      <c r="AB351" s="9"/>
      <c r="AC351" s="2"/>
      <c r="AD351" s="9"/>
      <c r="AE351" s="2"/>
      <c r="AF351" s="9"/>
      <c r="AG351" s="10"/>
      <c r="AH351" s="11"/>
      <c r="AI351" s="11" t="s">
        <v>86</v>
      </c>
      <c r="AJ351" s="11"/>
      <c r="AK351" s="2"/>
      <c r="AL351" s="11"/>
      <c r="AM351" s="11"/>
      <c r="AN351" s="11"/>
      <c r="AO351" s="2"/>
      <c r="AP351" s="3"/>
      <c r="AQ351" s="11"/>
      <c r="AR351" s="3"/>
      <c r="AS351" s="2"/>
      <c r="AT351" s="11"/>
      <c r="AU351" s="2"/>
      <c r="AV351" s="2"/>
      <c r="AW351" s="2"/>
      <c r="AX351" s="11"/>
      <c r="AY351" s="11"/>
      <c r="AZ351" s="9"/>
      <c r="BA351" s="2">
        <v>1875</v>
      </c>
      <c r="BB351" s="11"/>
      <c r="BC351" s="11"/>
      <c r="BD351" s="11"/>
      <c r="BE351" s="11"/>
      <c r="BF351" s="11"/>
      <c r="BG351" s="11"/>
      <c r="BH351" s="11"/>
      <c r="BI351" s="11"/>
      <c r="BJ351" s="11" t="s">
        <v>87</v>
      </c>
      <c r="BK351" s="10">
        <v>46303.805902777778</v>
      </c>
      <c r="BL351" s="11"/>
      <c r="BM351" s="11"/>
      <c r="BN351" s="10">
        <v>46303.625</v>
      </c>
      <c r="BO351" s="11"/>
      <c r="BP351" s="11"/>
      <c r="BQ351" s="11"/>
      <c r="BR351" s="11"/>
      <c r="BS351" s="11"/>
      <c r="BT351" s="11"/>
      <c r="BU351" s="11"/>
      <c r="BV351" s="2"/>
      <c r="BW351" s="11"/>
    </row>
    <row r="352" spans="1:75" ht="30" x14ac:dyDescent="0.25">
      <c r="A352" s="2">
        <v>6200350</v>
      </c>
      <c r="B352" s="10">
        <v>46303.805902777778</v>
      </c>
      <c r="C352" s="11" t="s">
        <v>82</v>
      </c>
      <c r="D352" s="11"/>
      <c r="E352" s="11" t="s">
        <v>92</v>
      </c>
      <c r="F352" s="11"/>
      <c r="G352" s="11" t="s">
        <v>592</v>
      </c>
      <c r="H352" s="3"/>
      <c r="I352" s="11" t="s">
        <v>75</v>
      </c>
      <c r="J352" s="11"/>
      <c r="K352" s="11"/>
      <c r="L352" s="11"/>
      <c r="M352" s="11"/>
      <c r="N352" s="2">
        <v>1.25</v>
      </c>
      <c r="O352" s="2"/>
      <c r="P352" s="2"/>
      <c r="Q352" s="2"/>
      <c r="R352" s="11"/>
      <c r="S352" s="11" t="s">
        <v>442</v>
      </c>
      <c r="T352" s="11" t="s">
        <v>85</v>
      </c>
      <c r="U352" s="11"/>
      <c r="V352" s="11"/>
      <c r="W352" s="11"/>
      <c r="X352" s="11"/>
      <c r="Y352" s="11"/>
      <c r="Z352" s="11"/>
      <c r="AA352" s="11"/>
      <c r="AB352" s="9"/>
      <c r="AC352" s="2"/>
      <c r="AD352" s="9"/>
      <c r="AE352" s="2"/>
      <c r="AF352" s="9"/>
      <c r="AG352" s="10"/>
      <c r="AH352" s="11"/>
      <c r="AI352" s="11" t="s">
        <v>86</v>
      </c>
      <c r="AJ352" s="11"/>
      <c r="AK352" s="2"/>
      <c r="AL352" s="11"/>
      <c r="AM352" s="11"/>
      <c r="AN352" s="11"/>
      <c r="AO352" s="2"/>
      <c r="AP352" s="3"/>
      <c r="AQ352" s="11"/>
      <c r="AR352" s="3"/>
      <c r="AS352" s="2"/>
      <c r="AT352" s="11"/>
      <c r="AU352" s="2"/>
      <c r="AV352" s="2"/>
      <c r="AW352" s="2"/>
      <c r="AX352" s="11"/>
      <c r="AY352" s="11"/>
      <c r="AZ352" s="9"/>
      <c r="BA352" s="2">
        <v>1875</v>
      </c>
      <c r="BB352" s="11"/>
      <c r="BC352" s="11"/>
      <c r="BD352" s="11"/>
      <c r="BE352" s="11"/>
      <c r="BF352" s="11"/>
      <c r="BG352" s="11"/>
      <c r="BH352" s="11"/>
      <c r="BI352" s="11"/>
      <c r="BJ352" s="11" t="s">
        <v>87</v>
      </c>
      <c r="BK352" s="10">
        <v>46303.805902777778</v>
      </c>
      <c r="BL352" s="11"/>
      <c r="BM352" s="11"/>
      <c r="BN352" s="10">
        <v>46303.625</v>
      </c>
      <c r="BO352" s="11"/>
      <c r="BP352" s="11"/>
      <c r="BQ352" s="11"/>
      <c r="BR352" s="11"/>
      <c r="BS352" s="11"/>
      <c r="BT352" s="11"/>
      <c r="BU352" s="11"/>
      <c r="BV352" s="2"/>
      <c r="BW352" s="11"/>
    </row>
    <row r="353" spans="1:75" ht="30" x14ac:dyDescent="0.25">
      <c r="A353" s="2">
        <v>6200351</v>
      </c>
      <c r="B353" s="10">
        <v>46303.805902777778</v>
      </c>
      <c r="C353" s="11" t="s">
        <v>82</v>
      </c>
      <c r="D353" s="11"/>
      <c r="E353" s="11" t="s">
        <v>83</v>
      </c>
      <c r="F353" s="11"/>
      <c r="G353" s="11" t="s">
        <v>89</v>
      </c>
      <c r="H353" s="3"/>
      <c r="I353" s="11" t="s">
        <v>90</v>
      </c>
      <c r="J353" s="11"/>
      <c r="K353" s="11"/>
      <c r="L353" s="11"/>
      <c r="M353" s="11"/>
      <c r="N353" s="2">
        <v>1.25</v>
      </c>
      <c r="O353" s="2"/>
      <c r="P353" s="2"/>
      <c r="Q353" s="2"/>
      <c r="R353" s="11"/>
      <c r="S353" s="11" t="s">
        <v>443</v>
      </c>
      <c r="T353" s="11" t="s">
        <v>85</v>
      </c>
      <c r="U353" s="11"/>
      <c r="V353" s="11"/>
      <c r="W353" s="11"/>
      <c r="X353" s="11"/>
      <c r="Y353" s="11"/>
      <c r="Z353" s="11"/>
      <c r="AA353" s="11"/>
      <c r="AB353" s="9"/>
      <c r="AC353" s="2"/>
      <c r="AD353" s="9"/>
      <c r="AE353" s="2"/>
      <c r="AF353" s="9"/>
      <c r="AG353" s="10"/>
      <c r="AH353" s="11"/>
      <c r="AI353" s="11" t="s">
        <v>86</v>
      </c>
      <c r="AJ353" s="11"/>
      <c r="AK353" s="2"/>
      <c r="AL353" s="11"/>
      <c r="AM353" s="11"/>
      <c r="AN353" s="11"/>
      <c r="AO353" s="2"/>
      <c r="AP353" s="3"/>
      <c r="AQ353" s="11"/>
      <c r="AR353" s="3"/>
      <c r="AS353" s="2"/>
      <c r="AT353" s="11"/>
      <c r="AU353" s="2"/>
      <c r="AV353" s="2"/>
      <c r="AW353" s="2"/>
      <c r="AX353" s="11"/>
      <c r="AY353" s="11"/>
      <c r="AZ353" s="9"/>
      <c r="BA353" s="2">
        <v>1875</v>
      </c>
      <c r="BB353" s="11"/>
      <c r="BC353" s="11"/>
      <c r="BD353" s="11"/>
      <c r="BE353" s="11"/>
      <c r="BF353" s="11"/>
      <c r="BG353" s="11"/>
      <c r="BH353" s="11"/>
      <c r="BI353" s="11"/>
      <c r="BJ353" s="11" t="s">
        <v>87</v>
      </c>
      <c r="BK353" s="10">
        <v>46303.805902777778</v>
      </c>
      <c r="BL353" s="11"/>
      <c r="BM353" s="11"/>
      <c r="BN353" s="10">
        <v>46303.625</v>
      </c>
      <c r="BO353" s="11"/>
      <c r="BP353" s="11"/>
      <c r="BQ353" s="11"/>
      <c r="BR353" s="11"/>
      <c r="BS353" s="11"/>
      <c r="BT353" s="11"/>
      <c r="BU353" s="11"/>
      <c r="BV353" s="2"/>
      <c r="BW353" s="11"/>
    </row>
    <row r="354" spans="1:75" ht="30" x14ac:dyDescent="0.25">
      <c r="A354" s="2">
        <v>6200352</v>
      </c>
      <c r="B354" s="10">
        <v>46303.805902777778</v>
      </c>
      <c r="C354" s="11" t="s">
        <v>82</v>
      </c>
      <c r="D354" s="11"/>
      <c r="E354" s="11" t="s">
        <v>88</v>
      </c>
      <c r="F354" s="11"/>
      <c r="G354" s="2">
        <v>470123456</v>
      </c>
      <c r="H354" s="3"/>
      <c r="I354" s="11" t="s">
        <v>75</v>
      </c>
      <c r="J354" s="11"/>
      <c r="K354" s="11"/>
      <c r="L354" s="11"/>
      <c r="M354" s="11"/>
      <c r="N354" s="2">
        <v>1.25</v>
      </c>
      <c r="O354" s="2"/>
      <c r="P354" s="2"/>
      <c r="Q354" s="2"/>
      <c r="R354" s="11"/>
      <c r="S354" s="11" t="s">
        <v>444</v>
      </c>
      <c r="T354" s="11" t="s">
        <v>85</v>
      </c>
      <c r="U354" s="11"/>
      <c r="V354" s="11"/>
      <c r="W354" s="11"/>
      <c r="X354" s="11"/>
      <c r="Y354" s="11"/>
      <c r="Z354" s="11"/>
      <c r="AA354" s="11"/>
      <c r="AB354" s="9"/>
      <c r="AC354" s="2"/>
      <c r="AD354" s="9"/>
      <c r="AE354" s="2"/>
      <c r="AF354" s="9"/>
      <c r="AG354" s="10"/>
      <c r="AH354" s="11"/>
      <c r="AI354" s="11" t="s">
        <v>86</v>
      </c>
      <c r="AJ354" s="11"/>
      <c r="AK354" s="2"/>
      <c r="AL354" s="11"/>
      <c r="AM354" s="11"/>
      <c r="AN354" s="11"/>
      <c r="AO354" s="2"/>
      <c r="AP354" s="3"/>
      <c r="AQ354" s="11"/>
      <c r="AR354" s="3"/>
      <c r="AS354" s="2"/>
      <c r="AT354" s="11"/>
      <c r="AU354" s="2"/>
      <c r="AV354" s="2"/>
      <c r="AW354" s="2"/>
      <c r="AX354" s="11"/>
      <c r="AY354" s="11"/>
      <c r="AZ354" s="9"/>
      <c r="BA354" s="2">
        <v>1875</v>
      </c>
      <c r="BB354" s="11"/>
      <c r="BC354" s="11"/>
      <c r="BD354" s="11"/>
      <c r="BE354" s="11"/>
      <c r="BF354" s="11"/>
      <c r="BG354" s="11"/>
      <c r="BH354" s="11"/>
      <c r="BI354" s="11"/>
      <c r="BJ354" s="11" t="s">
        <v>87</v>
      </c>
      <c r="BK354" s="10">
        <v>46303.805902777778</v>
      </c>
      <c r="BL354" s="11"/>
      <c r="BM354" s="11"/>
      <c r="BN354" s="10">
        <v>46303.625</v>
      </c>
      <c r="BO354" s="11"/>
      <c r="BP354" s="11"/>
      <c r="BQ354" s="11"/>
      <c r="BR354" s="11"/>
      <c r="BS354" s="11"/>
      <c r="BT354" s="11"/>
      <c r="BU354" s="11"/>
      <c r="BV354" s="2"/>
      <c r="BW354" s="11"/>
    </row>
    <row r="355" spans="1:75" ht="30" x14ac:dyDescent="0.25">
      <c r="A355" s="2">
        <v>6200353</v>
      </c>
      <c r="B355" s="10">
        <v>46303.805902777778</v>
      </c>
      <c r="C355" s="11" t="s">
        <v>82</v>
      </c>
      <c r="D355" s="11"/>
      <c r="E355" s="11" t="s">
        <v>92</v>
      </c>
      <c r="F355" s="11"/>
      <c r="G355" s="11" t="s">
        <v>94</v>
      </c>
      <c r="H355" s="3"/>
      <c r="I355" s="11" t="s">
        <v>90</v>
      </c>
      <c r="J355" s="11"/>
      <c r="K355" s="11"/>
      <c r="L355" s="11"/>
      <c r="M355" s="11"/>
      <c r="N355" s="2">
        <v>1.25</v>
      </c>
      <c r="O355" s="2"/>
      <c r="P355" s="2"/>
      <c r="Q355" s="2"/>
      <c r="R355" s="11"/>
      <c r="S355" s="11" t="s">
        <v>445</v>
      </c>
      <c r="T355" s="11" t="s">
        <v>85</v>
      </c>
      <c r="U355" s="11"/>
      <c r="V355" s="11"/>
      <c r="W355" s="11"/>
      <c r="X355" s="11"/>
      <c r="Y355" s="11"/>
      <c r="Z355" s="11"/>
      <c r="AA355" s="11"/>
      <c r="AB355" s="9"/>
      <c r="AC355" s="2"/>
      <c r="AD355" s="9"/>
      <c r="AE355" s="2"/>
      <c r="AF355" s="9"/>
      <c r="AG355" s="10"/>
      <c r="AH355" s="11"/>
      <c r="AI355" s="11" t="s">
        <v>86</v>
      </c>
      <c r="AJ355" s="11"/>
      <c r="AK355" s="2"/>
      <c r="AL355" s="11"/>
      <c r="AM355" s="11"/>
      <c r="AN355" s="11"/>
      <c r="AO355" s="2"/>
      <c r="AP355" s="3"/>
      <c r="AQ355" s="11"/>
      <c r="AR355" s="3"/>
      <c r="AS355" s="2"/>
      <c r="AT355" s="11"/>
      <c r="AU355" s="2"/>
      <c r="AV355" s="2"/>
      <c r="AW355" s="2"/>
      <c r="AX355" s="11"/>
      <c r="AY355" s="11"/>
      <c r="AZ355" s="9"/>
      <c r="BA355" s="2">
        <v>1875</v>
      </c>
      <c r="BB355" s="11"/>
      <c r="BC355" s="11"/>
      <c r="BD355" s="11"/>
      <c r="BE355" s="11"/>
      <c r="BF355" s="11"/>
      <c r="BG355" s="11"/>
      <c r="BH355" s="11"/>
      <c r="BI355" s="11"/>
      <c r="BJ355" s="11" t="s">
        <v>87</v>
      </c>
      <c r="BK355" s="10">
        <v>46303.805902777778</v>
      </c>
      <c r="BL355" s="11"/>
      <c r="BM355" s="11"/>
      <c r="BN355" s="10">
        <v>46303.625</v>
      </c>
      <c r="BO355" s="11"/>
      <c r="BP355" s="11"/>
      <c r="BQ355" s="11"/>
      <c r="BR355" s="11"/>
      <c r="BS355" s="11"/>
      <c r="BT355" s="11"/>
      <c r="BU355" s="11"/>
      <c r="BV355" s="2"/>
      <c r="BW355" s="11"/>
    </row>
    <row r="356" spans="1:75" ht="30" x14ac:dyDescent="0.25">
      <c r="A356" s="2">
        <v>6200354</v>
      </c>
      <c r="B356" s="10">
        <v>46303.805902777778</v>
      </c>
      <c r="C356" s="11" t="s">
        <v>82</v>
      </c>
      <c r="D356" s="11"/>
      <c r="E356" s="11" t="s">
        <v>83</v>
      </c>
      <c r="F356" s="11"/>
      <c r="G356" s="11" t="s">
        <v>593</v>
      </c>
      <c r="H356" s="3"/>
      <c r="I356" s="11" t="s">
        <v>75</v>
      </c>
      <c r="J356" s="11"/>
      <c r="K356" s="11"/>
      <c r="L356" s="11"/>
      <c r="M356" s="11"/>
      <c r="N356" s="2">
        <v>1.25</v>
      </c>
      <c r="O356" s="2"/>
      <c r="P356" s="2"/>
      <c r="Q356" s="2"/>
      <c r="R356" s="11"/>
      <c r="S356" s="11" t="s">
        <v>446</v>
      </c>
      <c r="T356" s="11" t="s">
        <v>85</v>
      </c>
      <c r="U356" s="11"/>
      <c r="V356" s="11"/>
      <c r="W356" s="11"/>
      <c r="X356" s="11"/>
      <c r="Y356" s="11"/>
      <c r="Z356" s="11"/>
      <c r="AA356" s="11"/>
      <c r="AB356" s="9"/>
      <c r="AC356" s="2"/>
      <c r="AD356" s="9"/>
      <c r="AE356" s="2"/>
      <c r="AF356" s="9"/>
      <c r="AG356" s="10"/>
      <c r="AH356" s="11"/>
      <c r="AI356" s="11" t="s">
        <v>86</v>
      </c>
      <c r="AJ356" s="11"/>
      <c r="AK356" s="2"/>
      <c r="AL356" s="11"/>
      <c r="AM356" s="11"/>
      <c r="AN356" s="11"/>
      <c r="AO356" s="2"/>
      <c r="AP356" s="3"/>
      <c r="AQ356" s="11"/>
      <c r="AR356" s="3"/>
      <c r="AS356" s="2"/>
      <c r="AT356" s="11"/>
      <c r="AU356" s="2"/>
      <c r="AV356" s="2"/>
      <c r="AW356" s="2"/>
      <c r="AX356" s="11"/>
      <c r="AY356" s="11"/>
      <c r="AZ356" s="9"/>
      <c r="BA356" s="2">
        <v>1875</v>
      </c>
      <c r="BB356" s="11"/>
      <c r="BC356" s="11"/>
      <c r="BD356" s="11"/>
      <c r="BE356" s="11"/>
      <c r="BF356" s="11"/>
      <c r="BG356" s="11"/>
      <c r="BH356" s="11"/>
      <c r="BI356" s="11"/>
      <c r="BJ356" s="11" t="s">
        <v>87</v>
      </c>
      <c r="BK356" s="10">
        <v>46303.805902777778</v>
      </c>
      <c r="BL356" s="11"/>
      <c r="BM356" s="11"/>
      <c r="BN356" s="10">
        <v>46303.625</v>
      </c>
      <c r="BO356" s="11"/>
      <c r="BP356" s="11"/>
      <c r="BQ356" s="11"/>
      <c r="BR356" s="11"/>
      <c r="BS356" s="11"/>
      <c r="BT356" s="11"/>
      <c r="BU356" s="11"/>
      <c r="BV356" s="2"/>
      <c r="BW356" s="11"/>
    </row>
    <row r="357" spans="1:75" ht="30" x14ac:dyDescent="0.25">
      <c r="A357" s="2">
        <v>6200355</v>
      </c>
      <c r="B357" s="10">
        <v>46303.805902777778</v>
      </c>
      <c r="C357" s="11" t="s">
        <v>82</v>
      </c>
      <c r="D357" s="11"/>
      <c r="E357" s="11" t="s">
        <v>88</v>
      </c>
      <c r="F357" s="11"/>
      <c r="G357" s="11" t="s">
        <v>592</v>
      </c>
      <c r="H357" s="3"/>
      <c r="I357" s="11" t="s">
        <v>75</v>
      </c>
      <c r="J357" s="11"/>
      <c r="K357" s="11"/>
      <c r="L357" s="11"/>
      <c r="M357" s="11"/>
      <c r="N357" s="2">
        <v>1.25</v>
      </c>
      <c r="O357" s="2"/>
      <c r="P357" s="2"/>
      <c r="Q357" s="2"/>
      <c r="R357" s="11"/>
      <c r="S357" s="11" t="s">
        <v>447</v>
      </c>
      <c r="T357" s="11" t="s">
        <v>85</v>
      </c>
      <c r="U357" s="11"/>
      <c r="V357" s="11"/>
      <c r="W357" s="11"/>
      <c r="X357" s="11"/>
      <c r="Y357" s="11"/>
      <c r="Z357" s="11"/>
      <c r="AA357" s="11"/>
      <c r="AB357" s="9"/>
      <c r="AC357" s="2"/>
      <c r="AD357" s="9"/>
      <c r="AE357" s="2"/>
      <c r="AF357" s="9"/>
      <c r="AG357" s="10"/>
      <c r="AH357" s="11"/>
      <c r="AI357" s="11" t="s">
        <v>86</v>
      </c>
      <c r="AJ357" s="11"/>
      <c r="AK357" s="2"/>
      <c r="AL357" s="11"/>
      <c r="AM357" s="11"/>
      <c r="AN357" s="11"/>
      <c r="AO357" s="2"/>
      <c r="AP357" s="3"/>
      <c r="AQ357" s="11"/>
      <c r="AR357" s="3"/>
      <c r="AS357" s="2"/>
      <c r="AT357" s="11"/>
      <c r="AU357" s="2"/>
      <c r="AV357" s="2"/>
      <c r="AW357" s="2"/>
      <c r="AX357" s="11"/>
      <c r="AY357" s="11"/>
      <c r="AZ357" s="9"/>
      <c r="BA357" s="2">
        <v>1875</v>
      </c>
      <c r="BB357" s="11"/>
      <c r="BC357" s="11"/>
      <c r="BD357" s="11"/>
      <c r="BE357" s="11"/>
      <c r="BF357" s="11"/>
      <c r="BG357" s="11"/>
      <c r="BH357" s="11"/>
      <c r="BI357" s="11"/>
      <c r="BJ357" s="11" t="s">
        <v>87</v>
      </c>
      <c r="BK357" s="10">
        <v>46303.805902777778</v>
      </c>
      <c r="BL357" s="11"/>
      <c r="BM357" s="11"/>
      <c r="BN357" s="10">
        <v>46303.625</v>
      </c>
      <c r="BO357" s="11"/>
      <c r="BP357" s="11"/>
      <c r="BQ357" s="11"/>
      <c r="BR357" s="11"/>
      <c r="BS357" s="11"/>
      <c r="BT357" s="11"/>
      <c r="BU357" s="11"/>
      <c r="BV357" s="2"/>
      <c r="BW357" s="11"/>
    </row>
    <row r="358" spans="1:75" ht="30" x14ac:dyDescent="0.25">
      <c r="A358" s="2">
        <v>6200356</v>
      </c>
      <c r="B358" s="10">
        <v>46303.805902777778</v>
      </c>
      <c r="C358" s="11" t="s">
        <v>82</v>
      </c>
      <c r="D358" s="11"/>
      <c r="E358" s="11" t="s">
        <v>92</v>
      </c>
      <c r="F358" s="11"/>
      <c r="G358" s="11" t="s">
        <v>89</v>
      </c>
      <c r="H358" s="3"/>
      <c r="I358" s="11" t="s">
        <v>90</v>
      </c>
      <c r="J358" s="11"/>
      <c r="K358" s="11"/>
      <c r="L358" s="11"/>
      <c r="M358" s="11"/>
      <c r="N358" s="2">
        <v>1.25</v>
      </c>
      <c r="O358" s="2"/>
      <c r="P358" s="2"/>
      <c r="Q358" s="2"/>
      <c r="R358" s="11"/>
      <c r="S358" s="11" t="s">
        <v>448</v>
      </c>
      <c r="T358" s="11" t="s">
        <v>85</v>
      </c>
      <c r="U358" s="11"/>
      <c r="V358" s="11"/>
      <c r="W358" s="11"/>
      <c r="X358" s="11"/>
      <c r="Y358" s="11"/>
      <c r="Z358" s="11"/>
      <c r="AA358" s="11"/>
      <c r="AB358" s="9"/>
      <c r="AC358" s="2"/>
      <c r="AD358" s="9"/>
      <c r="AE358" s="2"/>
      <c r="AF358" s="9"/>
      <c r="AG358" s="10"/>
      <c r="AH358" s="11"/>
      <c r="AI358" s="11" t="s">
        <v>86</v>
      </c>
      <c r="AJ358" s="11"/>
      <c r="AK358" s="2"/>
      <c r="AL358" s="11"/>
      <c r="AM358" s="11"/>
      <c r="AN358" s="11"/>
      <c r="AO358" s="2"/>
      <c r="AP358" s="3"/>
      <c r="AQ358" s="11"/>
      <c r="AR358" s="3"/>
      <c r="AS358" s="2"/>
      <c r="AT358" s="11"/>
      <c r="AU358" s="2"/>
      <c r="AV358" s="2"/>
      <c r="AW358" s="2"/>
      <c r="AX358" s="11"/>
      <c r="AY358" s="11"/>
      <c r="AZ358" s="9"/>
      <c r="BA358" s="2">
        <v>1875</v>
      </c>
      <c r="BB358" s="11"/>
      <c r="BC358" s="11"/>
      <c r="BD358" s="11"/>
      <c r="BE358" s="11"/>
      <c r="BF358" s="11"/>
      <c r="BG358" s="11"/>
      <c r="BH358" s="11"/>
      <c r="BI358" s="11"/>
      <c r="BJ358" s="11" t="s">
        <v>87</v>
      </c>
      <c r="BK358" s="10">
        <v>46303.805902777778</v>
      </c>
      <c r="BL358" s="11"/>
      <c r="BM358" s="11"/>
      <c r="BN358" s="10">
        <v>46303.625</v>
      </c>
      <c r="BO358" s="11"/>
      <c r="BP358" s="11"/>
      <c r="BQ358" s="11"/>
      <c r="BR358" s="11"/>
      <c r="BS358" s="11"/>
      <c r="BT358" s="11"/>
      <c r="BU358" s="11"/>
      <c r="BV358" s="2"/>
      <c r="BW358" s="11"/>
    </row>
    <row r="359" spans="1:75" ht="30" x14ac:dyDescent="0.25">
      <c r="A359" s="2">
        <v>6200357</v>
      </c>
      <c r="B359" s="10">
        <v>46303.805902777778</v>
      </c>
      <c r="C359" s="11" t="s">
        <v>82</v>
      </c>
      <c r="D359" s="11"/>
      <c r="E359" s="11" t="s">
        <v>83</v>
      </c>
      <c r="F359" s="11"/>
      <c r="G359" s="2">
        <v>470123456</v>
      </c>
      <c r="H359" s="3"/>
      <c r="I359" s="11" t="s">
        <v>75</v>
      </c>
      <c r="J359" s="11"/>
      <c r="K359" s="11"/>
      <c r="L359" s="11"/>
      <c r="M359" s="11"/>
      <c r="N359" s="2">
        <v>1.25</v>
      </c>
      <c r="O359" s="2"/>
      <c r="P359" s="2"/>
      <c r="Q359" s="2"/>
      <c r="R359" s="11"/>
      <c r="S359" s="11" t="s">
        <v>449</v>
      </c>
      <c r="T359" s="11" t="s">
        <v>85</v>
      </c>
      <c r="U359" s="11"/>
      <c r="V359" s="11"/>
      <c r="W359" s="11"/>
      <c r="X359" s="11"/>
      <c r="Y359" s="11"/>
      <c r="Z359" s="11"/>
      <c r="AA359" s="11"/>
      <c r="AB359" s="9"/>
      <c r="AC359" s="2"/>
      <c r="AD359" s="9"/>
      <c r="AE359" s="2"/>
      <c r="AF359" s="9"/>
      <c r="AG359" s="10"/>
      <c r="AH359" s="11"/>
      <c r="AI359" s="11" t="s">
        <v>86</v>
      </c>
      <c r="AJ359" s="11"/>
      <c r="AK359" s="2"/>
      <c r="AL359" s="11"/>
      <c r="AM359" s="11"/>
      <c r="AN359" s="11"/>
      <c r="AO359" s="2"/>
      <c r="AP359" s="3"/>
      <c r="AQ359" s="11"/>
      <c r="AR359" s="3"/>
      <c r="AS359" s="2"/>
      <c r="AT359" s="11"/>
      <c r="AU359" s="2"/>
      <c r="AV359" s="2"/>
      <c r="AW359" s="2"/>
      <c r="AX359" s="11"/>
      <c r="AY359" s="11"/>
      <c r="AZ359" s="9"/>
      <c r="BA359" s="2">
        <v>1875</v>
      </c>
      <c r="BB359" s="11"/>
      <c r="BC359" s="11"/>
      <c r="BD359" s="11"/>
      <c r="BE359" s="11"/>
      <c r="BF359" s="11"/>
      <c r="BG359" s="11"/>
      <c r="BH359" s="11"/>
      <c r="BI359" s="11"/>
      <c r="BJ359" s="11" t="s">
        <v>87</v>
      </c>
      <c r="BK359" s="10">
        <v>46303.805902777778</v>
      </c>
      <c r="BL359" s="11"/>
      <c r="BM359" s="11"/>
      <c r="BN359" s="10">
        <v>46303.625</v>
      </c>
      <c r="BO359" s="11"/>
      <c r="BP359" s="11"/>
      <c r="BQ359" s="11"/>
      <c r="BR359" s="11"/>
      <c r="BS359" s="11"/>
      <c r="BT359" s="11"/>
      <c r="BU359" s="11"/>
      <c r="BV359" s="2"/>
      <c r="BW359" s="11"/>
    </row>
    <row r="360" spans="1:75" ht="30" x14ac:dyDescent="0.25">
      <c r="A360" s="2">
        <v>6200358</v>
      </c>
      <c r="B360" s="10">
        <v>46303.805902777778</v>
      </c>
      <c r="C360" s="11" t="s">
        <v>82</v>
      </c>
      <c r="D360" s="11"/>
      <c r="E360" s="11" t="s">
        <v>88</v>
      </c>
      <c r="F360" s="11"/>
      <c r="G360" s="11" t="s">
        <v>94</v>
      </c>
      <c r="H360" s="3"/>
      <c r="I360" s="11" t="s">
        <v>90</v>
      </c>
      <c r="J360" s="11"/>
      <c r="K360" s="11"/>
      <c r="L360" s="11"/>
      <c r="M360" s="11"/>
      <c r="N360" s="2">
        <v>1.25</v>
      </c>
      <c r="O360" s="2"/>
      <c r="P360" s="2"/>
      <c r="Q360" s="2"/>
      <c r="R360" s="11"/>
      <c r="S360" s="11" t="s">
        <v>450</v>
      </c>
      <c r="T360" s="11" t="s">
        <v>85</v>
      </c>
      <c r="U360" s="11"/>
      <c r="V360" s="11"/>
      <c r="W360" s="11"/>
      <c r="X360" s="11"/>
      <c r="Y360" s="11"/>
      <c r="Z360" s="11"/>
      <c r="AA360" s="11"/>
      <c r="AB360" s="9"/>
      <c r="AC360" s="2"/>
      <c r="AD360" s="9"/>
      <c r="AE360" s="2"/>
      <c r="AF360" s="9"/>
      <c r="AG360" s="10"/>
      <c r="AH360" s="11"/>
      <c r="AI360" s="11" t="s">
        <v>86</v>
      </c>
      <c r="AJ360" s="11"/>
      <c r="AK360" s="2"/>
      <c r="AL360" s="11"/>
      <c r="AM360" s="11"/>
      <c r="AN360" s="11"/>
      <c r="AO360" s="2"/>
      <c r="AP360" s="3"/>
      <c r="AQ360" s="11"/>
      <c r="AR360" s="3"/>
      <c r="AS360" s="2"/>
      <c r="AT360" s="11"/>
      <c r="AU360" s="2"/>
      <c r="AV360" s="2"/>
      <c r="AW360" s="2"/>
      <c r="AX360" s="11"/>
      <c r="AY360" s="11"/>
      <c r="AZ360" s="9"/>
      <c r="BA360" s="2">
        <v>1875</v>
      </c>
      <c r="BB360" s="11"/>
      <c r="BC360" s="11"/>
      <c r="BD360" s="11"/>
      <c r="BE360" s="11"/>
      <c r="BF360" s="11"/>
      <c r="BG360" s="11"/>
      <c r="BH360" s="11"/>
      <c r="BI360" s="11"/>
      <c r="BJ360" s="11" t="s">
        <v>87</v>
      </c>
      <c r="BK360" s="10">
        <v>46303.805902777778</v>
      </c>
      <c r="BL360" s="11"/>
      <c r="BM360" s="11"/>
      <c r="BN360" s="10">
        <v>46303.625</v>
      </c>
      <c r="BO360" s="11"/>
      <c r="BP360" s="11"/>
      <c r="BQ360" s="11"/>
      <c r="BR360" s="11"/>
      <c r="BS360" s="11"/>
      <c r="BT360" s="11"/>
      <c r="BU360" s="11"/>
      <c r="BV360" s="2"/>
      <c r="BW360" s="11"/>
    </row>
    <row r="361" spans="1:75" ht="30" x14ac:dyDescent="0.25">
      <c r="A361" s="2">
        <v>6200359</v>
      </c>
      <c r="B361" s="10">
        <v>46303.805902777778</v>
      </c>
      <c r="C361" s="11" t="s">
        <v>82</v>
      </c>
      <c r="D361" s="11"/>
      <c r="E361" s="11" t="s">
        <v>92</v>
      </c>
      <c r="F361" s="11"/>
      <c r="G361" s="11" t="s">
        <v>593</v>
      </c>
      <c r="H361" s="3"/>
      <c r="I361" s="11" t="s">
        <v>75</v>
      </c>
      <c r="J361" s="11"/>
      <c r="K361" s="11"/>
      <c r="L361" s="11"/>
      <c r="M361" s="11"/>
      <c r="N361" s="2">
        <v>1.25</v>
      </c>
      <c r="O361" s="2"/>
      <c r="P361" s="2"/>
      <c r="Q361" s="2"/>
      <c r="R361" s="11"/>
      <c r="S361" s="11" t="s">
        <v>451</v>
      </c>
      <c r="T361" s="11" t="s">
        <v>85</v>
      </c>
      <c r="U361" s="11"/>
      <c r="V361" s="11"/>
      <c r="W361" s="11"/>
      <c r="X361" s="11"/>
      <c r="Y361" s="11"/>
      <c r="Z361" s="11"/>
      <c r="AA361" s="11"/>
      <c r="AB361" s="9"/>
      <c r="AC361" s="2"/>
      <c r="AD361" s="9"/>
      <c r="AE361" s="2"/>
      <c r="AF361" s="9"/>
      <c r="AG361" s="10"/>
      <c r="AH361" s="11"/>
      <c r="AI361" s="11" t="s">
        <v>86</v>
      </c>
      <c r="AJ361" s="11"/>
      <c r="AK361" s="2"/>
      <c r="AL361" s="11"/>
      <c r="AM361" s="11"/>
      <c r="AN361" s="11"/>
      <c r="AO361" s="2"/>
      <c r="AP361" s="3"/>
      <c r="AQ361" s="11"/>
      <c r="AR361" s="3"/>
      <c r="AS361" s="2"/>
      <c r="AT361" s="11"/>
      <c r="AU361" s="2"/>
      <c r="AV361" s="2"/>
      <c r="AW361" s="2"/>
      <c r="AX361" s="11"/>
      <c r="AY361" s="11"/>
      <c r="AZ361" s="9"/>
      <c r="BA361" s="2">
        <v>1875</v>
      </c>
      <c r="BB361" s="11"/>
      <c r="BC361" s="11"/>
      <c r="BD361" s="11"/>
      <c r="BE361" s="11"/>
      <c r="BF361" s="11"/>
      <c r="BG361" s="11"/>
      <c r="BH361" s="11"/>
      <c r="BI361" s="11"/>
      <c r="BJ361" s="11" t="s">
        <v>87</v>
      </c>
      <c r="BK361" s="10">
        <v>46303.805902777778</v>
      </c>
      <c r="BL361" s="11"/>
      <c r="BM361" s="11"/>
      <c r="BN361" s="10">
        <v>46303.625</v>
      </c>
      <c r="BO361" s="11"/>
      <c r="BP361" s="11"/>
      <c r="BQ361" s="11"/>
      <c r="BR361" s="11"/>
      <c r="BS361" s="11"/>
      <c r="BT361" s="11"/>
      <c r="BU361" s="11"/>
      <c r="BV361" s="2"/>
      <c r="BW361" s="11"/>
    </row>
    <row r="362" spans="1:75" ht="30" x14ac:dyDescent="0.25">
      <c r="A362" s="2">
        <v>6200360</v>
      </c>
      <c r="B362" s="10">
        <v>46303.805902777778</v>
      </c>
      <c r="C362" s="11" t="s">
        <v>82</v>
      </c>
      <c r="D362" s="11"/>
      <c r="E362" s="11" t="s">
        <v>83</v>
      </c>
      <c r="F362" s="11"/>
      <c r="G362" s="11" t="s">
        <v>592</v>
      </c>
      <c r="H362" s="3"/>
      <c r="I362" s="11" t="s">
        <v>75</v>
      </c>
      <c r="J362" s="11"/>
      <c r="K362" s="11"/>
      <c r="L362" s="11"/>
      <c r="M362" s="11"/>
      <c r="N362" s="2">
        <v>1.25</v>
      </c>
      <c r="O362" s="2"/>
      <c r="P362" s="2"/>
      <c r="Q362" s="2"/>
      <c r="R362" s="11"/>
      <c r="S362" s="11" t="s">
        <v>452</v>
      </c>
      <c r="T362" s="11" t="s">
        <v>85</v>
      </c>
      <c r="U362" s="11"/>
      <c r="V362" s="11"/>
      <c r="W362" s="11"/>
      <c r="X362" s="11"/>
      <c r="Y362" s="11"/>
      <c r="Z362" s="11"/>
      <c r="AA362" s="11"/>
      <c r="AB362" s="9"/>
      <c r="AC362" s="2"/>
      <c r="AD362" s="9"/>
      <c r="AE362" s="2"/>
      <c r="AF362" s="9"/>
      <c r="AG362" s="10"/>
      <c r="AH362" s="11"/>
      <c r="AI362" s="11" t="s">
        <v>86</v>
      </c>
      <c r="AJ362" s="11"/>
      <c r="AK362" s="2"/>
      <c r="AL362" s="11"/>
      <c r="AM362" s="11"/>
      <c r="AN362" s="11"/>
      <c r="AO362" s="2"/>
      <c r="AP362" s="3"/>
      <c r="AQ362" s="11"/>
      <c r="AR362" s="3"/>
      <c r="AS362" s="2"/>
      <c r="AT362" s="11"/>
      <c r="AU362" s="2"/>
      <c r="AV362" s="2"/>
      <c r="AW362" s="2"/>
      <c r="AX362" s="11"/>
      <c r="AY362" s="11"/>
      <c r="AZ362" s="9"/>
      <c r="BA362" s="2">
        <v>1875</v>
      </c>
      <c r="BB362" s="11"/>
      <c r="BC362" s="11"/>
      <c r="BD362" s="11"/>
      <c r="BE362" s="11"/>
      <c r="BF362" s="11"/>
      <c r="BG362" s="11"/>
      <c r="BH362" s="11"/>
      <c r="BI362" s="11"/>
      <c r="BJ362" s="11" t="s">
        <v>87</v>
      </c>
      <c r="BK362" s="10">
        <v>46303.805902777778</v>
      </c>
      <c r="BL362" s="11"/>
      <c r="BM362" s="11"/>
      <c r="BN362" s="10">
        <v>46303.625</v>
      </c>
      <c r="BO362" s="11"/>
      <c r="BP362" s="11"/>
      <c r="BQ362" s="11"/>
      <c r="BR362" s="11"/>
      <c r="BS362" s="11"/>
      <c r="BT362" s="11"/>
      <c r="BU362" s="11"/>
      <c r="BV362" s="2"/>
      <c r="BW362" s="11"/>
    </row>
    <row r="363" spans="1:75" ht="30" x14ac:dyDescent="0.25">
      <c r="A363" s="2">
        <v>6200361</v>
      </c>
      <c r="B363" s="10">
        <v>46303.805902777778</v>
      </c>
      <c r="C363" s="11" t="s">
        <v>82</v>
      </c>
      <c r="D363" s="11"/>
      <c r="E363" s="11" t="s">
        <v>88</v>
      </c>
      <c r="F363" s="11"/>
      <c r="G363" s="11" t="s">
        <v>89</v>
      </c>
      <c r="H363" s="3"/>
      <c r="I363" s="11" t="s">
        <v>90</v>
      </c>
      <c r="J363" s="11"/>
      <c r="K363" s="11"/>
      <c r="L363" s="11"/>
      <c r="M363" s="11"/>
      <c r="N363" s="2">
        <v>1.25</v>
      </c>
      <c r="O363" s="2"/>
      <c r="P363" s="2"/>
      <c r="Q363" s="2"/>
      <c r="R363" s="11"/>
      <c r="S363" s="11" t="s">
        <v>453</v>
      </c>
      <c r="T363" s="11" t="s">
        <v>85</v>
      </c>
      <c r="U363" s="11"/>
      <c r="V363" s="11"/>
      <c r="W363" s="11"/>
      <c r="X363" s="11"/>
      <c r="Y363" s="11"/>
      <c r="Z363" s="11"/>
      <c r="AA363" s="11"/>
      <c r="AB363" s="9"/>
      <c r="AC363" s="2"/>
      <c r="AD363" s="9"/>
      <c r="AE363" s="2"/>
      <c r="AF363" s="9"/>
      <c r="AG363" s="10"/>
      <c r="AH363" s="11"/>
      <c r="AI363" s="11" t="s">
        <v>86</v>
      </c>
      <c r="AJ363" s="11"/>
      <c r="AK363" s="2"/>
      <c r="AL363" s="11"/>
      <c r="AM363" s="11"/>
      <c r="AN363" s="11"/>
      <c r="AO363" s="2"/>
      <c r="AP363" s="3"/>
      <c r="AQ363" s="11"/>
      <c r="AR363" s="3"/>
      <c r="AS363" s="2"/>
      <c r="AT363" s="11"/>
      <c r="AU363" s="2"/>
      <c r="AV363" s="2"/>
      <c r="AW363" s="2"/>
      <c r="AX363" s="11"/>
      <c r="AY363" s="11"/>
      <c r="AZ363" s="9"/>
      <c r="BA363" s="2">
        <v>1875</v>
      </c>
      <c r="BB363" s="11"/>
      <c r="BC363" s="11"/>
      <c r="BD363" s="11"/>
      <c r="BE363" s="11"/>
      <c r="BF363" s="11"/>
      <c r="BG363" s="11"/>
      <c r="BH363" s="11"/>
      <c r="BI363" s="11"/>
      <c r="BJ363" s="11" t="s">
        <v>87</v>
      </c>
      <c r="BK363" s="10">
        <v>46303.805902777778</v>
      </c>
      <c r="BL363" s="11"/>
      <c r="BM363" s="11"/>
      <c r="BN363" s="10">
        <v>46303.625</v>
      </c>
      <c r="BO363" s="11"/>
      <c r="BP363" s="11"/>
      <c r="BQ363" s="11"/>
      <c r="BR363" s="11"/>
      <c r="BS363" s="11"/>
      <c r="BT363" s="11"/>
      <c r="BU363" s="11"/>
      <c r="BV363" s="2"/>
      <c r="BW363" s="11"/>
    </row>
    <row r="364" spans="1:75" ht="30" x14ac:dyDescent="0.25">
      <c r="A364" s="2">
        <v>6200362</v>
      </c>
      <c r="B364" s="10">
        <v>46303.805902777778</v>
      </c>
      <c r="C364" s="11" t="s">
        <v>82</v>
      </c>
      <c r="D364" s="11"/>
      <c r="E364" s="11" t="s">
        <v>92</v>
      </c>
      <c r="F364" s="11"/>
      <c r="G364" s="2">
        <v>470123456</v>
      </c>
      <c r="H364" s="3"/>
      <c r="I364" s="11" t="s">
        <v>75</v>
      </c>
      <c r="J364" s="11"/>
      <c r="K364" s="11"/>
      <c r="L364" s="11"/>
      <c r="M364" s="11"/>
      <c r="N364" s="2">
        <v>1.25</v>
      </c>
      <c r="O364" s="2"/>
      <c r="P364" s="2"/>
      <c r="Q364" s="2"/>
      <c r="R364" s="11"/>
      <c r="S364" s="11" t="s">
        <v>454</v>
      </c>
      <c r="T364" s="11" t="s">
        <v>85</v>
      </c>
      <c r="U364" s="11"/>
      <c r="V364" s="11"/>
      <c r="W364" s="11"/>
      <c r="X364" s="11"/>
      <c r="Y364" s="11"/>
      <c r="Z364" s="11"/>
      <c r="AA364" s="11"/>
      <c r="AB364" s="9"/>
      <c r="AC364" s="2"/>
      <c r="AD364" s="9"/>
      <c r="AE364" s="2"/>
      <c r="AF364" s="9"/>
      <c r="AG364" s="10"/>
      <c r="AH364" s="11"/>
      <c r="AI364" s="11" t="s">
        <v>86</v>
      </c>
      <c r="AJ364" s="11"/>
      <c r="AK364" s="2"/>
      <c r="AL364" s="11"/>
      <c r="AM364" s="11"/>
      <c r="AN364" s="11"/>
      <c r="AO364" s="2"/>
      <c r="AP364" s="3"/>
      <c r="AQ364" s="11"/>
      <c r="AR364" s="3"/>
      <c r="AS364" s="2"/>
      <c r="AT364" s="11"/>
      <c r="AU364" s="2"/>
      <c r="AV364" s="2"/>
      <c r="AW364" s="2"/>
      <c r="AX364" s="11"/>
      <c r="AY364" s="11"/>
      <c r="AZ364" s="9"/>
      <c r="BA364" s="2">
        <v>1875</v>
      </c>
      <c r="BB364" s="11"/>
      <c r="BC364" s="11"/>
      <c r="BD364" s="11"/>
      <c r="BE364" s="11"/>
      <c r="BF364" s="11"/>
      <c r="BG364" s="11"/>
      <c r="BH364" s="11"/>
      <c r="BI364" s="11"/>
      <c r="BJ364" s="11" t="s">
        <v>87</v>
      </c>
      <c r="BK364" s="10">
        <v>46303.805902777778</v>
      </c>
      <c r="BL364" s="11"/>
      <c r="BM364" s="11"/>
      <c r="BN364" s="10">
        <v>46303.625</v>
      </c>
      <c r="BO364" s="11"/>
      <c r="BP364" s="11"/>
      <c r="BQ364" s="11"/>
      <c r="BR364" s="11"/>
      <c r="BS364" s="11"/>
      <c r="BT364" s="11"/>
      <c r="BU364" s="11"/>
      <c r="BV364" s="2"/>
      <c r="BW364" s="11"/>
    </row>
    <row r="365" spans="1:75" ht="30" x14ac:dyDescent="0.25">
      <c r="A365" s="2">
        <v>6200363</v>
      </c>
      <c r="B365" s="10">
        <v>46303.805902777778</v>
      </c>
      <c r="C365" s="11" t="s">
        <v>82</v>
      </c>
      <c r="D365" s="11"/>
      <c r="E365" s="11" t="s">
        <v>83</v>
      </c>
      <c r="F365" s="11"/>
      <c r="G365" s="11" t="s">
        <v>94</v>
      </c>
      <c r="H365" s="3"/>
      <c r="I365" s="11" t="s">
        <v>90</v>
      </c>
      <c r="J365" s="11"/>
      <c r="K365" s="11"/>
      <c r="L365" s="11"/>
      <c r="M365" s="11"/>
      <c r="N365" s="2">
        <v>1.25</v>
      </c>
      <c r="O365" s="2"/>
      <c r="P365" s="2"/>
      <c r="Q365" s="2"/>
      <c r="R365" s="11"/>
      <c r="S365" s="11" t="s">
        <v>455</v>
      </c>
      <c r="T365" s="11" t="s">
        <v>85</v>
      </c>
      <c r="U365" s="11"/>
      <c r="V365" s="11"/>
      <c r="W365" s="11"/>
      <c r="X365" s="11"/>
      <c r="Y365" s="11"/>
      <c r="Z365" s="11"/>
      <c r="AA365" s="11"/>
      <c r="AB365" s="9"/>
      <c r="AC365" s="2"/>
      <c r="AD365" s="9"/>
      <c r="AE365" s="2"/>
      <c r="AF365" s="9"/>
      <c r="AG365" s="10"/>
      <c r="AH365" s="11"/>
      <c r="AI365" s="11" t="s">
        <v>86</v>
      </c>
      <c r="AJ365" s="11"/>
      <c r="AK365" s="2"/>
      <c r="AL365" s="11"/>
      <c r="AM365" s="11"/>
      <c r="AN365" s="11"/>
      <c r="AO365" s="2"/>
      <c r="AP365" s="3"/>
      <c r="AQ365" s="11"/>
      <c r="AR365" s="3"/>
      <c r="AS365" s="2"/>
      <c r="AT365" s="11"/>
      <c r="AU365" s="2"/>
      <c r="AV365" s="2"/>
      <c r="AW365" s="2"/>
      <c r="AX365" s="11"/>
      <c r="AY365" s="11"/>
      <c r="AZ365" s="9"/>
      <c r="BA365" s="2">
        <v>1875</v>
      </c>
      <c r="BB365" s="11"/>
      <c r="BC365" s="11"/>
      <c r="BD365" s="11"/>
      <c r="BE365" s="11"/>
      <c r="BF365" s="11"/>
      <c r="BG365" s="11"/>
      <c r="BH365" s="11"/>
      <c r="BI365" s="11"/>
      <c r="BJ365" s="11" t="s">
        <v>87</v>
      </c>
      <c r="BK365" s="10">
        <v>46303.805902777778</v>
      </c>
      <c r="BL365" s="11"/>
      <c r="BM365" s="11"/>
      <c r="BN365" s="10">
        <v>46303.625</v>
      </c>
      <c r="BO365" s="11"/>
      <c r="BP365" s="11"/>
      <c r="BQ365" s="11"/>
      <c r="BR365" s="11"/>
      <c r="BS365" s="11"/>
      <c r="BT365" s="11"/>
      <c r="BU365" s="11"/>
      <c r="BV365" s="2"/>
      <c r="BW365" s="11"/>
    </row>
    <row r="366" spans="1:75" ht="30" x14ac:dyDescent="0.25">
      <c r="A366" s="2">
        <v>6200364</v>
      </c>
      <c r="B366" s="10">
        <v>46303.805902777778</v>
      </c>
      <c r="C366" s="11" t="s">
        <v>82</v>
      </c>
      <c r="D366" s="11"/>
      <c r="E366" s="11" t="s">
        <v>88</v>
      </c>
      <c r="F366" s="11"/>
      <c r="G366" s="11" t="s">
        <v>593</v>
      </c>
      <c r="H366" s="3"/>
      <c r="I366" s="11" t="s">
        <v>75</v>
      </c>
      <c r="J366" s="11"/>
      <c r="K366" s="11"/>
      <c r="L366" s="11"/>
      <c r="M366" s="11"/>
      <c r="N366" s="2">
        <v>1.25</v>
      </c>
      <c r="O366" s="2"/>
      <c r="P366" s="2"/>
      <c r="Q366" s="2"/>
      <c r="R366" s="11"/>
      <c r="S366" s="11" t="s">
        <v>456</v>
      </c>
      <c r="T366" s="11" t="s">
        <v>85</v>
      </c>
      <c r="U366" s="11"/>
      <c r="V366" s="11"/>
      <c r="W366" s="11"/>
      <c r="X366" s="11"/>
      <c r="Y366" s="11"/>
      <c r="Z366" s="11"/>
      <c r="AA366" s="11"/>
      <c r="AB366" s="9"/>
      <c r="AC366" s="2"/>
      <c r="AD366" s="9"/>
      <c r="AE366" s="2"/>
      <c r="AF366" s="9"/>
      <c r="AG366" s="10"/>
      <c r="AH366" s="11"/>
      <c r="AI366" s="11" t="s">
        <v>86</v>
      </c>
      <c r="AJ366" s="11"/>
      <c r="AK366" s="2"/>
      <c r="AL366" s="11"/>
      <c r="AM366" s="11"/>
      <c r="AN366" s="11"/>
      <c r="AO366" s="2"/>
      <c r="AP366" s="3"/>
      <c r="AQ366" s="11"/>
      <c r="AR366" s="3"/>
      <c r="AS366" s="2"/>
      <c r="AT366" s="11"/>
      <c r="AU366" s="2"/>
      <c r="AV366" s="2"/>
      <c r="AW366" s="2"/>
      <c r="AX366" s="11"/>
      <c r="AY366" s="11"/>
      <c r="AZ366" s="9"/>
      <c r="BA366" s="2">
        <v>1875</v>
      </c>
      <c r="BB366" s="11"/>
      <c r="BC366" s="11"/>
      <c r="BD366" s="11"/>
      <c r="BE366" s="11"/>
      <c r="BF366" s="11"/>
      <c r="BG366" s="11"/>
      <c r="BH366" s="11"/>
      <c r="BI366" s="11"/>
      <c r="BJ366" s="11" t="s">
        <v>87</v>
      </c>
      <c r="BK366" s="10">
        <v>46303.805902777778</v>
      </c>
      <c r="BL366" s="11"/>
      <c r="BM366" s="11"/>
      <c r="BN366" s="10">
        <v>46303.625</v>
      </c>
      <c r="BO366" s="11"/>
      <c r="BP366" s="11"/>
      <c r="BQ366" s="11"/>
      <c r="BR366" s="11"/>
      <c r="BS366" s="11"/>
      <c r="BT366" s="11"/>
      <c r="BU366" s="11"/>
      <c r="BV366" s="2"/>
      <c r="BW366" s="11"/>
    </row>
    <row r="367" spans="1:75" ht="30" x14ac:dyDescent="0.25">
      <c r="A367" s="2">
        <v>6200365</v>
      </c>
      <c r="B367" s="10">
        <v>46303.805902777778</v>
      </c>
      <c r="C367" s="11" t="s">
        <v>82</v>
      </c>
      <c r="D367" s="11"/>
      <c r="E367" s="11" t="s">
        <v>92</v>
      </c>
      <c r="F367" s="11"/>
      <c r="G367" s="11" t="s">
        <v>592</v>
      </c>
      <c r="H367" s="3"/>
      <c r="I367" s="11" t="s">
        <v>75</v>
      </c>
      <c r="J367" s="11"/>
      <c r="K367" s="11"/>
      <c r="L367" s="11"/>
      <c r="M367" s="11"/>
      <c r="N367" s="2">
        <v>1.25</v>
      </c>
      <c r="O367" s="2"/>
      <c r="P367" s="2"/>
      <c r="Q367" s="2"/>
      <c r="R367" s="11"/>
      <c r="S367" s="11" t="s">
        <v>457</v>
      </c>
      <c r="T367" s="11" t="s">
        <v>85</v>
      </c>
      <c r="U367" s="11"/>
      <c r="V367" s="11"/>
      <c r="W367" s="11"/>
      <c r="X367" s="11"/>
      <c r="Y367" s="11"/>
      <c r="Z367" s="11"/>
      <c r="AA367" s="11"/>
      <c r="AB367" s="9"/>
      <c r="AC367" s="2"/>
      <c r="AD367" s="9"/>
      <c r="AE367" s="2"/>
      <c r="AF367" s="9"/>
      <c r="AG367" s="10"/>
      <c r="AH367" s="11"/>
      <c r="AI367" s="11" t="s">
        <v>86</v>
      </c>
      <c r="AJ367" s="11"/>
      <c r="AK367" s="2"/>
      <c r="AL367" s="11"/>
      <c r="AM367" s="11"/>
      <c r="AN367" s="11"/>
      <c r="AO367" s="2"/>
      <c r="AP367" s="3"/>
      <c r="AQ367" s="11"/>
      <c r="AR367" s="3"/>
      <c r="AS367" s="2"/>
      <c r="AT367" s="11"/>
      <c r="AU367" s="2"/>
      <c r="AV367" s="2"/>
      <c r="AW367" s="2"/>
      <c r="AX367" s="11"/>
      <c r="AY367" s="11"/>
      <c r="AZ367" s="9"/>
      <c r="BA367" s="2">
        <v>1875</v>
      </c>
      <c r="BB367" s="11"/>
      <c r="BC367" s="11"/>
      <c r="BD367" s="11"/>
      <c r="BE367" s="11"/>
      <c r="BF367" s="11"/>
      <c r="BG367" s="11"/>
      <c r="BH367" s="11"/>
      <c r="BI367" s="11"/>
      <c r="BJ367" s="11" t="s">
        <v>87</v>
      </c>
      <c r="BK367" s="10">
        <v>46303.805902777778</v>
      </c>
      <c r="BL367" s="11"/>
      <c r="BM367" s="11"/>
      <c r="BN367" s="10">
        <v>46303.625</v>
      </c>
      <c r="BO367" s="11"/>
      <c r="BP367" s="11"/>
      <c r="BQ367" s="11"/>
      <c r="BR367" s="11"/>
      <c r="BS367" s="11"/>
      <c r="BT367" s="11"/>
      <c r="BU367" s="11"/>
      <c r="BV367" s="2"/>
      <c r="BW367" s="11"/>
    </row>
    <row r="368" spans="1:75" ht="30" x14ac:dyDescent="0.25">
      <c r="A368" s="2">
        <v>6200366</v>
      </c>
      <c r="B368" s="10">
        <v>46303.805902777778</v>
      </c>
      <c r="C368" s="11" t="s">
        <v>82</v>
      </c>
      <c r="D368" s="11"/>
      <c r="E368" s="11" t="s">
        <v>83</v>
      </c>
      <c r="F368" s="11"/>
      <c r="G368" s="11" t="s">
        <v>89</v>
      </c>
      <c r="H368" s="3"/>
      <c r="I368" s="11" t="s">
        <v>90</v>
      </c>
      <c r="J368" s="11"/>
      <c r="K368" s="11"/>
      <c r="L368" s="11"/>
      <c r="M368" s="11"/>
      <c r="N368" s="2">
        <v>1.25</v>
      </c>
      <c r="O368" s="2"/>
      <c r="P368" s="2"/>
      <c r="Q368" s="2"/>
      <c r="R368" s="11"/>
      <c r="S368" s="11" t="s">
        <v>458</v>
      </c>
      <c r="T368" s="11" t="s">
        <v>85</v>
      </c>
      <c r="U368" s="11"/>
      <c r="V368" s="11"/>
      <c r="W368" s="11"/>
      <c r="X368" s="11"/>
      <c r="Y368" s="11"/>
      <c r="Z368" s="11"/>
      <c r="AA368" s="11"/>
      <c r="AB368" s="9"/>
      <c r="AC368" s="2"/>
      <c r="AD368" s="9"/>
      <c r="AE368" s="2"/>
      <c r="AF368" s="9"/>
      <c r="AG368" s="10"/>
      <c r="AH368" s="11"/>
      <c r="AI368" s="11" t="s">
        <v>86</v>
      </c>
      <c r="AJ368" s="11"/>
      <c r="AK368" s="2"/>
      <c r="AL368" s="11"/>
      <c r="AM368" s="11"/>
      <c r="AN368" s="11"/>
      <c r="AO368" s="2"/>
      <c r="AP368" s="3"/>
      <c r="AQ368" s="11"/>
      <c r="AR368" s="3"/>
      <c r="AS368" s="2"/>
      <c r="AT368" s="11"/>
      <c r="AU368" s="2"/>
      <c r="AV368" s="2"/>
      <c r="AW368" s="2"/>
      <c r="AX368" s="11"/>
      <c r="AY368" s="11"/>
      <c r="AZ368" s="9"/>
      <c r="BA368" s="2">
        <v>1875</v>
      </c>
      <c r="BB368" s="11"/>
      <c r="BC368" s="11"/>
      <c r="BD368" s="11"/>
      <c r="BE368" s="11"/>
      <c r="BF368" s="11"/>
      <c r="BG368" s="11"/>
      <c r="BH368" s="11"/>
      <c r="BI368" s="11"/>
      <c r="BJ368" s="11" t="s">
        <v>87</v>
      </c>
      <c r="BK368" s="10">
        <v>46303.805902777778</v>
      </c>
      <c r="BL368" s="11"/>
      <c r="BM368" s="11"/>
      <c r="BN368" s="10">
        <v>46303.625</v>
      </c>
      <c r="BO368" s="11"/>
      <c r="BP368" s="11"/>
      <c r="BQ368" s="11"/>
      <c r="BR368" s="11"/>
      <c r="BS368" s="11"/>
      <c r="BT368" s="11"/>
      <c r="BU368" s="11"/>
      <c r="BV368" s="2"/>
      <c r="BW368" s="11"/>
    </row>
    <row r="369" spans="1:75" ht="30" x14ac:dyDescent="0.25">
      <c r="A369" s="2">
        <v>6200367</v>
      </c>
      <c r="B369" s="10">
        <v>46303.805902777778</v>
      </c>
      <c r="C369" s="11" t="s">
        <v>82</v>
      </c>
      <c r="D369" s="11"/>
      <c r="E369" s="11" t="s">
        <v>88</v>
      </c>
      <c r="F369" s="11"/>
      <c r="G369" s="2">
        <v>470123456</v>
      </c>
      <c r="H369" s="3"/>
      <c r="I369" s="11" t="s">
        <v>75</v>
      </c>
      <c r="J369" s="11"/>
      <c r="K369" s="11"/>
      <c r="L369" s="11"/>
      <c r="M369" s="11"/>
      <c r="N369" s="2">
        <v>1.25</v>
      </c>
      <c r="O369" s="2"/>
      <c r="P369" s="2"/>
      <c r="Q369" s="2"/>
      <c r="R369" s="11"/>
      <c r="S369" s="11" t="s">
        <v>459</v>
      </c>
      <c r="T369" s="11" t="s">
        <v>85</v>
      </c>
      <c r="U369" s="11"/>
      <c r="V369" s="11"/>
      <c r="W369" s="11"/>
      <c r="X369" s="11"/>
      <c r="Y369" s="11"/>
      <c r="Z369" s="11"/>
      <c r="AA369" s="11"/>
      <c r="AB369" s="9"/>
      <c r="AC369" s="2"/>
      <c r="AD369" s="9"/>
      <c r="AE369" s="2"/>
      <c r="AF369" s="9"/>
      <c r="AG369" s="10"/>
      <c r="AH369" s="11"/>
      <c r="AI369" s="11" t="s">
        <v>86</v>
      </c>
      <c r="AJ369" s="11"/>
      <c r="AK369" s="2"/>
      <c r="AL369" s="11"/>
      <c r="AM369" s="11"/>
      <c r="AN369" s="11"/>
      <c r="AO369" s="2"/>
      <c r="AP369" s="3"/>
      <c r="AQ369" s="11"/>
      <c r="AR369" s="3"/>
      <c r="AS369" s="2"/>
      <c r="AT369" s="11"/>
      <c r="AU369" s="2"/>
      <c r="AV369" s="2"/>
      <c r="AW369" s="2"/>
      <c r="AX369" s="11"/>
      <c r="AY369" s="11"/>
      <c r="AZ369" s="9"/>
      <c r="BA369" s="2">
        <v>1875</v>
      </c>
      <c r="BB369" s="11"/>
      <c r="BC369" s="11"/>
      <c r="BD369" s="11"/>
      <c r="BE369" s="11"/>
      <c r="BF369" s="11"/>
      <c r="BG369" s="11"/>
      <c r="BH369" s="11"/>
      <c r="BI369" s="11"/>
      <c r="BJ369" s="11" t="s">
        <v>87</v>
      </c>
      <c r="BK369" s="10">
        <v>46303.805902777778</v>
      </c>
      <c r="BL369" s="11"/>
      <c r="BM369" s="11"/>
      <c r="BN369" s="10">
        <v>46303.625</v>
      </c>
      <c r="BO369" s="11"/>
      <c r="BP369" s="11"/>
      <c r="BQ369" s="11"/>
      <c r="BR369" s="11"/>
      <c r="BS369" s="11"/>
      <c r="BT369" s="11"/>
      <c r="BU369" s="11"/>
      <c r="BV369" s="2"/>
      <c r="BW369" s="11"/>
    </row>
    <row r="370" spans="1:75" ht="30" x14ac:dyDescent="0.25">
      <c r="A370" s="2">
        <v>6200368</v>
      </c>
      <c r="B370" s="10">
        <v>46303.805902777778</v>
      </c>
      <c r="C370" s="11" t="s">
        <v>82</v>
      </c>
      <c r="D370" s="11"/>
      <c r="E370" s="11" t="s">
        <v>92</v>
      </c>
      <c r="F370" s="11"/>
      <c r="G370" s="11" t="s">
        <v>94</v>
      </c>
      <c r="H370" s="3"/>
      <c r="I370" s="11" t="s">
        <v>90</v>
      </c>
      <c r="J370" s="11"/>
      <c r="K370" s="11"/>
      <c r="L370" s="11"/>
      <c r="M370" s="11"/>
      <c r="N370" s="2">
        <v>1.25</v>
      </c>
      <c r="O370" s="2"/>
      <c r="P370" s="2"/>
      <c r="Q370" s="2"/>
      <c r="R370" s="11"/>
      <c r="S370" s="11" t="s">
        <v>460</v>
      </c>
      <c r="T370" s="11" t="s">
        <v>85</v>
      </c>
      <c r="U370" s="11"/>
      <c r="V370" s="11"/>
      <c r="W370" s="11"/>
      <c r="X370" s="11"/>
      <c r="Y370" s="11"/>
      <c r="Z370" s="11"/>
      <c r="AA370" s="11"/>
      <c r="AB370" s="9"/>
      <c r="AC370" s="2"/>
      <c r="AD370" s="9"/>
      <c r="AE370" s="2"/>
      <c r="AF370" s="9"/>
      <c r="AG370" s="10"/>
      <c r="AH370" s="11"/>
      <c r="AI370" s="11" t="s">
        <v>86</v>
      </c>
      <c r="AJ370" s="11"/>
      <c r="AK370" s="2"/>
      <c r="AL370" s="11"/>
      <c r="AM370" s="11"/>
      <c r="AN370" s="11"/>
      <c r="AO370" s="2"/>
      <c r="AP370" s="3"/>
      <c r="AQ370" s="11"/>
      <c r="AR370" s="3"/>
      <c r="AS370" s="2"/>
      <c r="AT370" s="11"/>
      <c r="AU370" s="2"/>
      <c r="AV370" s="2"/>
      <c r="AW370" s="2"/>
      <c r="AX370" s="11"/>
      <c r="AY370" s="11"/>
      <c r="AZ370" s="9"/>
      <c r="BA370" s="2">
        <v>1875</v>
      </c>
      <c r="BB370" s="11"/>
      <c r="BC370" s="11"/>
      <c r="BD370" s="11"/>
      <c r="BE370" s="11"/>
      <c r="BF370" s="11"/>
      <c r="BG370" s="11"/>
      <c r="BH370" s="11"/>
      <c r="BI370" s="11"/>
      <c r="BJ370" s="11" t="s">
        <v>87</v>
      </c>
      <c r="BK370" s="10">
        <v>46303.805902777778</v>
      </c>
      <c r="BL370" s="11"/>
      <c r="BM370" s="11"/>
      <c r="BN370" s="10">
        <v>46303.625</v>
      </c>
      <c r="BO370" s="11"/>
      <c r="BP370" s="11"/>
      <c r="BQ370" s="11"/>
      <c r="BR370" s="11"/>
      <c r="BS370" s="11"/>
      <c r="BT370" s="11"/>
      <c r="BU370" s="11"/>
      <c r="BV370" s="2"/>
      <c r="BW370" s="11"/>
    </row>
    <row r="371" spans="1:75" ht="30" x14ac:dyDescent="0.25">
      <c r="A371" s="2">
        <v>6200369</v>
      </c>
      <c r="B371" s="10">
        <v>46303.805902777778</v>
      </c>
      <c r="C371" s="11" t="s">
        <v>82</v>
      </c>
      <c r="D371" s="11"/>
      <c r="E371" s="11" t="s">
        <v>83</v>
      </c>
      <c r="F371" s="11"/>
      <c r="G371" s="11" t="s">
        <v>593</v>
      </c>
      <c r="H371" s="3"/>
      <c r="I371" s="11" t="s">
        <v>75</v>
      </c>
      <c r="J371" s="11"/>
      <c r="K371" s="11"/>
      <c r="L371" s="11"/>
      <c r="M371" s="11"/>
      <c r="N371" s="2">
        <v>1.25</v>
      </c>
      <c r="O371" s="2"/>
      <c r="P371" s="2"/>
      <c r="Q371" s="2"/>
      <c r="R371" s="11"/>
      <c r="S371" s="11" t="s">
        <v>461</v>
      </c>
      <c r="T371" s="11" t="s">
        <v>85</v>
      </c>
      <c r="U371" s="11"/>
      <c r="V371" s="11"/>
      <c r="W371" s="11"/>
      <c r="X371" s="11"/>
      <c r="Y371" s="11"/>
      <c r="Z371" s="11"/>
      <c r="AA371" s="11"/>
      <c r="AB371" s="9"/>
      <c r="AC371" s="2"/>
      <c r="AD371" s="9"/>
      <c r="AE371" s="2"/>
      <c r="AF371" s="9"/>
      <c r="AG371" s="10"/>
      <c r="AH371" s="11"/>
      <c r="AI371" s="11" t="s">
        <v>86</v>
      </c>
      <c r="AJ371" s="11"/>
      <c r="AK371" s="2"/>
      <c r="AL371" s="11"/>
      <c r="AM371" s="11"/>
      <c r="AN371" s="11"/>
      <c r="AO371" s="2"/>
      <c r="AP371" s="3"/>
      <c r="AQ371" s="11"/>
      <c r="AR371" s="3"/>
      <c r="AS371" s="2"/>
      <c r="AT371" s="11"/>
      <c r="AU371" s="2"/>
      <c r="AV371" s="2"/>
      <c r="AW371" s="2"/>
      <c r="AX371" s="11"/>
      <c r="AY371" s="11"/>
      <c r="AZ371" s="9"/>
      <c r="BA371" s="2">
        <v>1875</v>
      </c>
      <c r="BB371" s="11"/>
      <c r="BC371" s="11"/>
      <c r="BD371" s="11"/>
      <c r="BE371" s="11"/>
      <c r="BF371" s="11"/>
      <c r="BG371" s="11"/>
      <c r="BH371" s="11"/>
      <c r="BI371" s="11"/>
      <c r="BJ371" s="11" t="s">
        <v>87</v>
      </c>
      <c r="BK371" s="10">
        <v>46303.805902777778</v>
      </c>
      <c r="BL371" s="11"/>
      <c r="BM371" s="11"/>
      <c r="BN371" s="10">
        <v>46303.625</v>
      </c>
      <c r="BO371" s="11"/>
      <c r="BP371" s="11"/>
      <c r="BQ371" s="11"/>
      <c r="BR371" s="11"/>
      <c r="BS371" s="11"/>
      <c r="BT371" s="11"/>
      <c r="BU371" s="11"/>
      <c r="BV371" s="2"/>
      <c r="BW371" s="11"/>
    </row>
    <row r="372" spans="1:75" ht="30" x14ac:dyDescent="0.25">
      <c r="A372" s="2">
        <v>6200370</v>
      </c>
      <c r="B372" s="10">
        <v>46303.805902777778</v>
      </c>
      <c r="C372" s="11" t="s">
        <v>82</v>
      </c>
      <c r="D372" s="11"/>
      <c r="E372" s="11" t="s">
        <v>88</v>
      </c>
      <c r="F372" s="11"/>
      <c r="G372" s="11" t="s">
        <v>592</v>
      </c>
      <c r="H372" s="3"/>
      <c r="I372" s="11" t="s">
        <v>75</v>
      </c>
      <c r="J372" s="11"/>
      <c r="K372" s="11"/>
      <c r="L372" s="11"/>
      <c r="M372" s="11"/>
      <c r="N372" s="2">
        <v>1.25</v>
      </c>
      <c r="O372" s="2"/>
      <c r="P372" s="2"/>
      <c r="Q372" s="2"/>
      <c r="R372" s="11"/>
      <c r="S372" s="11" t="s">
        <v>462</v>
      </c>
      <c r="T372" s="11" t="s">
        <v>85</v>
      </c>
      <c r="U372" s="11"/>
      <c r="V372" s="11"/>
      <c r="W372" s="11"/>
      <c r="X372" s="11"/>
      <c r="Y372" s="11"/>
      <c r="Z372" s="11"/>
      <c r="AA372" s="11"/>
      <c r="AB372" s="9"/>
      <c r="AC372" s="2"/>
      <c r="AD372" s="9"/>
      <c r="AE372" s="2"/>
      <c r="AF372" s="9"/>
      <c r="AG372" s="10"/>
      <c r="AH372" s="11"/>
      <c r="AI372" s="11" t="s">
        <v>86</v>
      </c>
      <c r="AJ372" s="11"/>
      <c r="AK372" s="2"/>
      <c r="AL372" s="11"/>
      <c r="AM372" s="11"/>
      <c r="AN372" s="11"/>
      <c r="AO372" s="2"/>
      <c r="AP372" s="3"/>
      <c r="AQ372" s="11"/>
      <c r="AR372" s="3"/>
      <c r="AS372" s="2"/>
      <c r="AT372" s="11"/>
      <c r="AU372" s="2"/>
      <c r="AV372" s="2"/>
      <c r="AW372" s="2"/>
      <c r="AX372" s="11"/>
      <c r="AY372" s="11"/>
      <c r="AZ372" s="9"/>
      <c r="BA372" s="2">
        <v>1875</v>
      </c>
      <c r="BB372" s="11"/>
      <c r="BC372" s="11"/>
      <c r="BD372" s="11"/>
      <c r="BE372" s="11"/>
      <c r="BF372" s="11"/>
      <c r="BG372" s="11"/>
      <c r="BH372" s="11"/>
      <c r="BI372" s="11"/>
      <c r="BJ372" s="11" t="s">
        <v>87</v>
      </c>
      <c r="BK372" s="10">
        <v>46303.805902777778</v>
      </c>
      <c r="BL372" s="11"/>
      <c r="BM372" s="11"/>
      <c r="BN372" s="10">
        <v>46303.625</v>
      </c>
      <c r="BO372" s="11"/>
      <c r="BP372" s="11"/>
      <c r="BQ372" s="11"/>
      <c r="BR372" s="11"/>
      <c r="BS372" s="11"/>
      <c r="BT372" s="11"/>
      <c r="BU372" s="11"/>
      <c r="BV372" s="2"/>
      <c r="BW372" s="11"/>
    </row>
    <row r="373" spans="1:75" ht="30" x14ac:dyDescent="0.25">
      <c r="A373" s="2">
        <v>6200371</v>
      </c>
      <c r="B373" s="10">
        <v>46303.805902777778</v>
      </c>
      <c r="C373" s="11" t="s">
        <v>82</v>
      </c>
      <c r="D373" s="11"/>
      <c r="E373" s="11" t="s">
        <v>92</v>
      </c>
      <c r="F373" s="11"/>
      <c r="G373" s="11" t="s">
        <v>89</v>
      </c>
      <c r="H373" s="3"/>
      <c r="I373" s="11" t="s">
        <v>90</v>
      </c>
      <c r="J373" s="11"/>
      <c r="K373" s="11"/>
      <c r="L373" s="11"/>
      <c r="M373" s="11"/>
      <c r="N373" s="2">
        <v>1.25</v>
      </c>
      <c r="O373" s="2"/>
      <c r="P373" s="2"/>
      <c r="Q373" s="2"/>
      <c r="R373" s="11"/>
      <c r="S373" s="11" t="s">
        <v>463</v>
      </c>
      <c r="T373" s="11" t="s">
        <v>85</v>
      </c>
      <c r="U373" s="11"/>
      <c r="V373" s="11"/>
      <c r="W373" s="11"/>
      <c r="X373" s="11"/>
      <c r="Y373" s="11"/>
      <c r="Z373" s="11"/>
      <c r="AA373" s="11"/>
      <c r="AB373" s="9"/>
      <c r="AC373" s="2"/>
      <c r="AD373" s="9"/>
      <c r="AE373" s="2"/>
      <c r="AF373" s="9"/>
      <c r="AG373" s="10"/>
      <c r="AH373" s="11"/>
      <c r="AI373" s="11" t="s">
        <v>86</v>
      </c>
      <c r="AJ373" s="11"/>
      <c r="AK373" s="2"/>
      <c r="AL373" s="11"/>
      <c r="AM373" s="11"/>
      <c r="AN373" s="11"/>
      <c r="AO373" s="2"/>
      <c r="AP373" s="3"/>
      <c r="AQ373" s="11"/>
      <c r="AR373" s="3"/>
      <c r="AS373" s="2"/>
      <c r="AT373" s="11"/>
      <c r="AU373" s="2"/>
      <c r="AV373" s="2"/>
      <c r="AW373" s="2"/>
      <c r="AX373" s="11"/>
      <c r="AY373" s="11"/>
      <c r="AZ373" s="9"/>
      <c r="BA373" s="2">
        <v>1875</v>
      </c>
      <c r="BB373" s="11"/>
      <c r="BC373" s="11"/>
      <c r="BD373" s="11"/>
      <c r="BE373" s="11"/>
      <c r="BF373" s="11"/>
      <c r="BG373" s="11"/>
      <c r="BH373" s="11"/>
      <c r="BI373" s="11"/>
      <c r="BJ373" s="11" t="s">
        <v>87</v>
      </c>
      <c r="BK373" s="10">
        <v>46303.805902777778</v>
      </c>
      <c r="BL373" s="11"/>
      <c r="BM373" s="11"/>
      <c r="BN373" s="10">
        <v>46303.625</v>
      </c>
      <c r="BO373" s="11"/>
      <c r="BP373" s="11"/>
      <c r="BQ373" s="11"/>
      <c r="BR373" s="11"/>
      <c r="BS373" s="11"/>
      <c r="BT373" s="11"/>
      <c r="BU373" s="11"/>
      <c r="BV373" s="2"/>
      <c r="BW373" s="11"/>
    </row>
    <row r="374" spans="1:75" ht="30" x14ac:dyDescent="0.25">
      <c r="A374" s="2">
        <v>6200372</v>
      </c>
      <c r="B374" s="10">
        <v>46303.805902777778</v>
      </c>
      <c r="C374" s="11" t="s">
        <v>82</v>
      </c>
      <c r="D374" s="11"/>
      <c r="E374" s="11" t="s">
        <v>83</v>
      </c>
      <c r="F374" s="11"/>
      <c r="G374" s="2">
        <v>470123456</v>
      </c>
      <c r="H374" s="3"/>
      <c r="I374" s="11" t="s">
        <v>75</v>
      </c>
      <c r="J374" s="11"/>
      <c r="K374" s="11"/>
      <c r="L374" s="11"/>
      <c r="M374" s="11"/>
      <c r="N374" s="2">
        <v>1.25</v>
      </c>
      <c r="O374" s="2"/>
      <c r="P374" s="2"/>
      <c r="Q374" s="2"/>
      <c r="R374" s="11"/>
      <c r="S374" s="11" t="s">
        <v>464</v>
      </c>
      <c r="T374" s="11" t="s">
        <v>85</v>
      </c>
      <c r="U374" s="11"/>
      <c r="V374" s="11"/>
      <c r="W374" s="11"/>
      <c r="X374" s="11"/>
      <c r="Y374" s="11"/>
      <c r="Z374" s="11"/>
      <c r="AA374" s="11"/>
      <c r="AB374" s="9"/>
      <c r="AC374" s="2"/>
      <c r="AD374" s="9"/>
      <c r="AE374" s="2"/>
      <c r="AF374" s="9"/>
      <c r="AG374" s="10"/>
      <c r="AH374" s="11"/>
      <c r="AI374" s="11" t="s">
        <v>86</v>
      </c>
      <c r="AJ374" s="11"/>
      <c r="AK374" s="2"/>
      <c r="AL374" s="11"/>
      <c r="AM374" s="11"/>
      <c r="AN374" s="11"/>
      <c r="AO374" s="2"/>
      <c r="AP374" s="3"/>
      <c r="AQ374" s="11"/>
      <c r="AR374" s="3"/>
      <c r="AS374" s="2"/>
      <c r="AT374" s="11"/>
      <c r="AU374" s="2"/>
      <c r="AV374" s="2"/>
      <c r="AW374" s="2"/>
      <c r="AX374" s="11"/>
      <c r="AY374" s="11"/>
      <c r="AZ374" s="9"/>
      <c r="BA374" s="2">
        <v>1875</v>
      </c>
      <c r="BB374" s="11"/>
      <c r="BC374" s="11"/>
      <c r="BD374" s="11"/>
      <c r="BE374" s="11"/>
      <c r="BF374" s="11"/>
      <c r="BG374" s="11"/>
      <c r="BH374" s="11"/>
      <c r="BI374" s="11"/>
      <c r="BJ374" s="11" t="s">
        <v>87</v>
      </c>
      <c r="BK374" s="10">
        <v>46303.805902777778</v>
      </c>
      <c r="BL374" s="11"/>
      <c r="BM374" s="11"/>
      <c r="BN374" s="10">
        <v>46303.625</v>
      </c>
      <c r="BO374" s="11"/>
      <c r="BP374" s="11"/>
      <c r="BQ374" s="11"/>
      <c r="BR374" s="11"/>
      <c r="BS374" s="11"/>
      <c r="BT374" s="11"/>
      <c r="BU374" s="11"/>
      <c r="BV374" s="2"/>
      <c r="BW374" s="11"/>
    </row>
    <row r="375" spans="1:75" ht="30" x14ac:dyDescent="0.25">
      <c r="A375" s="2">
        <v>6200373</v>
      </c>
      <c r="B375" s="10">
        <v>46303.805902777778</v>
      </c>
      <c r="C375" s="11" t="s">
        <v>82</v>
      </c>
      <c r="D375" s="11"/>
      <c r="E375" s="11" t="s">
        <v>88</v>
      </c>
      <c r="F375" s="11"/>
      <c r="G375" s="11" t="s">
        <v>94</v>
      </c>
      <c r="H375" s="3"/>
      <c r="I375" s="11" t="s">
        <v>90</v>
      </c>
      <c r="J375" s="11"/>
      <c r="K375" s="11"/>
      <c r="L375" s="11"/>
      <c r="M375" s="11"/>
      <c r="N375" s="2">
        <v>1.25</v>
      </c>
      <c r="O375" s="2"/>
      <c r="P375" s="2"/>
      <c r="Q375" s="2"/>
      <c r="R375" s="11"/>
      <c r="S375" s="11" t="s">
        <v>465</v>
      </c>
      <c r="T375" s="11" t="s">
        <v>85</v>
      </c>
      <c r="U375" s="11"/>
      <c r="V375" s="11"/>
      <c r="W375" s="11"/>
      <c r="X375" s="11"/>
      <c r="Y375" s="11"/>
      <c r="Z375" s="11"/>
      <c r="AA375" s="11"/>
      <c r="AB375" s="9"/>
      <c r="AC375" s="2"/>
      <c r="AD375" s="9"/>
      <c r="AE375" s="2"/>
      <c r="AF375" s="9"/>
      <c r="AG375" s="10"/>
      <c r="AH375" s="11"/>
      <c r="AI375" s="11" t="s">
        <v>86</v>
      </c>
      <c r="AJ375" s="11"/>
      <c r="AK375" s="2"/>
      <c r="AL375" s="11"/>
      <c r="AM375" s="11"/>
      <c r="AN375" s="11"/>
      <c r="AO375" s="2"/>
      <c r="AP375" s="3"/>
      <c r="AQ375" s="11"/>
      <c r="AR375" s="3"/>
      <c r="AS375" s="2"/>
      <c r="AT375" s="11"/>
      <c r="AU375" s="2"/>
      <c r="AV375" s="2"/>
      <c r="AW375" s="2"/>
      <c r="AX375" s="11"/>
      <c r="AY375" s="11"/>
      <c r="AZ375" s="9"/>
      <c r="BA375" s="2">
        <v>1875</v>
      </c>
      <c r="BB375" s="11"/>
      <c r="BC375" s="11"/>
      <c r="BD375" s="11"/>
      <c r="BE375" s="11"/>
      <c r="BF375" s="11"/>
      <c r="BG375" s="11"/>
      <c r="BH375" s="11"/>
      <c r="BI375" s="11"/>
      <c r="BJ375" s="11" t="s">
        <v>87</v>
      </c>
      <c r="BK375" s="10">
        <v>46303.805902777778</v>
      </c>
      <c r="BL375" s="11"/>
      <c r="BM375" s="11"/>
      <c r="BN375" s="10">
        <v>46303.625</v>
      </c>
      <c r="BO375" s="11"/>
      <c r="BP375" s="11"/>
      <c r="BQ375" s="11"/>
      <c r="BR375" s="11"/>
      <c r="BS375" s="11"/>
      <c r="BT375" s="11"/>
      <c r="BU375" s="11"/>
      <c r="BV375" s="2"/>
      <c r="BW375" s="11"/>
    </row>
    <row r="376" spans="1:75" ht="30" x14ac:dyDescent="0.25">
      <c r="A376" s="2">
        <v>6200374</v>
      </c>
      <c r="B376" s="10">
        <v>46303.805902777778</v>
      </c>
      <c r="C376" s="11" t="s">
        <v>82</v>
      </c>
      <c r="D376" s="11"/>
      <c r="E376" s="11" t="s">
        <v>92</v>
      </c>
      <c r="F376" s="11"/>
      <c r="G376" s="11" t="s">
        <v>593</v>
      </c>
      <c r="H376" s="3"/>
      <c r="I376" s="11" t="s">
        <v>75</v>
      </c>
      <c r="J376" s="11"/>
      <c r="K376" s="11"/>
      <c r="L376" s="11"/>
      <c r="M376" s="11"/>
      <c r="N376" s="2">
        <v>1.25</v>
      </c>
      <c r="O376" s="2"/>
      <c r="P376" s="2"/>
      <c r="Q376" s="2"/>
      <c r="R376" s="11"/>
      <c r="S376" s="11" t="s">
        <v>466</v>
      </c>
      <c r="T376" s="11" t="s">
        <v>85</v>
      </c>
      <c r="U376" s="11"/>
      <c r="V376" s="11"/>
      <c r="W376" s="11"/>
      <c r="X376" s="11"/>
      <c r="Y376" s="11"/>
      <c r="Z376" s="11"/>
      <c r="AA376" s="11"/>
      <c r="AB376" s="9"/>
      <c r="AC376" s="2"/>
      <c r="AD376" s="9"/>
      <c r="AE376" s="2"/>
      <c r="AF376" s="9"/>
      <c r="AG376" s="10"/>
      <c r="AH376" s="11"/>
      <c r="AI376" s="11" t="s">
        <v>86</v>
      </c>
      <c r="AJ376" s="11"/>
      <c r="AK376" s="2"/>
      <c r="AL376" s="11"/>
      <c r="AM376" s="11"/>
      <c r="AN376" s="11"/>
      <c r="AO376" s="2"/>
      <c r="AP376" s="3"/>
      <c r="AQ376" s="11"/>
      <c r="AR376" s="3"/>
      <c r="AS376" s="2"/>
      <c r="AT376" s="11"/>
      <c r="AU376" s="2"/>
      <c r="AV376" s="2"/>
      <c r="AW376" s="2"/>
      <c r="AX376" s="11"/>
      <c r="AY376" s="11"/>
      <c r="AZ376" s="9"/>
      <c r="BA376" s="2">
        <v>1875</v>
      </c>
      <c r="BB376" s="11"/>
      <c r="BC376" s="11"/>
      <c r="BD376" s="11"/>
      <c r="BE376" s="11"/>
      <c r="BF376" s="11"/>
      <c r="BG376" s="11"/>
      <c r="BH376" s="11"/>
      <c r="BI376" s="11"/>
      <c r="BJ376" s="11" t="s">
        <v>87</v>
      </c>
      <c r="BK376" s="10">
        <v>46303.805902777778</v>
      </c>
      <c r="BL376" s="11"/>
      <c r="BM376" s="11"/>
      <c r="BN376" s="10">
        <v>46303.625</v>
      </c>
      <c r="BO376" s="11"/>
      <c r="BP376" s="11"/>
      <c r="BQ376" s="11"/>
      <c r="BR376" s="11"/>
      <c r="BS376" s="11"/>
      <c r="BT376" s="11"/>
      <c r="BU376" s="11"/>
      <c r="BV376" s="2"/>
      <c r="BW376" s="11"/>
    </row>
    <row r="377" spans="1:75" ht="30" x14ac:dyDescent="0.25">
      <c r="A377" s="2">
        <v>6200375</v>
      </c>
      <c r="B377" s="10">
        <v>46303.805902777778</v>
      </c>
      <c r="C377" s="11" t="s">
        <v>82</v>
      </c>
      <c r="D377" s="11"/>
      <c r="E377" s="11" t="s">
        <v>83</v>
      </c>
      <c r="F377" s="11"/>
      <c r="G377" s="11" t="s">
        <v>592</v>
      </c>
      <c r="H377" s="3"/>
      <c r="I377" s="11" t="s">
        <v>75</v>
      </c>
      <c r="J377" s="11"/>
      <c r="K377" s="11"/>
      <c r="L377" s="11"/>
      <c r="M377" s="11"/>
      <c r="N377" s="2">
        <v>1.25</v>
      </c>
      <c r="O377" s="2"/>
      <c r="P377" s="2"/>
      <c r="Q377" s="2"/>
      <c r="R377" s="11"/>
      <c r="S377" s="11" t="s">
        <v>467</v>
      </c>
      <c r="T377" s="11" t="s">
        <v>85</v>
      </c>
      <c r="U377" s="11"/>
      <c r="V377" s="11"/>
      <c r="W377" s="11"/>
      <c r="X377" s="11"/>
      <c r="Y377" s="11"/>
      <c r="Z377" s="11"/>
      <c r="AA377" s="11"/>
      <c r="AB377" s="9"/>
      <c r="AC377" s="2"/>
      <c r="AD377" s="9"/>
      <c r="AE377" s="2"/>
      <c r="AF377" s="9"/>
      <c r="AG377" s="10"/>
      <c r="AH377" s="11"/>
      <c r="AI377" s="11" t="s">
        <v>86</v>
      </c>
      <c r="AJ377" s="11"/>
      <c r="AK377" s="2"/>
      <c r="AL377" s="11"/>
      <c r="AM377" s="11"/>
      <c r="AN377" s="11"/>
      <c r="AO377" s="2"/>
      <c r="AP377" s="3"/>
      <c r="AQ377" s="11"/>
      <c r="AR377" s="3"/>
      <c r="AS377" s="2"/>
      <c r="AT377" s="11"/>
      <c r="AU377" s="2"/>
      <c r="AV377" s="2"/>
      <c r="AW377" s="2"/>
      <c r="AX377" s="11"/>
      <c r="AY377" s="11"/>
      <c r="AZ377" s="9"/>
      <c r="BA377" s="2">
        <v>1875</v>
      </c>
      <c r="BB377" s="11"/>
      <c r="BC377" s="11"/>
      <c r="BD377" s="11"/>
      <c r="BE377" s="11"/>
      <c r="BF377" s="11"/>
      <c r="BG377" s="11"/>
      <c r="BH377" s="11"/>
      <c r="BI377" s="11"/>
      <c r="BJ377" s="11" t="s">
        <v>87</v>
      </c>
      <c r="BK377" s="10">
        <v>46303.805902777778</v>
      </c>
      <c r="BL377" s="11"/>
      <c r="BM377" s="11"/>
      <c r="BN377" s="10">
        <v>46303.625</v>
      </c>
      <c r="BO377" s="11"/>
      <c r="BP377" s="11"/>
      <c r="BQ377" s="11"/>
      <c r="BR377" s="11"/>
      <c r="BS377" s="11"/>
      <c r="BT377" s="11"/>
      <c r="BU377" s="11"/>
      <c r="BV377" s="2"/>
      <c r="BW377" s="11"/>
    </row>
    <row r="378" spans="1:75" ht="30" x14ac:dyDescent="0.25">
      <c r="A378" s="2">
        <v>6200376</v>
      </c>
      <c r="B378" s="10">
        <v>46303.805902777778</v>
      </c>
      <c r="C378" s="11" t="s">
        <v>82</v>
      </c>
      <c r="D378" s="11"/>
      <c r="E378" s="11" t="s">
        <v>88</v>
      </c>
      <c r="F378" s="11"/>
      <c r="G378" s="11" t="s">
        <v>89</v>
      </c>
      <c r="H378" s="3"/>
      <c r="I378" s="11" t="s">
        <v>90</v>
      </c>
      <c r="J378" s="11"/>
      <c r="K378" s="11"/>
      <c r="L378" s="11"/>
      <c r="M378" s="11"/>
      <c r="N378" s="2">
        <v>1.25</v>
      </c>
      <c r="O378" s="2"/>
      <c r="P378" s="2"/>
      <c r="Q378" s="2"/>
      <c r="R378" s="11"/>
      <c r="S378" s="11" t="s">
        <v>468</v>
      </c>
      <c r="T378" s="11" t="s">
        <v>85</v>
      </c>
      <c r="U378" s="11"/>
      <c r="V378" s="11"/>
      <c r="W378" s="11"/>
      <c r="X378" s="11"/>
      <c r="Y378" s="11"/>
      <c r="Z378" s="11"/>
      <c r="AA378" s="11"/>
      <c r="AB378" s="9"/>
      <c r="AC378" s="2"/>
      <c r="AD378" s="9"/>
      <c r="AE378" s="2"/>
      <c r="AF378" s="9"/>
      <c r="AG378" s="10"/>
      <c r="AH378" s="11"/>
      <c r="AI378" s="11" t="s">
        <v>86</v>
      </c>
      <c r="AJ378" s="11"/>
      <c r="AK378" s="2"/>
      <c r="AL378" s="11"/>
      <c r="AM378" s="11"/>
      <c r="AN378" s="11"/>
      <c r="AO378" s="2"/>
      <c r="AP378" s="3"/>
      <c r="AQ378" s="11"/>
      <c r="AR378" s="3"/>
      <c r="AS378" s="2"/>
      <c r="AT378" s="11"/>
      <c r="AU378" s="2"/>
      <c r="AV378" s="2"/>
      <c r="AW378" s="2"/>
      <c r="AX378" s="11"/>
      <c r="AY378" s="11"/>
      <c r="AZ378" s="9"/>
      <c r="BA378" s="2">
        <v>1875</v>
      </c>
      <c r="BB378" s="11"/>
      <c r="BC378" s="11"/>
      <c r="BD378" s="11"/>
      <c r="BE378" s="11"/>
      <c r="BF378" s="11"/>
      <c r="BG378" s="11"/>
      <c r="BH378" s="11"/>
      <c r="BI378" s="11"/>
      <c r="BJ378" s="11" t="s">
        <v>87</v>
      </c>
      <c r="BK378" s="10">
        <v>46303.805902777778</v>
      </c>
      <c r="BL378" s="11"/>
      <c r="BM378" s="11"/>
      <c r="BN378" s="10">
        <v>46303.625</v>
      </c>
      <c r="BO378" s="11"/>
      <c r="BP378" s="11"/>
      <c r="BQ378" s="11"/>
      <c r="BR378" s="11"/>
      <c r="BS378" s="11"/>
      <c r="BT378" s="11"/>
      <c r="BU378" s="11"/>
      <c r="BV378" s="2"/>
      <c r="BW378" s="11"/>
    </row>
    <row r="379" spans="1:75" ht="30" x14ac:dyDescent="0.25">
      <c r="A379" s="2">
        <v>6200377</v>
      </c>
      <c r="B379" s="10">
        <v>46303.805902777778</v>
      </c>
      <c r="C379" s="11" t="s">
        <v>82</v>
      </c>
      <c r="D379" s="11"/>
      <c r="E379" s="11" t="s">
        <v>92</v>
      </c>
      <c r="F379" s="11"/>
      <c r="G379" s="2">
        <v>470123456</v>
      </c>
      <c r="H379" s="3"/>
      <c r="I379" s="11" t="s">
        <v>75</v>
      </c>
      <c r="J379" s="11"/>
      <c r="K379" s="11"/>
      <c r="L379" s="11"/>
      <c r="M379" s="11"/>
      <c r="N379" s="2">
        <v>1.25</v>
      </c>
      <c r="O379" s="2"/>
      <c r="P379" s="2"/>
      <c r="Q379" s="2"/>
      <c r="R379" s="11"/>
      <c r="S379" s="11" t="s">
        <v>469</v>
      </c>
      <c r="T379" s="11" t="s">
        <v>85</v>
      </c>
      <c r="U379" s="11"/>
      <c r="V379" s="11"/>
      <c r="W379" s="11"/>
      <c r="X379" s="11"/>
      <c r="Y379" s="11"/>
      <c r="Z379" s="11"/>
      <c r="AA379" s="11"/>
      <c r="AB379" s="9"/>
      <c r="AC379" s="2"/>
      <c r="AD379" s="9"/>
      <c r="AE379" s="2"/>
      <c r="AF379" s="9"/>
      <c r="AG379" s="10"/>
      <c r="AH379" s="11"/>
      <c r="AI379" s="11" t="s">
        <v>86</v>
      </c>
      <c r="AJ379" s="11"/>
      <c r="AK379" s="2"/>
      <c r="AL379" s="11"/>
      <c r="AM379" s="11"/>
      <c r="AN379" s="11"/>
      <c r="AO379" s="2"/>
      <c r="AP379" s="3"/>
      <c r="AQ379" s="11"/>
      <c r="AR379" s="3"/>
      <c r="AS379" s="2"/>
      <c r="AT379" s="11"/>
      <c r="AU379" s="2"/>
      <c r="AV379" s="2"/>
      <c r="AW379" s="2"/>
      <c r="AX379" s="11"/>
      <c r="AY379" s="11"/>
      <c r="AZ379" s="9"/>
      <c r="BA379" s="2">
        <v>1875</v>
      </c>
      <c r="BB379" s="11"/>
      <c r="BC379" s="11"/>
      <c r="BD379" s="11"/>
      <c r="BE379" s="11"/>
      <c r="BF379" s="11"/>
      <c r="BG379" s="11"/>
      <c r="BH379" s="11"/>
      <c r="BI379" s="11"/>
      <c r="BJ379" s="11" t="s">
        <v>87</v>
      </c>
      <c r="BK379" s="10">
        <v>46303.805902777778</v>
      </c>
      <c r="BL379" s="11"/>
      <c r="BM379" s="11"/>
      <c r="BN379" s="10">
        <v>46303.625</v>
      </c>
      <c r="BO379" s="11"/>
      <c r="BP379" s="11"/>
      <c r="BQ379" s="11"/>
      <c r="BR379" s="11"/>
      <c r="BS379" s="11"/>
      <c r="BT379" s="11"/>
      <c r="BU379" s="11"/>
      <c r="BV379" s="2"/>
      <c r="BW379" s="11"/>
    </row>
    <row r="380" spans="1:75" ht="30" x14ac:dyDescent="0.25">
      <c r="A380" s="2">
        <v>6200378</v>
      </c>
      <c r="B380" s="10">
        <v>46303.805902777778</v>
      </c>
      <c r="C380" s="11" t="s">
        <v>82</v>
      </c>
      <c r="D380" s="11"/>
      <c r="E380" s="11" t="s">
        <v>83</v>
      </c>
      <c r="F380" s="11"/>
      <c r="G380" s="11" t="s">
        <v>94</v>
      </c>
      <c r="H380" s="3"/>
      <c r="I380" s="11" t="s">
        <v>90</v>
      </c>
      <c r="J380" s="11"/>
      <c r="K380" s="11"/>
      <c r="L380" s="11"/>
      <c r="M380" s="11"/>
      <c r="N380" s="2">
        <v>1.25</v>
      </c>
      <c r="O380" s="2"/>
      <c r="P380" s="2"/>
      <c r="Q380" s="2"/>
      <c r="R380" s="11"/>
      <c r="S380" s="11" t="s">
        <v>470</v>
      </c>
      <c r="T380" s="11" t="s">
        <v>85</v>
      </c>
      <c r="U380" s="11"/>
      <c r="V380" s="11"/>
      <c r="W380" s="11"/>
      <c r="X380" s="11"/>
      <c r="Y380" s="11"/>
      <c r="Z380" s="11"/>
      <c r="AA380" s="11"/>
      <c r="AB380" s="9"/>
      <c r="AC380" s="2"/>
      <c r="AD380" s="9"/>
      <c r="AE380" s="2"/>
      <c r="AF380" s="9"/>
      <c r="AG380" s="10"/>
      <c r="AH380" s="11"/>
      <c r="AI380" s="11" t="s">
        <v>86</v>
      </c>
      <c r="AJ380" s="11"/>
      <c r="AK380" s="2"/>
      <c r="AL380" s="11"/>
      <c r="AM380" s="11"/>
      <c r="AN380" s="11"/>
      <c r="AO380" s="2"/>
      <c r="AP380" s="3"/>
      <c r="AQ380" s="11"/>
      <c r="AR380" s="3"/>
      <c r="AS380" s="2"/>
      <c r="AT380" s="11"/>
      <c r="AU380" s="2"/>
      <c r="AV380" s="2"/>
      <c r="AW380" s="2"/>
      <c r="AX380" s="11"/>
      <c r="AY380" s="11"/>
      <c r="AZ380" s="9"/>
      <c r="BA380" s="2">
        <v>1875</v>
      </c>
      <c r="BB380" s="11"/>
      <c r="BC380" s="11"/>
      <c r="BD380" s="11"/>
      <c r="BE380" s="11"/>
      <c r="BF380" s="11"/>
      <c r="BG380" s="11"/>
      <c r="BH380" s="11"/>
      <c r="BI380" s="11"/>
      <c r="BJ380" s="11" t="s">
        <v>87</v>
      </c>
      <c r="BK380" s="10">
        <v>46303.805902777778</v>
      </c>
      <c r="BL380" s="11"/>
      <c r="BM380" s="11"/>
      <c r="BN380" s="10">
        <v>46303.625</v>
      </c>
      <c r="BO380" s="11"/>
      <c r="BP380" s="11"/>
      <c r="BQ380" s="11"/>
      <c r="BR380" s="11"/>
      <c r="BS380" s="11"/>
      <c r="BT380" s="11"/>
      <c r="BU380" s="11"/>
      <c r="BV380" s="2"/>
      <c r="BW380" s="11"/>
    </row>
    <row r="381" spans="1:75" ht="30" x14ac:dyDescent="0.25">
      <c r="A381" s="2">
        <v>6200379</v>
      </c>
      <c r="B381" s="10">
        <v>46303.805902777778</v>
      </c>
      <c r="C381" s="11" t="s">
        <v>82</v>
      </c>
      <c r="D381" s="11"/>
      <c r="E381" s="11" t="s">
        <v>88</v>
      </c>
      <c r="F381" s="11"/>
      <c r="G381" s="11" t="s">
        <v>593</v>
      </c>
      <c r="H381" s="3"/>
      <c r="I381" s="11" t="s">
        <v>75</v>
      </c>
      <c r="J381" s="11"/>
      <c r="K381" s="11"/>
      <c r="L381" s="11"/>
      <c r="M381" s="11"/>
      <c r="N381" s="2">
        <v>1.25</v>
      </c>
      <c r="O381" s="2"/>
      <c r="P381" s="2"/>
      <c r="Q381" s="2"/>
      <c r="R381" s="11"/>
      <c r="S381" s="11" t="s">
        <v>471</v>
      </c>
      <c r="T381" s="11" t="s">
        <v>85</v>
      </c>
      <c r="U381" s="11"/>
      <c r="V381" s="11"/>
      <c r="W381" s="11"/>
      <c r="X381" s="11"/>
      <c r="Y381" s="11"/>
      <c r="Z381" s="11"/>
      <c r="AA381" s="11"/>
      <c r="AB381" s="9"/>
      <c r="AC381" s="2"/>
      <c r="AD381" s="9"/>
      <c r="AE381" s="2"/>
      <c r="AF381" s="9"/>
      <c r="AG381" s="10"/>
      <c r="AH381" s="11"/>
      <c r="AI381" s="11" t="s">
        <v>86</v>
      </c>
      <c r="AJ381" s="11"/>
      <c r="AK381" s="2"/>
      <c r="AL381" s="11"/>
      <c r="AM381" s="11"/>
      <c r="AN381" s="11"/>
      <c r="AO381" s="2"/>
      <c r="AP381" s="3"/>
      <c r="AQ381" s="11"/>
      <c r="AR381" s="3"/>
      <c r="AS381" s="2"/>
      <c r="AT381" s="11"/>
      <c r="AU381" s="2"/>
      <c r="AV381" s="2"/>
      <c r="AW381" s="2"/>
      <c r="AX381" s="11"/>
      <c r="AY381" s="11"/>
      <c r="AZ381" s="9"/>
      <c r="BA381" s="2">
        <v>1875</v>
      </c>
      <c r="BB381" s="11"/>
      <c r="BC381" s="11"/>
      <c r="BD381" s="11"/>
      <c r="BE381" s="11"/>
      <c r="BF381" s="11"/>
      <c r="BG381" s="11"/>
      <c r="BH381" s="11"/>
      <c r="BI381" s="11"/>
      <c r="BJ381" s="11" t="s">
        <v>87</v>
      </c>
      <c r="BK381" s="10">
        <v>46303.805902777778</v>
      </c>
      <c r="BL381" s="11"/>
      <c r="BM381" s="11"/>
      <c r="BN381" s="10">
        <v>46303.625</v>
      </c>
      <c r="BO381" s="11"/>
      <c r="BP381" s="11"/>
      <c r="BQ381" s="11"/>
      <c r="BR381" s="11"/>
      <c r="BS381" s="11"/>
      <c r="BT381" s="11"/>
      <c r="BU381" s="11"/>
      <c r="BV381" s="2"/>
      <c r="BW381" s="11"/>
    </row>
    <row r="382" spans="1:75" ht="30" x14ac:dyDescent="0.25">
      <c r="A382" s="2">
        <v>6200380</v>
      </c>
      <c r="B382" s="10">
        <v>46303.805902777778</v>
      </c>
      <c r="C382" s="11" t="s">
        <v>82</v>
      </c>
      <c r="D382" s="11"/>
      <c r="E382" s="11" t="s">
        <v>92</v>
      </c>
      <c r="F382" s="11"/>
      <c r="G382" s="11" t="s">
        <v>592</v>
      </c>
      <c r="H382" s="3"/>
      <c r="I382" s="11" t="s">
        <v>75</v>
      </c>
      <c r="J382" s="11"/>
      <c r="K382" s="11"/>
      <c r="L382" s="11"/>
      <c r="M382" s="11"/>
      <c r="N382" s="2">
        <v>1.25</v>
      </c>
      <c r="O382" s="2"/>
      <c r="P382" s="2"/>
      <c r="Q382" s="2"/>
      <c r="R382" s="11"/>
      <c r="S382" s="11" t="s">
        <v>472</v>
      </c>
      <c r="T382" s="11" t="s">
        <v>85</v>
      </c>
      <c r="U382" s="11"/>
      <c r="V382" s="11"/>
      <c r="W382" s="11"/>
      <c r="X382" s="11"/>
      <c r="Y382" s="11"/>
      <c r="Z382" s="11"/>
      <c r="AA382" s="11"/>
      <c r="AB382" s="9"/>
      <c r="AC382" s="2"/>
      <c r="AD382" s="9"/>
      <c r="AE382" s="2"/>
      <c r="AF382" s="9"/>
      <c r="AG382" s="10"/>
      <c r="AH382" s="11"/>
      <c r="AI382" s="11" t="s">
        <v>86</v>
      </c>
      <c r="AJ382" s="11"/>
      <c r="AK382" s="2"/>
      <c r="AL382" s="11"/>
      <c r="AM382" s="11"/>
      <c r="AN382" s="11"/>
      <c r="AO382" s="2"/>
      <c r="AP382" s="3"/>
      <c r="AQ382" s="11"/>
      <c r="AR382" s="3"/>
      <c r="AS382" s="2"/>
      <c r="AT382" s="11"/>
      <c r="AU382" s="2"/>
      <c r="AV382" s="2"/>
      <c r="AW382" s="2"/>
      <c r="AX382" s="11"/>
      <c r="AY382" s="11"/>
      <c r="AZ382" s="9"/>
      <c r="BA382" s="2">
        <v>1875</v>
      </c>
      <c r="BB382" s="11"/>
      <c r="BC382" s="11"/>
      <c r="BD382" s="11"/>
      <c r="BE382" s="11"/>
      <c r="BF382" s="11"/>
      <c r="BG382" s="11"/>
      <c r="BH382" s="11"/>
      <c r="BI382" s="11"/>
      <c r="BJ382" s="11" t="s">
        <v>87</v>
      </c>
      <c r="BK382" s="10">
        <v>46303.805902777778</v>
      </c>
      <c r="BL382" s="11"/>
      <c r="BM382" s="11"/>
      <c r="BN382" s="10">
        <v>46303.625</v>
      </c>
      <c r="BO382" s="11"/>
      <c r="BP382" s="11"/>
      <c r="BQ382" s="11"/>
      <c r="BR382" s="11"/>
      <c r="BS382" s="11"/>
      <c r="BT382" s="11"/>
      <c r="BU382" s="11"/>
      <c r="BV382" s="2"/>
      <c r="BW382" s="11"/>
    </row>
    <row r="383" spans="1:75" ht="30" x14ac:dyDescent="0.25">
      <c r="A383" s="2">
        <v>6200381</v>
      </c>
      <c r="B383" s="10">
        <v>46303.805902777778</v>
      </c>
      <c r="C383" s="11" t="s">
        <v>82</v>
      </c>
      <c r="D383" s="11"/>
      <c r="E383" s="11" t="s">
        <v>83</v>
      </c>
      <c r="F383" s="11"/>
      <c r="G383" s="11" t="s">
        <v>89</v>
      </c>
      <c r="H383" s="3"/>
      <c r="I383" s="11" t="s">
        <v>90</v>
      </c>
      <c r="J383" s="11"/>
      <c r="K383" s="11"/>
      <c r="L383" s="11"/>
      <c r="M383" s="11"/>
      <c r="N383" s="2">
        <v>1.25</v>
      </c>
      <c r="O383" s="2"/>
      <c r="P383" s="2"/>
      <c r="Q383" s="2"/>
      <c r="R383" s="11"/>
      <c r="S383" s="11" t="s">
        <v>473</v>
      </c>
      <c r="T383" s="11" t="s">
        <v>85</v>
      </c>
      <c r="U383" s="11"/>
      <c r="V383" s="11"/>
      <c r="W383" s="11"/>
      <c r="X383" s="11"/>
      <c r="Y383" s="11"/>
      <c r="Z383" s="11"/>
      <c r="AA383" s="11"/>
      <c r="AB383" s="9"/>
      <c r="AC383" s="2"/>
      <c r="AD383" s="9"/>
      <c r="AE383" s="2"/>
      <c r="AF383" s="9"/>
      <c r="AG383" s="10"/>
      <c r="AH383" s="11"/>
      <c r="AI383" s="11" t="s">
        <v>86</v>
      </c>
      <c r="AJ383" s="11"/>
      <c r="AK383" s="2"/>
      <c r="AL383" s="11"/>
      <c r="AM383" s="11"/>
      <c r="AN383" s="11"/>
      <c r="AO383" s="2"/>
      <c r="AP383" s="3"/>
      <c r="AQ383" s="11"/>
      <c r="AR383" s="3"/>
      <c r="AS383" s="2"/>
      <c r="AT383" s="11"/>
      <c r="AU383" s="2"/>
      <c r="AV383" s="2"/>
      <c r="AW383" s="2"/>
      <c r="AX383" s="11"/>
      <c r="AY383" s="11"/>
      <c r="AZ383" s="9"/>
      <c r="BA383" s="2">
        <v>1875</v>
      </c>
      <c r="BB383" s="11"/>
      <c r="BC383" s="11"/>
      <c r="BD383" s="11"/>
      <c r="BE383" s="11"/>
      <c r="BF383" s="11"/>
      <c r="BG383" s="11"/>
      <c r="BH383" s="11"/>
      <c r="BI383" s="11"/>
      <c r="BJ383" s="11" t="s">
        <v>87</v>
      </c>
      <c r="BK383" s="10">
        <v>46303.805902777778</v>
      </c>
      <c r="BL383" s="11"/>
      <c r="BM383" s="11"/>
      <c r="BN383" s="10">
        <v>46303.625</v>
      </c>
      <c r="BO383" s="11"/>
      <c r="BP383" s="11"/>
      <c r="BQ383" s="11"/>
      <c r="BR383" s="11"/>
      <c r="BS383" s="11"/>
      <c r="BT383" s="11"/>
      <c r="BU383" s="11"/>
      <c r="BV383" s="2"/>
      <c r="BW383" s="11"/>
    </row>
    <row r="384" spans="1:75" ht="30" x14ac:dyDescent="0.25">
      <c r="A384" s="2">
        <v>6200382</v>
      </c>
      <c r="B384" s="10">
        <v>46303.805902777778</v>
      </c>
      <c r="C384" s="11" t="s">
        <v>82</v>
      </c>
      <c r="D384" s="11"/>
      <c r="E384" s="11" t="s">
        <v>88</v>
      </c>
      <c r="F384" s="11"/>
      <c r="G384" s="2">
        <v>470123456</v>
      </c>
      <c r="H384" s="3"/>
      <c r="I384" s="11" t="s">
        <v>75</v>
      </c>
      <c r="J384" s="11"/>
      <c r="K384" s="11"/>
      <c r="L384" s="11"/>
      <c r="M384" s="11"/>
      <c r="N384" s="2">
        <v>1.25</v>
      </c>
      <c r="O384" s="2"/>
      <c r="P384" s="2"/>
      <c r="Q384" s="2"/>
      <c r="R384" s="11"/>
      <c r="S384" s="11" t="s">
        <v>474</v>
      </c>
      <c r="T384" s="11" t="s">
        <v>85</v>
      </c>
      <c r="U384" s="11"/>
      <c r="V384" s="11"/>
      <c r="W384" s="11"/>
      <c r="X384" s="11"/>
      <c r="Y384" s="11"/>
      <c r="Z384" s="11"/>
      <c r="AA384" s="11"/>
      <c r="AB384" s="9"/>
      <c r="AC384" s="2"/>
      <c r="AD384" s="9"/>
      <c r="AE384" s="2"/>
      <c r="AF384" s="9"/>
      <c r="AG384" s="10"/>
      <c r="AH384" s="11"/>
      <c r="AI384" s="11" t="s">
        <v>86</v>
      </c>
      <c r="AJ384" s="11"/>
      <c r="AK384" s="2"/>
      <c r="AL384" s="11"/>
      <c r="AM384" s="11"/>
      <c r="AN384" s="11"/>
      <c r="AO384" s="2"/>
      <c r="AP384" s="3"/>
      <c r="AQ384" s="11"/>
      <c r="AR384" s="3"/>
      <c r="AS384" s="2"/>
      <c r="AT384" s="11"/>
      <c r="AU384" s="2"/>
      <c r="AV384" s="2"/>
      <c r="AW384" s="2"/>
      <c r="AX384" s="11"/>
      <c r="AY384" s="11"/>
      <c r="AZ384" s="9"/>
      <c r="BA384" s="2">
        <v>1875</v>
      </c>
      <c r="BB384" s="11"/>
      <c r="BC384" s="11"/>
      <c r="BD384" s="11"/>
      <c r="BE384" s="11"/>
      <c r="BF384" s="11"/>
      <c r="BG384" s="11"/>
      <c r="BH384" s="11"/>
      <c r="BI384" s="11"/>
      <c r="BJ384" s="11" t="s">
        <v>87</v>
      </c>
      <c r="BK384" s="10">
        <v>46303.805902777778</v>
      </c>
      <c r="BL384" s="11"/>
      <c r="BM384" s="11"/>
      <c r="BN384" s="10">
        <v>46303.625</v>
      </c>
      <c r="BO384" s="11"/>
      <c r="BP384" s="11"/>
      <c r="BQ384" s="11"/>
      <c r="BR384" s="11"/>
      <c r="BS384" s="11"/>
      <c r="BT384" s="11"/>
      <c r="BU384" s="11"/>
      <c r="BV384" s="2"/>
      <c r="BW384" s="11"/>
    </row>
    <row r="385" spans="1:75" ht="30" x14ac:dyDescent="0.25">
      <c r="A385" s="2">
        <v>6200383</v>
      </c>
      <c r="B385" s="10">
        <v>46303.805902777778</v>
      </c>
      <c r="C385" s="11" t="s">
        <v>82</v>
      </c>
      <c r="D385" s="11"/>
      <c r="E385" s="11" t="s">
        <v>92</v>
      </c>
      <c r="F385" s="11"/>
      <c r="G385" s="11" t="s">
        <v>94</v>
      </c>
      <c r="H385" s="3"/>
      <c r="I385" s="11" t="s">
        <v>90</v>
      </c>
      <c r="J385" s="11"/>
      <c r="K385" s="11"/>
      <c r="L385" s="11"/>
      <c r="M385" s="11"/>
      <c r="N385" s="2">
        <v>1.25</v>
      </c>
      <c r="O385" s="2"/>
      <c r="P385" s="2"/>
      <c r="Q385" s="2"/>
      <c r="R385" s="11"/>
      <c r="S385" s="11" t="s">
        <v>475</v>
      </c>
      <c r="T385" s="11" t="s">
        <v>85</v>
      </c>
      <c r="U385" s="11"/>
      <c r="V385" s="11"/>
      <c r="W385" s="11"/>
      <c r="X385" s="11"/>
      <c r="Y385" s="11"/>
      <c r="Z385" s="11"/>
      <c r="AA385" s="11"/>
      <c r="AB385" s="9"/>
      <c r="AC385" s="2"/>
      <c r="AD385" s="9"/>
      <c r="AE385" s="2"/>
      <c r="AF385" s="9"/>
      <c r="AG385" s="10"/>
      <c r="AH385" s="11"/>
      <c r="AI385" s="11" t="s">
        <v>86</v>
      </c>
      <c r="AJ385" s="11"/>
      <c r="AK385" s="2"/>
      <c r="AL385" s="11"/>
      <c r="AM385" s="11"/>
      <c r="AN385" s="11"/>
      <c r="AO385" s="2"/>
      <c r="AP385" s="3"/>
      <c r="AQ385" s="11"/>
      <c r="AR385" s="3"/>
      <c r="AS385" s="2"/>
      <c r="AT385" s="11"/>
      <c r="AU385" s="2"/>
      <c r="AV385" s="2"/>
      <c r="AW385" s="2"/>
      <c r="AX385" s="11"/>
      <c r="AY385" s="11"/>
      <c r="AZ385" s="9"/>
      <c r="BA385" s="2">
        <v>1875</v>
      </c>
      <c r="BB385" s="11"/>
      <c r="BC385" s="11"/>
      <c r="BD385" s="11"/>
      <c r="BE385" s="11"/>
      <c r="BF385" s="11"/>
      <c r="BG385" s="11"/>
      <c r="BH385" s="11"/>
      <c r="BI385" s="11"/>
      <c r="BJ385" s="11" t="s">
        <v>87</v>
      </c>
      <c r="BK385" s="10">
        <v>46303.805902777778</v>
      </c>
      <c r="BL385" s="11"/>
      <c r="BM385" s="11"/>
      <c r="BN385" s="10">
        <v>46303.625</v>
      </c>
      <c r="BO385" s="11"/>
      <c r="BP385" s="11"/>
      <c r="BQ385" s="11"/>
      <c r="BR385" s="11"/>
      <c r="BS385" s="11"/>
      <c r="BT385" s="11"/>
      <c r="BU385" s="11"/>
      <c r="BV385" s="2"/>
      <c r="BW385" s="11"/>
    </row>
    <row r="386" spans="1:75" ht="30" x14ac:dyDescent="0.25">
      <c r="A386" s="2">
        <v>6200384</v>
      </c>
      <c r="B386" s="10">
        <v>46303.805902777778</v>
      </c>
      <c r="C386" s="11" t="s">
        <v>82</v>
      </c>
      <c r="D386" s="11"/>
      <c r="E386" s="11" t="s">
        <v>83</v>
      </c>
      <c r="F386" s="11"/>
      <c r="G386" s="11" t="s">
        <v>593</v>
      </c>
      <c r="H386" s="3"/>
      <c r="I386" s="11" t="s">
        <v>75</v>
      </c>
      <c r="J386" s="11"/>
      <c r="K386" s="11"/>
      <c r="L386" s="11"/>
      <c r="M386" s="11"/>
      <c r="N386" s="2">
        <v>1.25</v>
      </c>
      <c r="O386" s="2"/>
      <c r="P386" s="2"/>
      <c r="Q386" s="2"/>
      <c r="R386" s="11"/>
      <c r="S386" s="11" t="s">
        <v>476</v>
      </c>
      <c r="T386" s="11" t="s">
        <v>85</v>
      </c>
      <c r="U386" s="11"/>
      <c r="V386" s="11"/>
      <c r="W386" s="11"/>
      <c r="X386" s="11"/>
      <c r="Y386" s="11"/>
      <c r="Z386" s="11"/>
      <c r="AA386" s="11"/>
      <c r="AB386" s="9"/>
      <c r="AC386" s="2"/>
      <c r="AD386" s="9"/>
      <c r="AE386" s="2"/>
      <c r="AF386" s="9"/>
      <c r="AG386" s="10"/>
      <c r="AH386" s="11"/>
      <c r="AI386" s="11" t="s">
        <v>86</v>
      </c>
      <c r="AJ386" s="11"/>
      <c r="AK386" s="2"/>
      <c r="AL386" s="11"/>
      <c r="AM386" s="11"/>
      <c r="AN386" s="11"/>
      <c r="AO386" s="2"/>
      <c r="AP386" s="3"/>
      <c r="AQ386" s="11"/>
      <c r="AR386" s="3"/>
      <c r="AS386" s="2"/>
      <c r="AT386" s="11"/>
      <c r="AU386" s="2"/>
      <c r="AV386" s="2"/>
      <c r="AW386" s="2"/>
      <c r="AX386" s="11"/>
      <c r="AY386" s="11"/>
      <c r="AZ386" s="9"/>
      <c r="BA386" s="2">
        <v>1875</v>
      </c>
      <c r="BB386" s="11"/>
      <c r="BC386" s="11"/>
      <c r="BD386" s="11"/>
      <c r="BE386" s="11"/>
      <c r="BF386" s="11"/>
      <c r="BG386" s="11"/>
      <c r="BH386" s="11"/>
      <c r="BI386" s="11"/>
      <c r="BJ386" s="11" t="s">
        <v>87</v>
      </c>
      <c r="BK386" s="10">
        <v>46303.805902777778</v>
      </c>
      <c r="BL386" s="11"/>
      <c r="BM386" s="11"/>
      <c r="BN386" s="10">
        <v>46303.625</v>
      </c>
      <c r="BO386" s="11"/>
      <c r="BP386" s="11"/>
      <c r="BQ386" s="11"/>
      <c r="BR386" s="11"/>
      <c r="BS386" s="11"/>
      <c r="BT386" s="11"/>
      <c r="BU386" s="11"/>
      <c r="BV386" s="2"/>
      <c r="BW386" s="11"/>
    </row>
    <row r="387" spans="1:75" ht="30" x14ac:dyDescent="0.25">
      <c r="A387" s="2">
        <v>6200385</v>
      </c>
      <c r="B387" s="10">
        <v>46303.805902777778</v>
      </c>
      <c r="C387" s="11" t="s">
        <v>82</v>
      </c>
      <c r="D387" s="11"/>
      <c r="E387" s="11" t="s">
        <v>88</v>
      </c>
      <c r="F387" s="11"/>
      <c r="G387" s="11" t="s">
        <v>592</v>
      </c>
      <c r="H387" s="3"/>
      <c r="I387" s="11" t="s">
        <v>75</v>
      </c>
      <c r="J387" s="11"/>
      <c r="K387" s="11"/>
      <c r="L387" s="11"/>
      <c r="M387" s="11"/>
      <c r="N387" s="2">
        <v>1.25</v>
      </c>
      <c r="O387" s="2"/>
      <c r="P387" s="2"/>
      <c r="Q387" s="2"/>
      <c r="R387" s="11"/>
      <c r="S387" s="11" t="s">
        <v>477</v>
      </c>
      <c r="T387" s="11" t="s">
        <v>85</v>
      </c>
      <c r="U387" s="11"/>
      <c r="V387" s="11"/>
      <c r="W387" s="11"/>
      <c r="X387" s="11"/>
      <c r="Y387" s="11"/>
      <c r="Z387" s="11"/>
      <c r="AA387" s="11"/>
      <c r="AB387" s="9"/>
      <c r="AC387" s="2"/>
      <c r="AD387" s="9"/>
      <c r="AE387" s="2"/>
      <c r="AF387" s="9"/>
      <c r="AG387" s="10"/>
      <c r="AH387" s="11"/>
      <c r="AI387" s="11" t="s">
        <v>86</v>
      </c>
      <c r="AJ387" s="11"/>
      <c r="AK387" s="2"/>
      <c r="AL387" s="11"/>
      <c r="AM387" s="11"/>
      <c r="AN387" s="11"/>
      <c r="AO387" s="2"/>
      <c r="AP387" s="3"/>
      <c r="AQ387" s="11"/>
      <c r="AR387" s="3"/>
      <c r="AS387" s="2"/>
      <c r="AT387" s="11"/>
      <c r="AU387" s="2"/>
      <c r="AV387" s="2"/>
      <c r="AW387" s="2"/>
      <c r="AX387" s="11"/>
      <c r="AY387" s="11"/>
      <c r="AZ387" s="9"/>
      <c r="BA387" s="2">
        <v>1875</v>
      </c>
      <c r="BB387" s="11"/>
      <c r="BC387" s="11"/>
      <c r="BD387" s="11"/>
      <c r="BE387" s="11"/>
      <c r="BF387" s="11"/>
      <c r="BG387" s="11"/>
      <c r="BH387" s="11"/>
      <c r="BI387" s="11"/>
      <c r="BJ387" s="11" t="s">
        <v>87</v>
      </c>
      <c r="BK387" s="10">
        <v>46303.805902777778</v>
      </c>
      <c r="BL387" s="11"/>
      <c r="BM387" s="11"/>
      <c r="BN387" s="10">
        <v>46303.625</v>
      </c>
      <c r="BO387" s="11"/>
      <c r="BP387" s="11"/>
      <c r="BQ387" s="11"/>
      <c r="BR387" s="11"/>
      <c r="BS387" s="11"/>
      <c r="BT387" s="11"/>
      <c r="BU387" s="11"/>
      <c r="BV387" s="2"/>
      <c r="BW387" s="11"/>
    </row>
    <row r="388" spans="1:75" ht="30" x14ac:dyDescent="0.25">
      <c r="A388" s="2">
        <v>6200386</v>
      </c>
      <c r="B388" s="10">
        <v>46303.805902777778</v>
      </c>
      <c r="C388" s="11" t="s">
        <v>82</v>
      </c>
      <c r="D388" s="11"/>
      <c r="E388" s="11" t="s">
        <v>92</v>
      </c>
      <c r="F388" s="11"/>
      <c r="G388" s="11" t="s">
        <v>89</v>
      </c>
      <c r="H388" s="3"/>
      <c r="I388" s="11" t="s">
        <v>90</v>
      </c>
      <c r="J388" s="11"/>
      <c r="K388" s="11"/>
      <c r="L388" s="11"/>
      <c r="M388" s="11"/>
      <c r="N388" s="2">
        <v>1.25</v>
      </c>
      <c r="O388" s="2"/>
      <c r="P388" s="2"/>
      <c r="Q388" s="2"/>
      <c r="R388" s="11"/>
      <c r="S388" s="11" t="s">
        <v>478</v>
      </c>
      <c r="T388" s="11" t="s">
        <v>85</v>
      </c>
      <c r="U388" s="11"/>
      <c r="V388" s="11"/>
      <c r="W388" s="11"/>
      <c r="X388" s="11"/>
      <c r="Y388" s="11"/>
      <c r="Z388" s="11"/>
      <c r="AA388" s="11"/>
      <c r="AB388" s="9"/>
      <c r="AC388" s="2"/>
      <c r="AD388" s="9"/>
      <c r="AE388" s="2"/>
      <c r="AF388" s="9"/>
      <c r="AG388" s="10"/>
      <c r="AH388" s="11"/>
      <c r="AI388" s="11" t="s">
        <v>86</v>
      </c>
      <c r="AJ388" s="11"/>
      <c r="AK388" s="2"/>
      <c r="AL388" s="11"/>
      <c r="AM388" s="11"/>
      <c r="AN388" s="11"/>
      <c r="AO388" s="2"/>
      <c r="AP388" s="3"/>
      <c r="AQ388" s="11"/>
      <c r="AR388" s="3"/>
      <c r="AS388" s="2"/>
      <c r="AT388" s="11"/>
      <c r="AU388" s="2"/>
      <c r="AV388" s="2"/>
      <c r="AW388" s="2"/>
      <c r="AX388" s="11"/>
      <c r="AY388" s="11"/>
      <c r="AZ388" s="9"/>
      <c r="BA388" s="2">
        <v>1875</v>
      </c>
      <c r="BB388" s="11"/>
      <c r="BC388" s="11"/>
      <c r="BD388" s="11"/>
      <c r="BE388" s="11"/>
      <c r="BF388" s="11"/>
      <c r="BG388" s="11"/>
      <c r="BH388" s="11"/>
      <c r="BI388" s="11"/>
      <c r="BJ388" s="11" t="s">
        <v>87</v>
      </c>
      <c r="BK388" s="10">
        <v>46303.805902777778</v>
      </c>
      <c r="BL388" s="11"/>
      <c r="BM388" s="11"/>
      <c r="BN388" s="10">
        <v>46303.625</v>
      </c>
      <c r="BO388" s="11"/>
      <c r="BP388" s="11"/>
      <c r="BQ388" s="11"/>
      <c r="BR388" s="11"/>
      <c r="BS388" s="11"/>
      <c r="BT388" s="11"/>
      <c r="BU388" s="11"/>
      <c r="BV388" s="2"/>
      <c r="BW388" s="11"/>
    </row>
    <row r="389" spans="1:75" ht="30" x14ac:dyDescent="0.25">
      <c r="A389" s="2">
        <v>6200387</v>
      </c>
      <c r="B389" s="10">
        <v>46303.805902777778</v>
      </c>
      <c r="C389" s="11" t="s">
        <v>82</v>
      </c>
      <c r="D389" s="11"/>
      <c r="E389" s="11" t="s">
        <v>83</v>
      </c>
      <c r="F389" s="11"/>
      <c r="G389" s="2">
        <v>470123456</v>
      </c>
      <c r="H389" s="3"/>
      <c r="I389" s="11" t="s">
        <v>75</v>
      </c>
      <c r="J389" s="11"/>
      <c r="K389" s="11"/>
      <c r="L389" s="11"/>
      <c r="M389" s="11"/>
      <c r="N389" s="2">
        <v>1.25</v>
      </c>
      <c r="O389" s="2"/>
      <c r="P389" s="2"/>
      <c r="Q389" s="2"/>
      <c r="R389" s="11"/>
      <c r="S389" s="11" t="s">
        <v>479</v>
      </c>
      <c r="T389" s="11" t="s">
        <v>85</v>
      </c>
      <c r="U389" s="11"/>
      <c r="V389" s="11"/>
      <c r="W389" s="11"/>
      <c r="X389" s="11"/>
      <c r="Y389" s="11"/>
      <c r="Z389" s="11"/>
      <c r="AA389" s="11"/>
      <c r="AB389" s="9"/>
      <c r="AC389" s="2"/>
      <c r="AD389" s="9"/>
      <c r="AE389" s="2"/>
      <c r="AF389" s="9"/>
      <c r="AG389" s="10"/>
      <c r="AH389" s="11"/>
      <c r="AI389" s="11" t="s">
        <v>86</v>
      </c>
      <c r="AJ389" s="11"/>
      <c r="AK389" s="2"/>
      <c r="AL389" s="11"/>
      <c r="AM389" s="11"/>
      <c r="AN389" s="11"/>
      <c r="AO389" s="2"/>
      <c r="AP389" s="3"/>
      <c r="AQ389" s="11"/>
      <c r="AR389" s="3"/>
      <c r="AS389" s="2"/>
      <c r="AT389" s="11"/>
      <c r="AU389" s="2"/>
      <c r="AV389" s="2"/>
      <c r="AW389" s="2"/>
      <c r="AX389" s="11"/>
      <c r="AY389" s="11"/>
      <c r="AZ389" s="9"/>
      <c r="BA389" s="2">
        <v>1875</v>
      </c>
      <c r="BB389" s="11"/>
      <c r="BC389" s="11"/>
      <c r="BD389" s="11"/>
      <c r="BE389" s="11"/>
      <c r="BF389" s="11"/>
      <c r="BG389" s="11"/>
      <c r="BH389" s="11"/>
      <c r="BI389" s="11"/>
      <c r="BJ389" s="11" t="s">
        <v>87</v>
      </c>
      <c r="BK389" s="10">
        <v>46303.805902777778</v>
      </c>
      <c r="BL389" s="11"/>
      <c r="BM389" s="11"/>
      <c r="BN389" s="10">
        <v>46303.625</v>
      </c>
      <c r="BO389" s="11"/>
      <c r="BP389" s="11"/>
      <c r="BQ389" s="11"/>
      <c r="BR389" s="11"/>
      <c r="BS389" s="11"/>
      <c r="BT389" s="11"/>
      <c r="BU389" s="11"/>
      <c r="BV389" s="2"/>
      <c r="BW389" s="11"/>
    </row>
    <row r="390" spans="1:75" ht="30" x14ac:dyDescent="0.25">
      <c r="A390" s="2">
        <v>6200388</v>
      </c>
      <c r="B390" s="10">
        <v>46303.805902777778</v>
      </c>
      <c r="C390" s="11" t="s">
        <v>82</v>
      </c>
      <c r="D390" s="11"/>
      <c r="E390" s="11" t="s">
        <v>88</v>
      </c>
      <c r="F390" s="11"/>
      <c r="G390" s="11" t="s">
        <v>94</v>
      </c>
      <c r="H390" s="3"/>
      <c r="I390" s="11" t="s">
        <v>90</v>
      </c>
      <c r="J390" s="11"/>
      <c r="K390" s="11"/>
      <c r="L390" s="11"/>
      <c r="M390" s="11"/>
      <c r="N390" s="2">
        <v>1.25</v>
      </c>
      <c r="O390" s="2"/>
      <c r="P390" s="2"/>
      <c r="Q390" s="2"/>
      <c r="R390" s="11"/>
      <c r="S390" s="11" t="s">
        <v>480</v>
      </c>
      <c r="T390" s="11" t="s">
        <v>85</v>
      </c>
      <c r="U390" s="11"/>
      <c r="V390" s="11"/>
      <c r="W390" s="11"/>
      <c r="X390" s="11"/>
      <c r="Y390" s="11"/>
      <c r="Z390" s="11"/>
      <c r="AA390" s="11"/>
      <c r="AB390" s="9"/>
      <c r="AC390" s="2"/>
      <c r="AD390" s="9"/>
      <c r="AE390" s="2"/>
      <c r="AF390" s="9"/>
      <c r="AG390" s="10"/>
      <c r="AH390" s="11"/>
      <c r="AI390" s="11" t="s">
        <v>86</v>
      </c>
      <c r="AJ390" s="11"/>
      <c r="AK390" s="2"/>
      <c r="AL390" s="11"/>
      <c r="AM390" s="11"/>
      <c r="AN390" s="11"/>
      <c r="AO390" s="2"/>
      <c r="AP390" s="3"/>
      <c r="AQ390" s="11"/>
      <c r="AR390" s="3"/>
      <c r="AS390" s="2"/>
      <c r="AT390" s="11"/>
      <c r="AU390" s="2"/>
      <c r="AV390" s="2"/>
      <c r="AW390" s="2"/>
      <c r="AX390" s="11"/>
      <c r="AY390" s="11"/>
      <c r="AZ390" s="9"/>
      <c r="BA390" s="2">
        <v>1875</v>
      </c>
      <c r="BB390" s="11"/>
      <c r="BC390" s="11"/>
      <c r="BD390" s="11"/>
      <c r="BE390" s="11"/>
      <c r="BF390" s="11"/>
      <c r="BG390" s="11"/>
      <c r="BH390" s="11"/>
      <c r="BI390" s="11"/>
      <c r="BJ390" s="11" t="s">
        <v>87</v>
      </c>
      <c r="BK390" s="10">
        <v>46303.805902777778</v>
      </c>
      <c r="BL390" s="11"/>
      <c r="BM390" s="11"/>
      <c r="BN390" s="10">
        <v>46303.625</v>
      </c>
      <c r="BO390" s="11"/>
      <c r="BP390" s="11"/>
      <c r="BQ390" s="11"/>
      <c r="BR390" s="11"/>
      <c r="BS390" s="11"/>
      <c r="BT390" s="11"/>
      <c r="BU390" s="11"/>
      <c r="BV390" s="2"/>
      <c r="BW390" s="11"/>
    </row>
    <row r="391" spans="1:75" ht="30" x14ac:dyDescent="0.25">
      <c r="A391" s="2">
        <v>6200389</v>
      </c>
      <c r="B391" s="10">
        <v>46303.805902777778</v>
      </c>
      <c r="C391" s="11" t="s">
        <v>82</v>
      </c>
      <c r="D391" s="11"/>
      <c r="E391" s="11" t="s">
        <v>92</v>
      </c>
      <c r="F391" s="11"/>
      <c r="G391" s="11" t="s">
        <v>593</v>
      </c>
      <c r="H391" s="3"/>
      <c r="I391" s="11" t="s">
        <v>75</v>
      </c>
      <c r="J391" s="11"/>
      <c r="K391" s="11"/>
      <c r="L391" s="11"/>
      <c r="M391" s="11"/>
      <c r="N391" s="2">
        <v>1.25</v>
      </c>
      <c r="O391" s="2"/>
      <c r="P391" s="2"/>
      <c r="Q391" s="2"/>
      <c r="R391" s="11"/>
      <c r="S391" s="11" t="s">
        <v>481</v>
      </c>
      <c r="T391" s="11" t="s">
        <v>85</v>
      </c>
      <c r="U391" s="11"/>
      <c r="V391" s="11"/>
      <c r="W391" s="11"/>
      <c r="X391" s="11"/>
      <c r="Y391" s="11"/>
      <c r="Z391" s="11"/>
      <c r="AA391" s="11"/>
      <c r="AB391" s="9"/>
      <c r="AC391" s="2"/>
      <c r="AD391" s="9"/>
      <c r="AE391" s="2"/>
      <c r="AF391" s="9"/>
      <c r="AG391" s="10"/>
      <c r="AH391" s="11"/>
      <c r="AI391" s="11" t="s">
        <v>86</v>
      </c>
      <c r="AJ391" s="11"/>
      <c r="AK391" s="2"/>
      <c r="AL391" s="11"/>
      <c r="AM391" s="11"/>
      <c r="AN391" s="11"/>
      <c r="AO391" s="2"/>
      <c r="AP391" s="3"/>
      <c r="AQ391" s="11"/>
      <c r="AR391" s="3"/>
      <c r="AS391" s="2"/>
      <c r="AT391" s="11"/>
      <c r="AU391" s="2"/>
      <c r="AV391" s="2"/>
      <c r="AW391" s="2"/>
      <c r="AX391" s="11"/>
      <c r="AY391" s="11"/>
      <c r="AZ391" s="9"/>
      <c r="BA391" s="2">
        <v>1875</v>
      </c>
      <c r="BB391" s="11"/>
      <c r="BC391" s="11"/>
      <c r="BD391" s="11"/>
      <c r="BE391" s="11"/>
      <c r="BF391" s="11"/>
      <c r="BG391" s="11"/>
      <c r="BH391" s="11"/>
      <c r="BI391" s="11"/>
      <c r="BJ391" s="11" t="s">
        <v>87</v>
      </c>
      <c r="BK391" s="10">
        <v>46303.805902777778</v>
      </c>
      <c r="BL391" s="11"/>
      <c r="BM391" s="11"/>
      <c r="BN391" s="10">
        <v>46303.625</v>
      </c>
      <c r="BO391" s="11"/>
      <c r="BP391" s="11"/>
      <c r="BQ391" s="11"/>
      <c r="BR391" s="11"/>
      <c r="BS391" s="11"/>
      <c r="BT391" s="11"/>
      <c r="BU391" s="11"/>
      <c r="BV391" s="2"/>
      <c r="BW391" s="11"/>
    </row>
    <row r="392" spans="1:75" ht="30" x14ac:dyDescent="0.25">
      <c r="A392" s="2">
        <v>6200390</v>
      </c>
      <c r="B392" s="10">
        <v>46303.805902777778</v>
      </c>
      <c r="C392" s="11" t="s">
        <v>82</v>
      </c>
      <c r="D392" s="11"/>
      <c r="E392" s="11" t="s">
        <v>83</v>
      </c>
      <c r="F392" s="11"/>
      <c r="G392" s="11" t="s">
        <v>592</v>
      </c>
      <c r="H392" s="3"/>
      <c r="I392" s="11" t="s">
        <v>75</v>
      </c>
      <c r="J392" s="11"/>
      <c r="K392" s="11"/>
      <c r="L392" s="11"/>
      <c r="M392" s="11"/>
      <c r="N392" s="2">
        <v>1.25</v>
      </c>
      <c r="O392" s="2"/>
      <c r="P392" s="2"/>
      <c r="Q392" s="2"/>
      <c r="R392" s="11"/>
      <c r="S392" s="11" t="s">
        <v>482</v>
      </c>
      <c r="T392" s="11" t="s">
        <v>85</v>
      </c>
      <c r="U392" s="11"/>
      <c r="V392" s="11"/>
      <c r="W392" s="11"/>
      <c r="X392" s="11"/>
      <c r="Y392" s="11"/>
      <c r="Z392" s="11"/>
      <c r="AA392" s="11"/>
      <c r="AB392" s="9"/>
      <c r="AC392" s="2"/>
      <c r="AD392" s="9"/>
      <c r="AE392" s="2"/>
      <c r="AF392" s="9"/>
      <c r="AG392" s="10"/>
      <c r="AH392" s="11"/>
      <c r="AI392" s="11" t="s">
        <v>86</v>
      </c>
      <c r="AJ392" s="11"/>
      <c r="AK392" s="2"/>
      <c r="AL392" s="11"/>
      <c r="AM392" s="11"/>
      <c r="AN392" s="11"/>
      <c r="AO392" s="2"/>
      <c r="AP392" s="3"/>
      <c r="AQ392" s="11"/>
      <c r="AR392" s="3"/>
      <c r="AS392" s="2"/>
      <c r="AT392" s="11"/>
      <c r="AU392" s="2"/>
      <c r="AV392" s="2"/>
      <c r="AW392" s="2"/>
      <c r="AX392" s="11"/>
      <c r="AY392" s="11"/>
      <c r="AZ392" s="9"/>
      <c r="BA392" s="2">
        <v>1875</v>
      </c>
      <c r="BB392" s="11"/>
      <c r="BC392" s="11"/>
      <c r="BD392" s="11"/>
      <c r="BE392" s="11"/>
      <c r="BF392" s="11"/>
      <c r="BG392" s="11"/>
      <c r="BH392" s="11"/>
      <c r="BI392" s="11"/>
      <c r="BJ392" s="11" t="s">
        <v>87</v>
      </c>
      <c r="BK392" s="10">
        <v>46303.805902777778</v>
      </c>
      <c r="BL392" s="11"/>
      <c r="BM392" s="11"/>
      <c r="BN392" s="10">
        <v>46303.625</v>
      </c>
      <c r="BO392" s="11"/>
      <c r="BP392" s="11"/>
      <c r="BQ392" s="11"/>
      <c r="BR392" s="11"/>
      <c r="BS392" s="11"/>
      <c r="BT392" s="11"/>
      <c r="BU392" s="11"/>
      <c r="BV392" s="2"/>
      <c r="BW392" s="11"/>
    </row>
    <row r="393" spans="1:75" ht="30" x14ac:dyDescent="0.25">
      <c r="A393" s="2">
        <v>6200391</v>
      </c>
      <c r="B393" s="10">
        <v>46303.805902777778</v>
      </c>
      <c r="C393" s="11" t="s">
        <v>82</v>
      </c>
      <c r="D393" s="11"/>
      <c r="E393" s="11" t="s">
        <v>88</v>
      </c>
      <c r="F393" s="11"/>
      <c r="G393" s="11" t="s">
        <v>89</v>
      </c>
      <c r="H393" s="3"/>
      <c r="I393" s="11" t="s">
        <v>90</v>
      </c>
      <c r="J393" s="11"/>
      <c r="K393" s="11"/>
      <c r="L393" s="11"/>
      <c r="M393" s="11"/>
      <c r="N393" s="2">
        <v>1.25</v>
      </c>
      <c r="O393" s="2"/>
      <c r="P393" s="2"/>
      <c r="Q393" s="2"/>
      <c r="R393" s="11"/>
      <c r="S393" s="11" t="s">
        <v>483</v>
      </c>
      <c r="T393" s="11" t="s">
        <v>85</v>
      </c>
      <c r="U393" s="11"/>
      <c r="V393" s="11"/>
      <c r="W393" s="11"/>
      <c r="X393" s="11"/>
      <c r="Y393" s="11"/>
      <c r="Z393" s="11"/>
      <c r="AA393" s="11"/>
      <c r="AB393" s="9"/>
      <c r="AC393" s="2"/>
      <c r="AD393" s="9"/>
      <c r="AE393" s="2"/>
      <c r="AF393" s="9"/>
      <c r="AG393" s="10"/>
      <c r="AH393" s="11"/>
      <c r="AI393" s="11" t="s">
        <v>86</v>
      </c>
      <c r="AJ393" s="11"/>
      <c r="AK393" s="2"/>
      <c r="AL393" s="11"/>
      <c r="AM393" s="11"/>
      <c r="AN393" s="11"/>
      <c r="AO393" s="2"/>
      <c r="AP393" s="3"/>
      <c r="AQ393" s="11"/>
      <c r="AR393" s="3"/>
      <c r="AS393" s="2"/>
      <c r="AT393" s="11"/>
      <c r="AU393" s="2"/>
      <c r="AV393" s="2"/>
      <c r="AW393" s="2"/>
      <c r="AX393" s="11"/>
      <c r="AY393" s="11"/>
      <c r="AZ393" s="9"/>
      <c r="BA393" s="2">
        <v>1875</v>
      </c>
      <c r="BB393" s="11"/>
      <c r="BC393" s="11"/>
      <c r="BD393" s="11"/>
      <c r="BE393" s="11"/>
      <c r="BF393" s="11"/>
      <c r="BG393" s="11"/>
      <c r="BH393" s="11"/>
      <c r="BI393" s="11"/>
      <c r="BJ393" s="11" t="s">
        <v>87</v>
      </c>
      <c r="BK393" s="10">
        <v>46303.805902777778</v>
      </c>
      <c r="BL393" s="11"/>
      <c r="BM393" s="11"/>
      <c r="BN393" s="10">
        <v>46303.625</v>
      </c>
      <c r="BO393" s="11"/>
      <c r="BP393" s="11"/>
      <c r="BQ393" s="11"/>
      <c r="BR393" s="11"/>
      <c r="BS393" s="11"/>
      <c r="BT393" s="11"/>
      <c r="BU393" s="11"/>
      <c r="BV393" s="2"/>
      <c r="BW393" s="11"/>
    </row>
    <row r="394" spans="1:75" ht="30" x14ac:dyDescent="0.25">
      <c r="A394" s="2">
        <v>6200392</v>
      </c>
      <c r="B394" s="10">
        <v>46303.805902777778</v>
      </c>
      <c r="C394" s="11" t="s">
        <v>82</v>
      </c>
      <c r="D394" s="11"/>
      <c r="E394" s="11" t="s">
        <v>92</v>
      </c>
      <c r="F394" s="11"/>
      <c r="G394" s="2">
        <v>470123456</v>
      </c>
      <c r="H394" s="3"/>
      <c r="I394" s="11" t="s">
        <v>75</v>
      </c>
      <c r="J394" s="11"/>
      <c r="K394" s="11"/>
      <c r="L394" s="11"/>
      <c r="M394" s="11"/>
      <c r="N394" s="2">
        <v>1.25</v>
      </c>
      <c r="O394" s="2"/>
      <c r="P394" s="2"/>
      <c r="Q394" s="2"/>
      <c r="R394" s="11"/>
      <c r="S394" s="11" t="s">
        <v>484</v>
      </c>
      <c r="T394" s="11" t="s">
        <v>85</v>
      </c>
      <c r="U394" s="11"/>
      <c r="V394" s="11"/>
      <c r="W394" s="11"/>
      <c r="X394" s="11"/>
      <c r="Y394" s="11"/>
      <c r="Z394" s="11"/>
      <c r="AA394" s="11"/>
      <c r="AB394" s="9"/>
      <c r="AC394" s="2"/>
      <c r="AD394" s="9"/>
      <c r="AE394" s="2"/>
      <c r="AF394" s="9"/>
      <c r="AG394" s="10"/>
      <c r="AH394" s="11"/>
      <c r="AI394" s="11" t="s">
        <v>86</v>
      </c>
      <c r="AJ394" s="11"/>
      <c r="AK394" s="2"/>
      <c r="AL394" s="11"/>
      <c r="AM394" s="11"/>
      <c r="AN394" s="11"/>
      <c r="AO394" s="2"/>
      <c r="AP394" s="3"/>
      <c r="AQ394" s="11"/>
      <c r="AR394" s="3"/>
      <c r="AS394" s="2"/>
      <c r="AT394" s="11"/>
      <c r="AU394" s="2"/>
      <c r="AV394" s="2"/>
      <c r="AW394" s="2"/>
      <c r="AX394" s="11"/>
      <c r="AY394" s="11"/>
      <c r="AZ394" s="9"/>
      <c r="BA394" s="2">
        <v>1875</v>
      </c>
      <c r="BB394" s="11"/>
      <c r="BC394" s="11"/>
      <c r="BD394" s="11"/>
      <c r="BE394" s="11"/>
      <c r="BF394" s="11"/>
      <c r="BG394" s="11"/>
      <c r="BH394" s="11"/>
      <c r="BI394" s="11"/>
      <c r="BJ394" s="11" t="s">
        <v>87</v>
      </c>
      <c r="BK394" s="10">
        <v>46303.805902777778</v>
      </c>
      <c r="BL394" s="11"/>
      <c r="BM394" s="11"/>
      <c r="BN394" s="10">
        <v>46303.625</v>
      </c>
      <c r="BO394" s="11"/>
      <c r="BP394" s="11"/>
      <c r="BQ394" s="11"/>
      <c r="BR394" s="11"/>
      <c r="BS394" s="11"/>
      <c r="BT394" s="11"/>
      <c r="BU394" s="11"/>
      <c r="BV394" s="2"/>
      <c r="BW394" s="11"/>
    </row>
    <row r="395" spans="1:75" ht="30" x14ac:dyDescent="0.25">
      <c r="A395" s="2">
        <v>6200393</v>
      </c>
      <c r="B395" s="10">
        <v>46303.805902777778</v>
      </c>
      <c r="C395" s="11" t="s">
        <v>82</v>
      </c>
      <c r="D395" s="11"/>
      <c r="E395" s="11" t="s">
        <v>83</v>
      </c>
      <c r="F395" s="11"/>
      <c r="G395" s="11" t="s">
        <v>94</v>
      </c>
      <c r="H395" s="3"/>
      <c r="I395" s="11" t="s">
        <v>90</v>
      </c>
      <c r="J395" s="11"/>
      <c r="K395" s="11"/>
      <c r="L395" s="11"/>
      <c r="M395" s="11"/>
      <c r="N395" s="2">
        <v>1.25</v>
      </c>
      <c r="O395" s="2"/>
      <c r="P395" s="2"/>
      <c r="Q395" s="2"/>
      <c r="R395" s="11"/>
      <c r="S395" s="11" t="s">
        <v>485</v>
      </c>
      <c r="T395" s="11" t="s">
        <v>85</v>
      </c>
      <c r="U395" s="11"/>
      <c r="V395" s="11"/>
      <c r="W395" s="11"/>
      <c r="X395" s="11"/>
      <c r="Y395" s="11"/>
      <c r="Z395" s="11"/>
      <c r="AA395" s="11"/>
      <c r="AB395" s="9"/>
      <c r="AC395" s="2"/>
      <c r="AD395" s="9"/>
      <c r="AE395" s="2"/>
      <c r="AF395" s="9"/>
      <c r="AG395" s="10"/>
      <c r="AH395" s="11"/>
      <c r="AI395" s="11" t="s">
        <v>86</v>
      </c>
      <c r="AJ395" s="11"/>
      <c r="AK395" s="2"/>
      <c r="AL395" s="11"/>
      <c r="AM395" s="11"/>
      <c r="AN395" s="11"/>
      <c r="AO395" s="2"/>
      <c r="AP395" s="3"/>
      <c r="AQ395" s="11"/>
      <c r="AR395" s="3"/>
      <c r="AS395" s="2"/>
      <c r="AT395" s="11"/>
      <c r="AU395" s="2"/>
      <c r="AV395" s="2"/>
      <c r="AW395" s="2"/>
      <c r="AX395" s="11"/>
      <c r="AY395" s="11"/>
      <c r="AZ395" s="9"/>
      <c r="BA395" s="2">
        <v>1875</v>
      </c>
      <c r="BB395" s="11"/>
      <c r="BC395" s="11"/>
      <c r="BD395" s="11"/>
      <c r="BE395" s="11"/>
      <c r="BF395" s="11"/>
      <c r="BG395" s="11"/>
      <c r="BH395" s="11"/>
      <c r="BI395" s="11"/>
      <c r="BJ395" s="11" t="s">
        <v>87</v>
      </c>
      <c r="BK395" s="10">
        <v>46303.805902777778</v>
      </c>
      <c r="BL395" s="11"/>
      <c r="BM395" s="11"/>
      <c r="BN395" s="10">
        <v>46303.625</v>
      </c>
      <c r="BO395" s="11"/>
      <c r="BP395" s="11"/>
      <c r="BQ395" s="11"/>
      <c r="BR395" s="11"/>
      <c r="BS395" s="11"/>
      <c r="BT395" s="11"/>
      <c r="BU395" s="11"/>
      <c r="BV395" s="2"/>
      <c r="BW395" s="11"/>
    </row>
    <row r="396" spans="1:75" ht="30" x14ac:dyDescent="0.25">
      <c r="A396" s="2">
        <v>6200394</v>
      </c>
      <c r="B396" s="10">
        <v>46303.805902777778</v>
      </c>
      <c r="C396" s="11" t="s">
        <v>82</v>
      </c>
      <c r="D396" s="11"/>
      <c r="E396" s="11" t="s">
        <v>88</v>
      </c>
      <c r="F396" s="11"/>
      <c r="G396" s="11" t="s">
        <v>593</v>
      </c>
      <c r="H396" s="3"/>
      <c r="I396" s="11" t="s">
        <v>75</v>
      </c>
      <c r="J396" s="11"/>
      <c r="K396" s="11"/>
      <c r="L396" s="11"/>
      <c r="M396" s="11"/>
      <c r="N396" s="2">
        <v>1.25</v>
      </c>
      <c r="O396" s="2"/>
      <c r="P396" s="2"/>
      <c r="Q396" s="2"/>
      <c r="R396" s="11"/>
      <c r="S396" s="11" t="s">
        <v>486</v>
      </c>
      <c r="T396" s="11" t="s">
        <v>85</v>
      </c>
      <c r="U396" s="11"/>
      <c r="V396" s="11"/>
      <c r="W396" s="11"/>
      <c r="X396" s="11"/>
      <c r="Y396" s="11"/>
      <c r="Z396" s="11"/>
      <c r="AA396" s="11"/>
      <c r="AB396" s="9"/>
      <c r="AC396" s="2"/>
      <c r="AD396" s="9"/>
      <c r="AE396" s="2"/>
      <c r="AF396" s="9"/>
      <c r="AG396" s="10"/>
      <c r="AH396" s="11"/>
      <c r="AI396" s="11" t="s">
        <v>86</v>
      </c>
      <c r="AJ396" s="11"/>
      <c r="AK396" s="2"/>
      <c r="AL396" s="11"/>
      <c r="AM396" s="11"/>
      <c r="AN396" s="11"/>
      <c r="AO396" s="2"/>
      <c r="AP396" s="3"/>
      <c r="AQ396" s="11"/>
      <c r="AR396" s="3"/>
      <c r="AS396" s="2"/>
      <c r="AT396" s="11"/>
      <c r="AU396" s="2"/>
      <c r="AV396" s="2"/>
      <c r="AW396" s="2"/>
      <c r="AX396" s="11"/>
      <c r="AY396" s="11"/>
      <c r="AZ396" s="9"/>
      <c r="BA396" s="2">
        <v>1875</v>
      </c>
      <c r="BB396" s="11"/>
      <c r="BC396" s="11"/>
      <c r="BD396" s="11"/>
      <c r="BE396" s="11"/>
      <c r="BF396" s="11"/>
      <c r="BG396" s="11"/>
      <c r="BH396" s="11"/>
      <c r="BI396" s="11"/>
      <c r="BJ396" s="11" t="s">
        <v>87</v>
      </c>
      <c r="BK396" s="10">
        <v>46303.805902777778</v>
      </c>
      <c r="BL396" s="11"/>
      <c r="BM396" s="11"/>
      <c r="BN396" s="10">
        <v>46303.625</v>
      </c>
      <c r="BO396" s="11"/>
      <c r="BP396" s="11"/>
      <c r="BQ396" s="11"/>
      <c r="BR396" s="11"/>
      <c r="BS396" s="11"/>
      <c r="BT396" s="11"/>
      <c r="BU396" s="11"/>
      <c r="BV396" s="2"/>
      <c r="BW396" s="11"/>
    </row>
    <row r="397" spans="1:75" ht="30" x14ac:dyDescent="0.25">
      <c r="A397" s="2">
        <v>6200395</v>
      </c>
      <c r="B397" s="10">
        <v>46303.805902777778</v>
      </c>
      <c r="C397" s="11" t="s">
        <v>82</v>
      </c>
      <c r="D397" s="11"/>
      <c r="E397" s="11" t="s">
        <v>92</v>
      </c>
      <c r="F397" s="11"/>
      <c r="G397" s="11" t="s">
        <v>592</v>
      </c>
      <c r="H397" s="3"/>
      <c r="I397" s="11" t="s">
        <v>75</v>
      </c>
      <c r="J397" s="11"/>
      <c r="K397" s="11"/>
      <c r="L397" s="11"/>
      <c r="M397" s="11"/>
      <c r="N397" s="2">
        <v>1.25</v>
      </c>
      <c r="O397" s="2"/>
      <c r="P397" s="2"/>
      <c r="Q397" s="2"/>
      <c r="R397" s="11"/>
      <c r="S397" s="11" t="s">
        <v>487</v>
      </c>
      <c r="T397" s="11" t="s">
        <v>85</v>
      </c>
      <c r="U397" s="11"/>
      <c r="V397" s="11"/>
      <c r="W397" s="11"/>
      <c r="X397" s="11"/>
      <c r="Y397" s="11"/>
      <c r="Z397" s="11"/>
      <c r="AA397" s="11"/>
      <c r="AB397" s="9"/>
      <c r="AC397" s="2"/>
      <c r="AD397" s="9"/>
      <c r="AE397" s="2"/>
      <c r="AF397" s="9"/>
      <c r="AG397" s="10"/>
      <c r="AH397" s="11"/>
      <c r="AI397" s="11" t="s">
        <v>86</v>
      </c>
      <c r="AJ397" s="11"/>
      <c r="AK397" s="2"/>
      <c r="AL397" s="11"/>
      <c r="AM397" s="11"/>
      <c r="AN397" s="11"/>
      <c r="AO397" s="2"/>
      <c r="AP397" s="3"/>
      <c r="AQ397" s="11"/>
      <c r="AR397" s="3"/>
      <c r="AS397" s="2"/>
      <c r="AT397" s="11"/>
      <c r="AU397" s="2"/>
      <c r="AV397" s="2"/>
      <c r="AW397" s="2"/>
      <c r="AX397" s="11"/>
      <c r="AY397" s="11"/>
      <c r="AZ397" s="9"/>
      <c r="BA397" s="2">
        <v>1875</v>
      </c>
      <c r="BB397" s="11"/>
      <c r="BC397" s="11"/>
      <c r="BD397" s="11"/>
      <c r="BE397" s="11"/>
      <c r="BF397" s="11"/>
      <c r="BG397" s="11"/>
      <c r="BH397" s="11"/>
      <c r="BI397" s="11"/>
      <c r="BJ397" s="11" t="s">
        <v>87</v>
      </c>
      <c r="BK397" s="10">
        <v>46303.805902777778</v>
      </c>
      <c r="BL397" s="11"/>
      <c r="BM397" s="11"/>
      <c r="BN397" s="10">
        <v>46303.625</v>
      </c>
      <c r="BO397" s="11"/>
      <c r="BP397" s="11"/>
      <c r="BQ397" s="11"/>
      <c r="BR397" s="11"/>
      <c r="BS397" s="11"/>
      <c r="BT397" s="11"/>
      <c r="BU397" s="11"/>
      <c r="BV397" s="2"/>
      <c r="BW397" s="11"/>
    </row>
    <row r="398" spans="1:75" ht="30" x14ac:dyDescent="0.25">
      <c r="A398" s="2">
        <v>6200396</v>
      </c>
      <c r="B398" s="10">
        <v>46303.805902777778</v>
      </c>
      <c r="C398" s="11" t="s">
        <v>82</v>
      </c>
      <c r="D398" s="11"/>
      <c r="E398" s="11" t="s">
        <v>83</v>
      </c>
      <c r="F398" s="11"/>
      <c r="G398" s="11" t="s">
        <v>89</v>
      </c>
      <c r="H398" s="3"/>
      <c r="I398" s="11" t="s">
        <v>90</v>
      </c>
      <c r="J398" s="11"/>
      <c r="K398" s="11"/>
      <c r="L398" s="11"/>
      <c r="M398" s="11"/>
      <c r="N398" s="2">
        <v>1.25</v>
      </c>
      <c r="O398" s="2"/>
      <c r="P398" s="2"/>
      <c r="Q398" s="2"/>
      <c r="R398" s="11"/>
      <c r="S398" s="11" t="s">
        <v>488</v>
      </c>
      <c r="T398" s="11" t="s">
        <v>85</v>
      </c>
      <c r="U398" s="11"/>
      <c r="V398" s="11"/>
      <c r="W398" s="11"/>
      <c r="X398" s="11"/>
      <c r="Y398" s="11"/>
      <c r="Z398" s="11"/>
      <c r="AA398" s="11"/>
      <c r="AB398" s="9"/>
      <c r="AC398" s="2"/>
      <c r="AD398" s="9"/>
      <c r="AE398" s="2"/>
      <c r="AF398" s="9"/>
      <c r="AG398" s="10"/>
      <c r="AH398" s="11"/>
      <c r="AI398" s="11" t="s">
        <v>86</v>
      </c>
      <c r="AJ398" s="11"/>
      <c r="AK398" s="2"/>
      <c r="AL398" s="11"/>
      <c r="AM398" s="11"/>
      <c r="AN398" s="11"/>
      <c r="AO398" s="2"/>
      <c r="AP398" s="3"/>
      <c r="AQ398" s="11"/>
      <c r="AR398" s="3"/>
      <c r="AS398" s="2"/>
      <c r="AT398" s="11"/>
      <c r="AU398" s="2"/>
      <c r="AV398" s="2"/>
      <c r="AW398" s="2"/>
      <c r="AX398" s="11"/>
      <c r="AY398" s="11"/>
      <c r="AZ398" s="9"/>
      <c r="BA398" s="2">
        <v>1875</v>
      </c>
      <c r="BB398" s="11"/>
      <c r="BC398" s="11"/>
      <c r="BD398" s="11"/>
      <c r="BE398" s="11"/>
      <c r="BF398" s="11"/>
      <c r="BG398" s="11"/>
      <c r="BH398" s="11"/>
      <c r="BI398" s="11"/>
      <c r="BJ398" s="11" t="s">
        <v>87</v>
      </c>
      <c r="BK398" s="10">
        <v>46303.805902777778</v>
      </c>
      <c r="BL398" s="11"/>
      <c r="BM398" s="11"/>
      <c r="BN398" s="10">
        <v>46303.625</v>
      </c>
      <c r="BO398" s="11"/>
      <c r="BP398" s="11"/>
      <c r="BQ398" s="11"/>
      <c r="BR398" s="11"/>
      <c r="BS398" s="11"/>
      <c r="BT398" s="11"/>
      <c r="BU398" s="11"/>
      <c r="BV398" s="2"/>
      <c r="BW398" s="11"/>
    </row>
    <row r="399" spans="1:75" ht="30" x14ac:dyDescent="0.25">
      <c r="A399" s="2">
        <v>6200397</v>
      </c>
      <c r="B399" s="10">
        <v>46303.805902777778</v>
      </c>
      <c r="C399" s="11" t="s">
        <v>82</v>
      </c>
      <c r="D399" s="11"/>
      <c r="E399" s="11" t="s">
        <v>88</v>
      </c>
      <c r="F399" s="11"/>
      <c r="G399" s="2">
        <v>470123456</v>
      </c>
      <c r="H399" s="3"/>
      <c r="I399" s="11" t="s">
        <v>75</v>
      </c>
      <c r="J399" s="11"/>
      <c r="K399" s="11"/>
      <c r="L399" s="11"/>
      <c r="M399" s="11"/>
      <c r="N399" s="2">
        <v>1.25</v>
      </c>
      <c r="O399" s="2"/>
      <c r="P399" s="2"/>
      <c r="Q399" s="2"/>
      <c r="R399" s="11"/>
      <c r="S399" s="11" t="s">
        <v>489</v>
      </c>
      <c r="T399" s="11" t="s">
        <v>85</v>
      </c>
      <c r="U399" s="11"/>
      <c r="V399" s="11"/>
      <c r="W399" s="11"/>
      <c r="X399" s="11"/>
      <c r="Y399" s="11"/>
      <c r="Z399" s="11"/>
      <c r="AA399" s="11"/>
      <c r="AB399" s="9"/>
      <c r="AC399" s="2"/>
      <c r="AD399" s="9"/>
      <c r="AE399" s="2"/>
      <c r="AF399" s="9"/>
      <c r="AG399" s="10"/>
      <c r="AH399" s="11"/>
      <c r="AI399" s="11" t="s">
        <v>86</v>
      </c>
      <c r="AJ399" s="11"/>
      <c r="AK399" s="2"/>
      <c r="AL399" s="11"/>
      <c r="AM399" s="11"/>
      <c r="AN399" s="11"/>
      <c r="AO399" s="2"/>
      <c r="AP399" s="3"/>
      <c r="AQ399" s="11"/>
      <c r="AR399" s="3"/>
      <c r="AS399" s="2"/>
      <c r="AT399" s="11"/>
      <c r="AU399" s="2"/>
      <c r="AV399" s="2"/>
      <c r="AW399" s="2"/>
      <c r="AX399" s="11"/>
      <c r="AY399" s="11"/>
      <c r="AZ399" s="9"/>
      <c r="BA399" s="2">
        <v>1875</v>
      </c>
      <c r="BB399" s="11"/>
      <c r="BC399" s="11"/>
      <c r="BD399" s="11"/>
      <c r="BE399" s="11"/>
      <c r="BF399" s="11"/>
      <c r="BG399" s="11"/>
      <c r="BH399" s="11"/>
      <c r="BI399" s="11"/>
      <c r="BJ399" s="11" t="s">
        <v>87</v>
      </c>
      <c r="BK399" s="10">
        <v>46303.805902777778</v>
      </c>
      <c r="BL399" s="11"/>
      <c r="BM399" s="11"/>
      <c r="BN399" s="10">
        <v>46303.625</v>
      </c>
      <c r="BO399" s="11"/>
      <c r="BP399" s="11"/>
      <c r="BQ399" s="11"/>
      <c r="BR399" s="11"/>
      <c r="BS399" s="11"/>
      <c r="BT399" s="11"/>
      <c r="BU399" s="11"/>
      <c r="BV399" s="2"/>
      <c r="BW399" s="11"/>
    </row>
    <row r="400" spans="1:75" ht="30" x14ac:dyDescent="0.25">
      <c r="A400" s="2">
        <v>6200398</v>
      </c>
      <c r="B400" s="10">
        <v>46303.805902777778</v>
      </c>
      <c r="C400" s="11" t="s">
        <v>82</v>
      </c>
      <c r="D400" s="11"/>
      <c r="E400" s="11" t="s">
        <v>92</v>
      </c>
      <c r="F400" s="11"/>
      <c r="G400" s="11" t="s">
        <v>94</v>
      </c>
      <c r="H400" s="3"/>
      <c r="I400" s="11" t="s">
        <v>90</v>
      </c>
      <c r="J400" s="11"/>
      <c r="K400" s="11"/>
      <c r="L400" s="11"/>
      <c r="M400" s="11"/>
      <c r="N400" s="2">
        <v>1.25</v>
      </c>
      <c r="O400" s="2"/>
      <c r="P400" s="2"/>
      <c r="Q400" s="2"/>
      <c r="R400" s="11"/>
      <c r="S400" s="11" t="s">
        <v>490</v>
      </c>
      <c r="T400" s="11" t="s">
        <v>85</v>
      </c>
      <c r="U400" s="11"/>
      <c r="V400" s="11"/>
      <c r="W400" s="11"/>
      <c r="X400" s="11"/>
      <c r="Y400" s="11"/>
      <c r="Z400" s="11"/>
      <c r="AA400" s="11"/>
      <c r="AB400" s="9"/>
      <c r="AC400" s="2"/>
      <c r="AD400" s="9"/>
      <c r="AE400" s="2"/>
      <c r="AF400" s="9"/>
      <c r="AG400" s="10"/>
      <c r="AH400" s="11"/>
      <c r="AI400" s="11" t="s">
        <v>86</v>
      </c>
      <c r="AJ400" s="11"/>
      <c r="AK400" s="2"/>
      <c r="AL400" s="11"/>
      <c r="AM400" s="11"/>
      <c r="AN400" s="11"/>
      <c r="AO400" s="2"/>
      <c r="AP400" s="3"/>
      <c r="AQ400" s="11"/>
      <c r="AR400" s="3"/>
      <c r="AS400" s="2"/>
      <c r="AT400" s="11"/>
      <c r="AU400" s="2"/>
      <c r="AV400" s="2"/>
      <c r="AW400" s="2"/>
      <c r="AX400" s="11"/>
      <c r="AY400" s="11"/>
      <c r="AZ400" s="9"/>
      <c r="BA400" s="2">
        <v>1875</v>
      </c>
      <c r="BB400" s="11"/>
      <c r="BC400" s="11"/>
      <c r="BD400" s="11"/>
      <c r="BE400" s="11"/>
      <c r="BF400" s="11"/>
      <c r="BG400" s="11"/>
      <c r="BH400" s="11"/>
      <c r="BI400" s="11"/>
      <c r="BJ400" s="11" t="s">
        <v>87</v>
      </c>
      <c r="BK400" s="10">
        <v>46303.805902777778</v>
      </c>
      <c r="BL400" s="11"/>
      <c r="BM400" s="11"/>
      <c r="BN400" s="10">
        <v>46303.625</v>
      </c>
      <c r="BO400" s="11"/>
      <c r="BP400" s="11"/>
      <c r="BQ400" s="11"/>
      <c r="BR400" s="11"/>
      <c r="BS400" s="11"/>
      <c r="BT400" s="11"/>
      <c r="BU400" s="11"/>
      <c r="BV400" s="2"/>
      <c r="BW400" s="11"/>
    </row>
    <row r="401" spans="1:75" ht="30" x14ac:dyDescent="0.25">
      <c r="A401" s="2">
        <v>6200399</v>
      </c>
      <c r="B401" s="10">
        <v>46303.805902777778</v>
      </c>
      <c r="C401" s="11" t="s">
        <v>82</v>
      </c>
      <c r="D401" s="11"/>
      <c r="E401" s="11" t="s">
        <v>83</v>
      </c>
      <c r="F401" s="11"/>
      <c r="G401" s="11" t="s">
        <v>593</v>
      </c>
      <c r="H401" s="3"/>
      <c r="I401" s="11" t="s">
        <v>75</v>
      </c>
      <c r="J401" s="11"/>
      <c r="K401" s="11"/>
      <c r="L401" s="11"/>
      <c r="M401" s="11"/>
      <c r="N401" s="2">
        <v>1.25</v>
      </c>
      <c r="O401" s="2"/>
      <c r="P401" s="2"/>
      <c r="Q401" s="2"/>
      <c r="R401" s="11"/>
      <c r="S401" s="11" t="s">
        <v>491</v>
      </c>
      <c r="T401" s="11" t="s">
        <v>85</v>
      </c>
      <c r="U401" s="11"/>
      <c r="V401" s="11"/>
      <c r="W401" s="11"/>
      <c r="X401" s="11"/>
      <c r="Y401" s="11"/>
      <c r="Z401" s="11"/>
      <c r="AA401" s="11"/>
      <c r="AB401" s="9"/>
      <c r="AC401" s="2"/>
      <c r="AD401" s="9"/>
      <c r="AE401" s="2"/>
      <c r="AF401" s="9"/>
      <c r="AG401" s="10"/>
      <c r="AH401" s="11"/>
      <c r="AI401" s="11" t="s">
        <v>86</v>
      </c>
      <c r="AJ401" s="11"/>
      <c r="AK401" s="2"/>
      <c r="AL401" s="11"/>
      <c r="AM401" s="11"/>
      <c r="AN401" s="11"/>
      <c r="AO401" s="2"/>
      <c r="AP401" s="3"/>
      <c r="AQ401" s="11"/>
      <c r="AR401" s="3"/>
      <c r="AS401" s="2"/>
      <c r="AT401" s="11"/>
      <c r="AU401" s="2"/>
      <c r="AV401" s="2"/>
      <c r="AW401" s="2"/>
      <c r="AX401" s="11"/>
      <c r="AY401" s="11"/>
      <c r="AZ401" s="9"/>
      <c r="BA401" s="2">
        <v>1875</v>
      </c>
      <c r="BB401" s="11"/>
      <c r="BC401" s="11"/>
      <c r="BD401" s="11"/>
      <c r="BE401" s="11"/>
      <c r="BF401" s="11"/>
      <c r="BG401" s="11"/>
      <c r="BH401" s="11"/>
      <c r="BI401" s="11"/>
      <c r="BJ401" s="11" t="s">
        <v>87</v>
      </c>
      <c r="BK401" s="10">
        <v>46303.805902777778</v>
      </c>
      <c r="BL401" s="11"/>
      <c r="BM401" s="11"/>
      <c r="BN401" s="10">
        <v>46303.625</v>
      </c>
      <c r="BO401" s="11"/>
      <c r="BP401" s="11"/>
      <c r="BQ401" s="11"/>
      <c r="BR401" s="11"/>
      <c r="BS401" s="11"/>
      <c r="BT401" s="11"/>
      <c r="BU401" s="11"/>
      <c r="BV401" s="2"/>
      <c r="BW401" s="11"/>
    </row>
    <row r="402" spans="1:75" ht="30" x14ac:dyDescent="0.25">
      <c r="A402" s="2">
        <v>6200400</v>
      </c>
      <c r="B402" s="10">
        <v>46303.805902777778</v>
      </c>
      <c r="C402" s="11" t="s">
        <v>82</v>
      </c>
      <c r="D402" s="11"/>
      <c r="E402" s="11" t="s">
        <v>88</v>
      </c>
      <c r="F402" s="11"/>
      <c r="G402" s="11" t="s">
        <v>592</v>
      </c>
      <c r="H402" s="3"/>
      <c r="I402" s="11" t="s">
        <v>75</v>
      </c>
      <c r="J402" s="11"/>
      <c r="K402" s="11"/>
      <c r="L402" s="11"/>
      <c r="M402" s="11"/>
      <c r="N402" s="2">
        <v>1.25</v>
      </c>
      <c r="O402" s="2"/>
      <c r="P402" s="2"/>
      <c r="Q402" s="2"/>
      <c r="R402" s="11"/>
      <c r="S402" s="11" t="s">
        <v>492</v>
      </c>
      <c r="T402" s="11" t="s">
        <v>85</v>
      </c>
      <c r="U402" s="11"/>
      <c r="V402" s="11"/>
      <c r="W402" s="11"/>
      <c r="X402" s="11"/>
      <c r="Y402" s="11"/>
      <c r="Z402" s="11"/>
      <c r="AA402" s="11"/>
      <c r="AB402" s="9"/>
      <c r="AC402" s="2"/>
      <c r="AD402" s="9"/>
      <c r="AE402" s="2"/>
      <c r="AF402" s="9"/>
      <c r="AG402" s="10"/>
      <c r="AH402" s="11"/>
      <c r="AI402" s="11" t="s">
        <v>86</v>
      </c>
      <c r="AJ402" s="11"/>
      <c r="AK402" s="2"/>
      <c r="AL402" s="11"/>
      <c r="AM402" s="11"/>
      <c r="AN402" s="11"/>
      <c r="AO402" s="2"/>
      <c r="AP402" s="3"/>
      <c r="AQ402" s="11"/>
      <c r="AR402" s="3"/>
      <c r="AS402" s="2"/>
      <c r="AT402" s="11"/>
      <c r="AU402" s="2"/>
      <c r="AV402" s="2"/>
      <c r="AW402" s="2"/>
      <c r="AX402" s="11"/>
      <c r="AY402" s="11"/>
      <c r="AZ402" s="9"/>
      <c r="BA402" s="2">
        <v>1875</v>
      </c>
      <c r="BB402" s="11"/>
      <c r="BC402" s="11"/>
      <c r="BD402" s="11"/>
      <c r="BE402" s="11"/>
      <c r="BF402" s="11"/>
      <c r="BG402" s="11"/>
      <c r="BH402" s="11"/>
      <c r="BI402" s="11"/>
      <c r="BJ402" s="11" t="s">
        <v>87</v>
      </c>
      <c r="BK402" s="10">
        <v>46303.805902777778</v>
      </c>
      <c r="BL402" s="11"/>
      <c r="BM402" s="11"/>
      <c r="BN402" s="10">
        <v>46303.625</v>
      </c>
      <c r="BO402" s="11"/>
      <c r="BP402" s="11"/>
      <c r="BQ402" s="11"/>
      <c r="BR402" s="11"/>
      <c r="BS402" s="11"/>
      <c r="BT402" s="11"/>
      <c r="BU402" s="11"/>
      <c r="BV402" s="2"/>
      <c r="BW402" s="11"/>
    </row>
    <row r="403" spans="1:75" ht="30" x14ac:dyDescent="0.25">
      <c r="A403" s="2">
        <v>6200401</v>
      </c>
      <c r="B403" s="10">
        <v>46303.805902777778</v>
      </c>
      <c r="C403" s="11" t="s">
        <v>82</v>
      </c>
      <c r="D403" s="11"/>
      <c r="E403" s="11" t="s">
        <v>92</v>
      </c>
      <c r="F403" s="11"/>
      <c r="G403" s="11" t="s">
        <v>89</v>
      </c>
      <c r="H403" s="3"/>
      <c r="I403" s="11" t="s">
        <v>90</v>
      </c>
      <c r="J403" s="11"/>
      <c r="K403" s="11"/>
      <c r="L403" s="11"/>
      <c r="M403" s="11"/>
      <c r="N403" s="2">
        <v>1.25</v>
      </c>
      <c r="O403" s="2"/>
      <c r="P403" s="2"/>
      <c r="Q403" s="2"/>
      <c r="R403" s="11"/>
      <c r="S403" s="11" t="s">
        <v>493</v>
      </c>
      <c r="T403" s="11" t="s">
        <v>85</v>
      </c>
      <c r="U403" s="11"/>
      <c r="V403" s="11"/>
      <c r="W403" s="11"/>
      <c r="X403" s="11"/>
      <c r="Y403" s="11"/>
      <c r="Z403" s="11"/>
      <c r="AA403" s="11"/>
      <c r="AB403" s="9"/>
      <c r="AC403" s="2"/>
      <c r="AD403" s="9"/>
      <c r="AE403" s="2"/>
      <c r="AF403" s="9"/>
      <c r="AG403" s="10"/>
      <c r="AH403" s="11"/>
      <c r="AI403" s="11" t="s">
        <v>86</v>
      </c>
      <c r="AJ403" s="11"/>
      <c r="AK403" s="2"/>
      <c r="AL403" s="11"/>
      <c r="AM403" s="11"/>
      <c r="AN403" s="11"/>
      <c r="AO403" s="2"/>
      <c r="AP403" s="3"/>
      <c r="AQ403" s="11"/>
      <c r="AR403" s="3"/>
      <c r="AS403" s="2"/>
      <c r="AT403" s="11"/>
      <c r="AU403" s="2"/>
      <c r="AV403" s="2"/>
      <c r="AW403" s="2"/>
      <c r="AX403" s="11"/>
      <c r="AY403" s="11"/>
      <c r="AZ403" s="9"/>
      <c r="BA403" s="2">
        <v>1875</v>
      </c>
      <c r="BB403" s="11"/>
      <c r="BC403" s="11"/>
      <c r="BD403" s="11"/>
      <c r="BE403" s="11"/>
      <c r="BF403" s="11"/>
      <c r="BG403" s="11"/>
      <c r="BH403" s="11"/>
      <c r="BI403" s="11"/>
      <c r="BJ403" s="11" t="s">
        <v>87</v>
      </c>
      <c r="BK403" s="10">
        <v>46303.805902777778</v>
      </c>
      <c r="BL403" s="11"/>
      <c r="BM403" s="11"/>
      <c r="BN403" s="10">
        <v>46303.625</v>
      </c>
      <c r="BO403" s="11"/>
      <c r="BP403" s="11"/>
      <c r="BQ403" s="11"/>
      <c r="BR403" s="11"/>
      <c r="BS403" s="11"/>
      <c r="BT403" s="11"/>
      <c r="BU403" s="11"/>
      <c r="BV403" s="2"/>
      <c r="BW403" s="11"/>
    </row>
    <row r="404" spans="1:75" ht="30" x14ac:dyDescent="0.25">
      <c r="A404" s="2">
        <v>6200402</v>
      </c>
      <c r="B404" s="10">
        <v>46303.805902777778</v>
      </c>
      <c r="C404" s="11" t="s">
        <v>82</v>
      </c>
      <c r="D404" s="11"/>
      <c r="E404" s="11" t="s">
        <v>83</v>
      </c>
      <c r="F404" s="11"/>
      <c r="G404" s="2">
        <v>470123456</v>
      </c>
      <c r="H404" s="3"/>
      <c r="I404" s="11" t="s">
        <v>75</v>
      </c>
      <c r="J404" s="11"/>
      <c r="K404" s="11"/>
      <c r="L404" s="11"/>
      <c r="M404" s="11"/>
      <c r="N404" s="2">
        <v>1.25</v>
      </c>
      <c r="O404" s="2"/>
      <c r="P404" s="2"/>
      <c r="Q404" s="2"/>
      <c r="R404" s="11"/>
      <c r="S404" s="11" t="s">
        <v>494</v>
      </c>
      <c r="T404" s="11" t="s">
        <v>85</v>
      </c>
      <c r="U404" s="11"/>
      <c r="V404" s="11"/>
      <c r="W404" s="11"/>
      <c r="X404" s="11"/>
      <c r="Y404" s="11"/>
      <c r="Z404" s="11"/>
      <c r="AA404" s="11"/>
      <c r="AB404" s="9"/>
      <c r="AC404" s="2"/>
      <c r="AD404" s="9"/>
      <c r="AE404" s="2"/>
      <c r="AF404" s="9"/>
      <c r="AG404" s="10"/>
      <c r="AH404" s="11"/>
      <c r="AI404" s="11" t="s">
        <v>86</v>
      </c>
      <c r="AJ404" s="11"/>
      <c r="AK404" s="2"/>
      <c r="AL404" s="11"/>
      <c r="AM404" s="11"/>
      <c r="AN404" s="11"/>
      <c r="AO404" s="2"/>
      <c r="AP404" s="3"/>
      <c r="AQ404" s="11"/>
      <c r="AR404" s="3"/>
      <c r="AS404" s="2"/>
      <c r="AT404" s="11"/>
      <c r="AU404" s="2"/>
      <c r="AV404" s="2"/>
      <c r="AW404" s="2"/>
      <c r="AX404" s="11"/>
      <c r="AY404" s="11"/>
      <c r="AZ404" s="9"/>
      <c r="BA404" s="2">
        <v>1875</v>
      </c>
      <c r="BB404" s="11"/>
      <c r="BC404" s="11"/>
      <c r="BD404" s="11"/>
      <c r="BE404" s="11"/>
      <c r="BF404" s="11"/>
      <c r="BG404" s="11"/>
      <c r="BH404" s="11"/>
      <c r="BI404" s="11"/>
      <c r="BJ404" s="11" t="s">
        <v>87</v>
      </c>
      <c r="BK404" s="10">
        <v>46303.805902777778</v>
      </c>
      <c r="BL404" s="11"/>
      <c r="BM404" s="11"/>
      <c r="BN404" s="10">
        <v>46303.625</v>
      </c>
      <c r="BO404" s="11"/>
      <c r="BP404" s="11"/>
      <c r="BQ404" s="11"/>
      <c r="BR404" s="11"/>
      <c r="BS404" s="11"/>
      <c r="BT404" s="11"/>
      <c r="BU404" s="11"/>
      <c r="BV404" s="2"/>
      <c r="BW404" s="11"/>
    </row>
    <row r="405" spans="1:75" ht="30" x14ac:dyDescent="0.25">
      <c r="A405" s="2">
        <v>6200403</v>
      </c>
      <c r="B405" s="10">
        <v>46303.805902777778</v>
      </c>
      <c r="C405" s="11" t="s">
        <v>82</v>
      </c>
      <c r="D405" s="11"/>
      <c r="E405" s="11" t="s">
        <v>88</v>
      </c>
      <c r="F405" s="11"/>
      <c r="G405" s="11" t="s">
        <v>94</v>
      </c>
      <c r="H405" s="3"/>
      <c r="I405" s="11" t="s">
        <v>90</v>
      </c>
      <c r="J405" s="11"/>
      <c r="K405" s="11"/>
      <c r="L405" s="11"/>
      <c r="M405" s="11"/>
      <c r="N405" s="2">
        <v>1.25</v>
      </c>
      <c r="O405" s="2"/>
      <c r="P405" s="2"/>
      <c r="Q405" s="2"/>
      <c r="R405" s="11"/>
      <c r="S405" s="11" t="s">
        <v>495</v>
      </c>
      <c r="T405" s="11" t="s">
        <v>85</v>
      </c>
      <c r="U405" s="11"/>
      <c r="V405" s="11"/>
      <c r="W405" s="11"/>
      <c r="X405" s="11"/>
      <c r="Y405" s="11"/>
      <c r="Z405" s="11"/>
      <c r="AA405" s="11"/>
      <c r="AB405" s="9"/>
      <c r="AC405" s="2"/>
      <c r="AD405" s="9"/>
      <c r="AE405" s="2"/>
      <c r="AF405" s="9"/>
      <c r="AG405" s="10"/>
      <c r="AH405" s="11"/>
      <c r="AI405" s="11" t="s">
        <v>86</v>
      </c>
      <c r="AJ405" s="11"/>
      <c r="AK405" s="2"/>
      <c r="AL405" s="11"/>
      <c r="AM405" s="11"/>
      <c r="AN405" s="11"/>
      <c r="AO405" s="2"/>
      <c r="AP405" s="3"/>
      <c r="AQ405" s="11"/>
      <c r="AR405" s="3"/>
      <c r="AS405" s="2"/>
      <c r="AT405" s="11"/>
      <c r="AU405" s="2"/>
      <c r="AV405" s="2"/>
      <c r="AW405" s="2"/>
      <c r="AX405" s="11"/>
      <c r="AY405" s="11"/>
      <c r="AZ405" s="9"/>
      <c r="BA405" s="2">
        <v>1875</v>
      </c>
      <c r="BB405" s="11"/>
      <c r="BC405" s="11"/>
      <c r="BD405" s="11"/>
      <c r="BE405" s="11"/>
      <c r="BF405" s="11"/>
      <c r="BG405" s="11"/>
      <c r="BH405" s="11"/>
      <c r="BI405" s="11"/>
      <c r="BJ405" s="11" t="s">
        <v>87</v>
      </c>
      <c r="BK405" s="10">
        <v>46303.805902777778</v>
      </c>
      <c r="BL405" s="11"/>
      <c r="BM405" s="11"/>
      <c r="BN405" s="10">
        <v>46303.625</v>
      </c>
      <c r="BO405" s="11"/>
      <c r="BP405" s="11"/>
      <c r="BQ405" s="11"/>
      <c r="BR405" s="11"/>
      <c r="BS405" s="11"/>
      <c r="BT405" s="11"/>
      <c r="BU405" s="11"/>
      <c r="BV405" s="2"/>
      <c r="BW405" s="11"/>
    </row>
    <row r="406" spans="1:75" ht="30" x14ac:dyDescent="0.25">
      <c r="A406" s="2">
        <v>6200404</v>
      </c>
      <c r="B406" s="10">
        <v>46303.805902777778</v>
      </c>
      <c r="C406" s="11" t="s">
        <v>82</v>
      </c>
      <c r="D406" s="11"/>
      <c r="E406" s="11" t="s">
        <v>92</v>
      </c>
      <c r="F406" s="11"/>
      <c r="G406" s="11" t="s">
        <v>593</v>
      </c>
      <c r="H406" s="3"/>
      <c r="I406" s="11" t="s">
        <v>75</v>
      </c>
      <c r="J406" s="11"/>
      <c r="K406" s="11"/>
      <c r="L406" s="11"/>
      <c r="M406" s="11"/>
      <c r="N406" s="2">
        <v>1.25</v>
      </c>
      <c r="O406" s="2"/>
      <c r="P406" s="2"/>
      <c r="Q406" s="2"/>
      <c r="R406" s="11"/>
      <c r="S406" s="11" t="s">
        <v>496</v>
      </c>
      <c r="T406" s="11" t="s">
        <v>85</v>
      </c>
      <c r="U406" s="11"/>
      <c r="V406" s="11"/>
      <c r="W406" s="11"/>
      <c r="X406" s="11"/>
      <c r="Y406" s="11"/>
      <c r="Z406" s="11"/>
      <c r="AA406" s="11"/>
      <c r="AB406" s="9"/>
      <c r="AC406" s="2"/>
      <c r="AD406" s="9"/>
      <c r="AE406" s="2"/>
      <c r="AF406" s="9"/>
      <c r="AG406" s="10"/>
      <c r="AH406" s="11"/>
      <c r="AI406" s="11" t="s">
        <v>86</v>
      </c>
      <c r="AJ406" s="11"/>
      <c r="AK406" s="2"/>
      <c r="AL406" s="11"/>
      <c r="AM406" s="11"/>
      <c r="AN406" s="11"/>
      <c r="AO406" s="2"/>
      <c r="AP406" s="3"/>
      <c r="AQ406" s="11"/>
      <c r="AR406" s="3"/>
      <c r="AS406" s="2"/>
      <c r="AT406" s="11"/>
      <c r="AU406" s="2"/>
      <c r="AV406" s="2"/>
      <c r="AW406" s="2"/>
      <c r="AX406" s="11"/>
      <c r="AY406" s="11"/>
      <c r="AZ406" s="9"/>
      <c r="BA406" s="2">
        <v>1875</v>
      </c>
      <c r="BB406" s="11"/>
      <c r="BC406" s="11"/>
      <c r="BD406" s="11"/>
      <c r="BE406" s="11"/>
      <c r="BF406" s="11"/>
      <c r="BG406" s="11"/>
      <c r="BH406" s="11"/>
      <c r="BI406" s="11"/>
      <c r="BJ406" s="11" t="s">
        <v>87</v>
      </c>
      <c r="BK406" s="10">
        <v>46303.805902777778</v>
      </c>
      <c r="BL406" s="11"/>
      <c r="BM406" s="11"/>
      <c r="BN406" s="10">
        <v>46303.625</v>
      </c>
      <c r="BO406" s="11"/>
      <c r="BP406" s="11"/>
      <c r="BQ406" s="11"/>
      <c r="BR406" s="11"/>
      <c r="BS406" s="11"/>
      <c r="BT406" s="11"/>
      <c r="BU406" s="11"/>
      <c r="BV406" s="2"/>
      <c r="BW406" s="11"/>
    </row>
    <row r="407" spans="1:75" ht="30" x14ac:dyDescent="0.25">
      <c r="A407" s="2">
        <v>6200405</v>
      </c>
      <c r="B407" s="10">
        <v>46303.805902777778</v>
      </c>
      <c r="C407" s="11" t="s">
        <v>82</v>
      </c>
      <c r="D407" s="11"/>
      <c r="E407" s="11" t="s">
        <v>83</v>
      </c>
      <c r="F407" s="11"/>
      <c r="G407" s="11" t="s">
        <v>592</v>
      </c>
      <c r="H407" s="3"/>
      <c r="I407" s="11" t="s">
        <v>75</v>
      </c>
      <c r="J407" s="11"/>
      <c r="K407" s="11"/>
      <c r="L407" s="11"/>
      <c r="M407" s="11"/>
      <c r="N407" s="2">
        <v>1.25</v>
      </c>
      <c r="O407" s="2"/>
      <c r="P407" s="2"/>
      <c r="Q407" s="2"/>
      <c r="R407" s="11"/>
      <c r="S407" s="11" t="s">
        <v>497</v>
      </c>
      <c r="T407" s="11" t="s">
        <v>85</v>
      </c>
      <c r="U407" s="11"/>
      <c r="V407" s="11"/>
      <c r="W407" s="11"/>
      <c r="X407" s="11"/>
      <c r="Y407" s="11"/>
      <c r="Z407" s="11"/>
      <c r="AA407" s="11"/>
      <c r="AB407" s="9"/>
      <c r="AC407" s="2"/>
      <c r="AD407" s="9"/>
      <c r="AE407" s="2"/>
      <c r="AF407" s="9"/>
      <c r="AG407" s="10"/>
      <c r="AH407" s="11"/>
      <c r="AI407" s="11" t="s">
        <v>86</v>
      </c>
      <c r="AJ407" s="11"/>
      <c r="AK407" s="2"/>
      <c r="AL407" s="11"/>
      <c r="AM407" s="11"/>
      <c r="AN407" s="11"/>
      <c r="AO407" s="2"/>
      <c r="AP407" s="3"/>
      <c r="AQ407" s="11"/>
      <c r="AR407" s="3"/>
      <c r="AS407" s="2"/>
      <c r="AT407" s="11"/>
      <c r="AU407" s="2"/>
      <c r="AV407" s="2"/>
      <c r="AW407" s="2"/>
      <c r="AX407" s="11"/>
      <c r="AY407" s="11"/>
      <c r="AZ407" s="9"/>
      <c r="BA407" s="2">
        <v>1875</v>
      </c>
      <c r="BB407" s="11"/>
      <c r="BC407" s="11"/>
      <c r="BD407" s="11"/>
      <c r="BE407" s="11"/>
      <c r="BF407" s="11"/>
      <c r="BG407" s="11"/>
      <c r="BH407" s="11"/>
      <c r="BI407" s="11"/>
      <c r="BJ407" s="11" t="s">
        <v>87</v>
      </c>
      <c r="BK407" s="10">
        <v>46303.805902777778</v>
      </c>
      <c r="BL407" s="11"/>
      <c r="BM407" s="11"/>
      <c r="BN407" s="10">
        <v>46303.625</v>
      </c>
      <c r="BO407" s="11"/>
      <c r="BP407" s="11"/>
      <c r="BQ407" s="11"/>
      <c r="BR407" s="11"/>
      <c r="BS407" s="11"/>
      <c r="BT407" s="11"/>
      <c r="BU407" s="11"/>
      <c r="BV407" s="2"/>
      <c r="BW407" s="11"/>
    </row>
    <row r="408" spans="1:75" ht="30" x14ac:dyDescent="0.25">
      <c r="A408" s="2">
        <v>6200406</v>
      </c>
      <c r="B408" s="10">
        <v>46303.805902777778</v>
      </c>
      <c r="C408" s="11" t="s">
        <v>82</v>
      </c>
      <c r="D408" s="11"/>
      <c r="E408" s="11" t="s">
        <v>88</v>
      </c>
      <c r="F408" s="11"/>
      <c r="G408" s="11" t="s">
        <v>89</v>
      </c>
      <c r="H408" s="3"/>
      <c r="I408" s="11" t="s">
        <v>90</v>
      </c>
      <c r="J408" s="11"/>
      <c r="K408" s="11"/>
      <c r="L408" s="11"/>
      <c r="M408" s="11"/>
      <c r="N408" s="2">
        <v>1.25</v>
      </c>
      <c r="O408" s="2"/>
      <c r="P408" s="2"/>
      <c r="Q408" s="2"/>
      <c r="R408" s="11"/>
      <c r="S408" s="11" t="s">
        <v>498</v>
      </c>
      <c r="T408" s="11" t="s">
        <v>85</v>
      </c>
      <c r="U408" s="11"/>
      <c r="V408" s="11"/>
      <c r="W408" s="11"/>
      <c r="X408" s="11"/>
      <c r="Y408" s="11"/>
      <c r="Z408" s="11"/>
      <c r="AA408" s="11"/>
      <c r="AB408" s="9"/>
      <c r="AC408" s="2"/>
      <c r="AD408" s="9"/>
      <c r="AE408" s="2"/>
      <c r="AF408" s="9"/>
      <c r="AG408" s="10"/>
      <c r="AH408" s="11"/>
      <c r="AI408" s="11" t="s">
        <v>86</v>
      </c>
      <c r="AJ408" s="11"/>
      <c r="AK408" s="2"/>
      <c r="AL408" s="11"/>
      <c r="AM408" s="11"/>
      <c r="AN408" s="11"/>
      <c r="AO408" s="2"/>
      <c r="AP408" s="3"/>
      <c r="AQ408" s="11"/>
      <c r="AR408" s="3"/>
      <c r="AS408" s="2"/>
      <c r="AT408" s="11"/>
      <c r="AU408" s="2"/>
      <c r="AV408" s="2"/>
      <c r="AW408" s="2"/>
      <c r="AX408" s="11"/>
      <c r="AY408" s="11"/>
      <c r="AZ408" s="9"/>
      <c r="BA408" s="2">
        <v>1875</v>
      </c>
      <c r="BB408" s="11"/>
      <c r="BC408" s="11"/>
      <c r="BD408" s="11"/>
      <c r="BE408" s="11"/>
      <c r="BF408" s="11"/>
      <c r="BG408" s="11"/>
      <c r="BH408" s="11"/>
      <c r="BI408" s="11"/>
      <c r="BJ408" s="11" t="s">
        <v>87</v>
      </c>
      <c r="BK408" s="10">
        <v>46303.805902777778</v>
      </c>
      <c r="BL408" s="11"/>
      <c r="BM408" s="11"/>
      <c r="BN408" s="10">
        <v>46303.625</v>
      </c>
      <c r="BO408" s="11"/>
      <c r="BP408" s="11"/>
      <c r="BQ408" s="11"/>
      <c r="BR408" s="11"/>
      <c r="BS408" s="11"/>
      <c r="BT408" s="11"/>
      <c r="BU408" s="11"/>
      <c r="BV408" s="2"/>
      <c r="BW408" s="11"/>
    </row>
    <row r="409" spans="1:75" ht="30" x14ac:dyDescent="0.25">
      <c r="A409" s="2">
        <v>6200407</v>
      </c>
      <c r="B409" s="10">
        <v>46303.805902777778</v>
      </c>
      <c r="C409" s="11" t="s">
        <v>82</v>
      </c>
      <c r="D409" s="11"/>
      <c r="E409" s="11" t="s">
        <v>92</v>
      </c>
      <c r="F409" s="11"/>
      <c r="G409" s="2">
        <v>470123456</v>
      </c>
      <c r="H409" s="3"/>
      <c r="I409" s="11" t="s">
        <v>75</v>
      </c>
      <c r="J409" s="11"/>
      <c r="K409" s="11"/>
      <c r="L409" s="11"/>
      <c r="M409" s="11"/>
      <c r="N409" s="2">
        <v>1.25</v>
      </c>
      <c r="O409" s="2"/>
      <c r="P409" s="2"/>
      <c r="Q409" s="2"/>
      <c r="R409" s="11"/>
      <c r="S409" s="11" t="s">
        <v>499</v>
      </c>
      <c r="T409" s="11" t="s">
        <v>85</v>
      </c>
      <c r="U409" s="11"/>
      <c r="V409" s="11"/>
      <c r="W409" s="11"/>
      <c r="X409" s="11"/>
      <c r="Y409" s="11"/>
      <c r="Z409" s="11"/>
      <c r="AA409" s="11"/>
      <c r="AB409" s="9"/>
      <c r="AC409" s="2"/>
      <c r="AD409" s="9"/>
      <c r="AE409" s="2"/>
      <c r="AF409" s="9"/>
      <c r="AG409" s="10"/>
      <c r="AH409" s="11"/>
      <c r="AI409" s="11" t="s">
        <v>86</v>
      </c>
      <c r="AJ409" s="11"/>
      <c r="AK409" s="2"/>
      <c r="AL409" s="11"/>
      <c r="AM409" s="11"/>
      <c r="AN409" s="11"/>
      <c r="AO409" s="2"/>
      <c r="AP409" s="3"/>
      <c r="AQ409" s="11"/>
      <c r="AR409" s="3"/>
      <c r="AS409" s="2"/>
      <c r="AT409" s="11"/>
      <c r="AU409" s="2"/>
      <c r="AV409" s="2"/>
      <c r="AW409" s="2"/>
      <c r="AX409" s="11"/>
      <c r="AY409" s="11"/>
      <c r="AZ409" s="9"/>
      <c r="BA409" s="2">
        <v>1875</v>
      </c>
      <c r="BB409" s="11"/>
      <c r="BC409" s="11"/>
      <c r="BD409" s="11"/>
      <c r="BE409" s="11"/>
      <c r="BF409" s="11"/>
      <c r="BG409" s="11"/>
      <c r="BH409" s="11"/>
      <c r="BI409" s="11"/>
      <c r="BJ409" s="11" t="s">
        <v>87</v>
      </c>
      <c r="BK409" s="10">
        <v>46303.805902777778</v>
      </c>
      <c r="BL409" s="11"/>
      <c r="BM409" s="11"/>
      <c r="BN409" s="10">
        <v>46303.625</v>
      </c>
      <c r="BO409" s="11"/>
      <c r="BP409" s="11"/>
      <c r="BQ409" s="11"/>
      <c r="BR409" s="11"/>
      <c r="BS409" s="11"/>
      <c r="BT409" s="11"/>
      <c r="BU409" s="11"/>
      <c r="BV409" s="2"/>
      <c r="BW409" s="11"/>
    </row>
    <row r="410" spans="1:75" ht="30" x14ac:dyDescent="0.25">
      <c r="A410" s="2">
        <v>6200408</v>
      </c>
      <c r="B410" s="10">
        <v>46303.805902777778</v>
      </c>
      <c r="C410" s="11" t="s">
        <v>82</v>
      </c>
      <c r="D410" s="11"/>
      <c r="E410" s="11" t="s">
        <v>83</v>
      </c>
      <c r="F410" s="11"/>
      <c r="G410" s="11" t="s">
        <v>94</v>
      </c>
      <c r="H410" s="3"/>
      <c r="I410" s="11" t="s">
        <v>90</v>
      </c>
      <c r="J410" s="11"/>
      <c r="K410" s="11"/>
      <c r="L410" s="11"/>
      <c r="M410" s="11"/>
      <c r="N410" s="2">
        <v>1.25</v>
      </c>
      <c r="O410" s="2"/>
      <c r="P410" s="2"/>
      <c r="Q410" s="2"/>
      <c r="R410" s="11"/>
      <c r="S410" s="11" t="s">
        <v>500</v>
      </c>
      <c r="T410" s="11" t="s">
        <v>85</v>
      </c>
      <c r="U410" s="11"/>
      <c r="V410" s="11"/>
      <c r="W410" s="11"/>
      <c r="X410" s="11"/>
      <c r="Y410" s="11"/>
      <c r="Z410" s="11"/>
      <c r="AA410" s="11"/>
      <c r="AB410" s="9"/>
      <c r="AC410" s="2"/>
      <c r="AD410" s="9"/>
      <c r="AE410" s="2"/>
      <c r="AF410" s="9"/>
      <c r="AG410" s="10"/>
      <c r="AH410" s="11"/>
      <c r="AI410" s="11" t="s">
        <v>86</v>
      </c>
      <c r="AJ410" s="11"/>
      <c r="AK410" s="2"/>
      <c r="AL410" s="11"/>
      <c r="AM410" s="11"/>
      <c r="AN410" s="11"/>
      <c r="AO410" s="2"/>
      <c r="AP410" s="3"/>
      <c r="AQ410" s="11"/>
      <c r="AR410" s="3"/>
      <c r="AS410" s="2"/>
      <c r="AT410" s="11"/>
      <c r="AU410" s="2"/>
      <c r="AV410" s="2"/>
      <c r="AW410" s="2"/>
      <c r="AX410" s="11"/>
      <c r="AY410" s="11"/>
      <c r="AZ410" s="9"/>
      <c r="BA410" s="2">
        <v>1875</v>
      </c>
      <c r="BB410" s="11"/>
      <c r="BC410" s="11"/>
      <c r="BD410" s="11"/>
      <c r="BE410" s="11"/>
      <c r="BF410" s="11"/>
      <c r="BG410" s="11"/>
      <c r="BH410" s="11"/>
      <c r="BI410" s="11"/>
      <c r="BJ410" s="11" t="s">
        <v>87</v>
      </c>
      <c r="BK410" s="10">
        <v>46303.805902777778</v>
      </c>
      <c r="BL410" s="11"/>
      <c r="BM410" s="11"/>
      <c r="BN410" s="10">
        <v>46303.625</v>
      </c>
      <c r="BO410" s="11"/>
      <c r="BP410" s="11"/>
      <c r="BQ410" s="11"/>
      <c r="BR410" s="11"/>
      <c r="BS410" s="11"/>
      <c r="BT410" s="11"/>
      <c r="BU410" s="11"/>
      <c r="BV410" s="2"/>
      <c r="BW410" s="11"/>
    </row>
    <row r="411" spans="1:75" ht="30" x14ac:dyDescent="0.25">
      <c r="A411" s="2">
        <v>6200409</v>
      </c>
      <c r="B411" s="10">
        <v>46303.805902777778</v>
      </c>
      <c r="C411" s="11" t="s">
        <v>82</v>
      </c>
      <c r="D411" s="11"/>
      <c r="E411" s="11" t="s">
        <v>88</v>
      </c>
      <c r="F411" s="11"/>
      <c r="G411" s="11" t="s">
        <v>593</v>
      </c>
      <c r="H411" s="3"/>
      <c r="I411" s="11" t="s">
        <v>75</v>
      </c>
      <c r="J411" s="11"/>
      <c r="K411" s="11"/>
      <c r="L411" s="11"/>
      <c r="M411" s="11"/>
      <c r="N411" s="2">
        <v>1.25</v>
      </c>
      <c r="O411" s="2"/>
      <c r="P411" s="2"/>
      <c r="Q411" s="2"/>
      <c r="R411" s="11"/>
      <c r="S411" s="11" t="s">
        <v>501</v>
      </c>
      <c r="T411" s="11" t="s">
        <v>85</v>
      </c>
      <c r="U411" s="11"/>
      <c r="V411" s="11"/>
      <c r="W411" s="11"/>
      <c r="X411" s="11"/>
      <c r="Y411" s="11"/>
      <c r="Z411" s="11"/>
      <c r="AA411" s="11"/>
      <c r="AB411" s="9"/>
      <c r="AC411" s="2"/>
      <c r="AD411" s="9"/>
      <c r="AE411" s="2"/>
      <c r="AF411" s="9"/>
      <c r="AG411" s="10"/>
      <c r="AH411" s="11"/>
      <c r="AI411" s="11" t="s">
        <v>86</v>
      </c>
      <c r="AJ411" s="11"/>
      <c r="AK411" s="2"/>
      <c r="AL411" s="11"/>
      <c r="AM411" s="11"/>
      <c r="AN411" s="11"/>
      <c r="AO411" s="2"/>
      <c r="AP411" s="3"/>
      <c r="AQ411" s="11"/>
      <c r="AR411" s="3"/>
      <c r="AS411" s="2"/>
      <c r="AT411" s="11"/>
      <c r="AU411" s="2"/>
      <c r="AV411" s="2"/>
      <c r="AW411" s="2"/>
      <c r="AX411" s="11"/>
      <c r="AY411" s="11"/>
      <c r="AZ411" s="9"/>
      <c r="BA411" s="2">
        <v>1875</v>
      </c>
      <c r="BB411" s="11"/>
      <c r="BC411" s="11"/>
      <c r="BD411" s="11"/>
      <c r="BE411" s="11"/>
      <c r="BF411" s="11"/>
      <c r="BG411" s="11"/>
      <c r="BH411" s="11"/>
      <c r="BI411" s="11"/>
      <c r="BJ411" s="11" t="s">
        <v>87</v>
      </c>
      <c r="BK411" s="10">
        <v>46303.805902777778</v>
      </c>
      <c r="BL411" s="11"/>
      <c r="BM411" s="11"/>
      <c r="BN411" s="10">
        <v>46303.625</v>
      </c>
      <c r="BO411" s="11"/>
      <c r="BP411" s="11"/>
      <c r="BQ411" s="11"/>
      <c r="BR411" s="11"/>
      <c r="BS411" s="11"/>
      <c r="BT411" s="11"/>
      <c r="BU411" s="11"/>
      <c r="BV411" s="2"/>
      <c r="BW411" s="11"/>
    </row>
    <row r="412" spans="1:75" ht="30" x14ac:dyDescent="0.25">
      <c r="A412" s="2">
        <v>6200410</v>
      </c>
      <c r="B412" s="10">
        <v>46303.805902777778</v>
      </c>
      <c r="C412" s="11" t="s">
        <v>82</v>
      </c>
      <c r="D412" s="11"/>
      <c r="E412" s="11" t="s">
        <v>92</v>
      </c>
      <c r="F412" s="11"/>
      <c r="G412" s="11" t="s">
        <v>592</v>
      </c>
      <c r="H412" s="3"/>
      <c r="I412" s="11" t="s">
        <v>75</v>
      </c>
      <c r="J412" s="11"/>
      <c r="K412" s="11"/>
      <c r="L412" s="11"/>
      <c r="M412" s="11"/>
      <c r="N412" s="2">
        <v>1.25</v>
      </c>
      <c r="O412" s="2"/>
      <c r="P412" s="2"/>
      <c r="Q412" s="2"/>
      <c r="R412" s="11"/>
      <c r="S412" s="11" t="s">
        <v>502</v>
      </c>
      <c r="T412" s="11" t="s">
        <v>85</v>
      </c>
      <c r="U412" s="11"/>
      <c r="V412" s="11"/>
      <c r="W412" s="11"/>
      <c r="X412" s="11"/>
      <c r="Y412" s="11"/>
      <c r="Z412" s="11"/>
      <c r="AA412" s="11"/>
      <c r="AB412" s="9"/>
      <c r="AC412" s="2"/>
      <c r="AD412" s="9"/>
      <c r="AE412" s="2"/>
      <c r="AF412" s="9"/>
      <c r="AG412" s="10"/>
      <c r="AH412" s="11"/>
      <c r="AI412" s="11" t="s">
        <v>86</v>
      </c>
      <c r="AJ412" s="11"/>
      <c r="AK412" s="2"/>
      <c r="AL412" s="11"/>
      <c r="AM412" s="11"/>
      <c r="AN412" s="11"/>
      <c r="AO412" s="2"/>
      <c r="AP412" s="3"/>
      <c r="AQ412" s="11"/>
      <c r="AR412" s="3"/>
      <c r="AS412" s="2"/>
      <c r="AT412" s="11"/>
      <c r="AU412" s="2"/>
      <c r="AV412" s="2"/>
      <c r="AW412" s="2"/>
      <c r="AX412" s="11"/>
      <c r="AY412" s="11"/>
      <c r="AZ412" s="9"/>
      <c r="BA412" s="2">
        <v>1875</v>
      </c>
      <c r="BB412" s="11"/>
      <c r="BC412" s="11"/>
      <c r="BD412" s="11"/>
      <c r="BE412" s="11"/>
      <c r="BF412" s="11"/>
      <c r="BG412" s="11"/>
      <c r="BH412" s="11"/>
      <c r="BI412" s="11"/>
      <c r="BJ412" s="11" t="s">
        <v>87</v>
      </c>
      <c r="BK412" s="10">
        <v>46303.805902777778</v>
      </c>
      <c r="BL412" s="11"/>
      <c r="BM412" s="11"/>
      <c r="BN412" s="10">
        <v>46303.625</v>
      </c>
      <c r="BO412" s="11"/>
      <c r="BP412" s="11"/>
      <c r="BQ412" s="11"/>
      <c r="BR412" s="11"/>
      <c r="BS412" s="11"/>
      <c r="BT412" s="11"/>
      <c r="BU412" s="11"/>
      <c r="BV412" s="2"/>
      <c r="BW412" s="11"/>
    </row>
    <row r="413" spans="1:75" ht="30" x14ac:dyDescent="0.25">
      <c r="A413" s="2">
        <v>6200411</v>
      </c>
      <c r="B413" s="10">
        <v>46303.805902777778</v>
      </c>
      <c r="C413" s="11" t="s">
        <v>82</v>
      </c>
      <c r="D413" s="11"/>
      <c r="E413" s="11" t="s">
        <v>83</v>
      </c>
      <c r="F413" s="11"/>
      <c r="G413" s="11" t="s">
        <v>89</v>
      </c>
      <c r="H413" s="3"/>
      <c r="I413" s="11" t="s">
        <v>90</v>
      </c>
      <c r="J413" s="11"/>
      <c r="K413" s="11"/>
      <c r="L413" s="11"/>
      <c r="M413" s="11"/>
      <c r="N413" s="2">
        <v>1.25</v>
      </c>
      <c r="O413" s="2"/>
      <c r="P413" s="2"/>
      <c r="Q413" s="2"/>
      <c r="R413" s="11"/>
      <c r="S413" s="11" t="s">
        <v>503</v>
      </c>
      <c r="T413" s="11" t="s">
        <v>85</v>
      </c>
      <c r="U413" s="11"/>
      <c r="V413" s="11"/>
      <c r="W413" s="11"/>
      <c r="X413" s="11"/>
      <c r="Y413" s="11"/>
      <c r="Z413" s="11"/>
      <c r="AA413" s="11"/>
      <c r="AB413" s="9"/>
      <c r="AC413" s="2"/>
      <c r="AD413" s="9"/>
      <c r="AE413" s="2"/>
      <c r="AF413" s="9"/>
      <c r="AG413" s="10"/>
      <c r="AH413" s="11"/>
      <c r="AI413" s="11" t="s">
        <v>86</v>
      </c>
      <c r="AJ413" s="11"/>
      <c r="AK413" s="2"/>
      <c r="AL413" s="11"/>
      <c r="AM413" s="11"/>
      <c r="AN413" s="11"/>
      <c r="AO413" s="2"/>
      <c r="AP413" s="3"/>
      <c r="AQ413" s="11"/>
      <c r="AR413" s="3"/>
      <c r="AS413" s="2"/>
      <c r="AT413" s="11"/>
      <c r="AU413" s="2"/>
      <c r="AV413" s="2"/>
      <c r="AW413" s="2"/>
      <c r="AX413" s="11"/>
      <c r="AY413" s="11"/>
      <c r="AZ413" s="9"/>
      <c r="BA413" s="2">
        <v>1875</v>
      </c>
      <c r="BB413" s="11"/>
      <c r="BC413" s="11"/>
      <c r="BD413" s="11"/>
      <c r="BE413" s="11"/>
      <c r="BF413" s="11"/>
      <c r="BG413" s="11"/>
      <c r="BH413" s="11"/>
      <c r="BI413" s="11"/>
      <c r="BJ413" s="11" t="s">
        <v>87</v>
      </c>
      <c r="BK413" s="10">
        <v>46303.805902777778</v>
      </c>
      <c r="BL413" s="11"/>
      <c r="BM413" s="11"/>
      <c r="BN413" s="10">
        <v>46303.625</v>
      </c>
      <c r="BO413" s="11"/>
      <c r="BP413" s="11"/>
      <c r="BQ413" s="11"/>
      <c r="BR413" s="11"/>
      <c r="BS413" s="11"/>
      <c r="BT413" s="11"/>
      <c r="BU413" s="11"/>
      <c r="BV413" s="2"/>
      <c r="BW413" s="11"/>
    </row>
    <row r="414" spans="1:75" ht="30" x14ac:dyDescent="0.25">
      <c r="A414" s="2">
        <v>6200412</v>
      </c>
      <c r="B414" s="10">
        <v>46303.805902777778</v>
      </c>
      <c r="C414" s="11" t="s">
        <v>82</v>
      </c>
      <c r="D414" s="11"/>
      <c r="E414" s="11" t="s">
        <v>88</v>
      </c>
      <c r="F414" s="11"/>
      <c r="G414" s="2">
        <v>470123456</v>
      </c>
      <c r="H414" s="3"/>
      <c r="I414" s="11" t="s">
        <v>75</v>
      </c>
      <c r="J414" s="11"/>
      <c r="K414" s="11"/>
      <c r="L414" s="11"/>
      <c r="M414" s="11"/>
      <c r="N414" s="2">
        <v>1.25</v>
      </c>
      <c r="O414" s="2"/>
      <c r="P414" s="2"/>
      <c r="Q414" s="2"/>
      <c r="R414" s="11"/>
      <c r="S414" s="11" t="s">
        <v>504</v>
      </c>
      <c r="T414" s="11" t="s">
        <v>85</v>
      </c>
      <c r="U414" s="11"/>
      <c r="V414" s="11"/>
      <c r="W414" s="11"/>
      <c r="X414" s="11"/>
      <c r="Y414" s="11"/>
      <c r="Z414" s="11"/>
      <c r="AA414" s="11"/>
      <c r="AB414" s="9"/>
      <c r="AC414" s="2"/>
      <c r="AD414" s="9"/>
      <c r="AE414" s="2"/>
      <c r="AF414" s="9"/>
      <c r="AG414" s="10"/>
      <c r="AH414" s="11"/>
      <c r="AI414" s="11" t="s">
        <v>86</v>
      </c>
      <c r="AJ414" s="11"/>
      <c r="AK414" s="2"/>
      <c r="AL414" s="11"/>
      <c r="AM414" s="11"/>
      <c r="AN414" s="11"/>
      <c r="AO414" s="2"/>
      <c r="AP414" s="3"/>
      <c r="AQ414" s="11"/>
      <c r="AR414" s="3"/>
      <c r="AS414" s="2"/>
      <c r="AT414" s="11"/>
      <c r="AU414" s="2"/>
      <c r="AV414" s="2"/>
      <c r="AW414" s="2"/>
      <c r="AX414" s="11"/>
      <c r="AY414" s="11"/>
      <c r="AZ414" s="9"/>
      <c r="BA414" s="2">
        <v>1875</v>
      </c>
      <c r="BB414" s="11"/>
      <c r="BC414" s="11"/>
      <c r="BD414" s="11"/>
      <c r="BE414" s="11"/>
      <c r="BF414" s="11"/>
      <c r="BG414" s="11"/>
      <c r="BH414" s="11"/>
      <c r="BI414" s="11"/>
      <c r="BJ414" s="11" t="s">
        <v>87</v>
      </c>
      <c r="BK414" s="10">
        <v>46303.805902777778</v>
      </c>
      <c r="BL414" s="11"/>
      <c r="BM414" s="11"/>
      <c r="BN414" s="10">
        <v>46303.625</v>
      </c>
      <c r="BO414" s="11"/>
      <c r="BP414" s="11"/>
      <c r="BQ414" s="11"/>
      <c r="BR414" s="11"/>
      <c r="BS414" s="11"/>
      <c r="BT414" s="11"/>
      <c r="BU414" s="11"/>
      <c r="BV414" s="2"/>
      <c r="BW414" s="11"/>
    </row>
    <row r="415" spans="1:75" ht="30" x14ac:dyDescent="0.25">
      <c r="A415" s="2">
        <v>6200413</v>
      </c>
      <c r="B415" s="10">
        <v>46303.805902777778</v>
      </c>
      <c r="C415" s="11" t="s">
        <v>82</v>
      </c>
      <c r="D415" s="11"/>
      <c r="E415" s="11" t="s">
        <v>92</v>
      </c>
      <c r="F415" s="11"/>
      <c r="G415" s="11" t="s">
        <v>94</v>
      </c>
      <c r="H415" s="3"/>
      <c r="I415" s="11" t="s">
        <v>90</v>
      </c>
      <c r="J415" s="11"/>
      <c r="K415" s="11"/>
      <c r="L415" s="11"/>
      <c r="M415" s="11"/>
      <c r="N415" s="2">
        <v>1.25</v>
      </c>
      <c r="O415" s="2"/>
      <c r="P415" s="2"/>
      <c r="Q415" s="2"/>
      <c r="R415" s="11"/>
      <c r="S415" s="11" t="s">
        <v>505</v>
      </c>
      <c r="T415" s="11" t="s">
        <v>85</v>
      </c>
      <c r="U415" s="11"/>
      <c r="V415" s="11"/>
      <c r="W415" s="11"/>
      <c r="X415" s="11"/>
      <c r="Y415" s="11"/>
      <c r="Z415" s="11"/>
      <c r="AA415" s="11"/>
      <c r="AB415" s="9"/>
      <c r="AC415" s="2"/>
      <c r="AD415" s="9"/>
      <c r="AE415" s="2"/>
      <c r="AF415" s="9"/>
      <c r="AG415" s="10"/>
      <c r="AH415" s="11"/>
      <c r="AI415" s="11" t="s">
        <v>86</v>
      </c>
      <c r="AJ415" s="11"/>
      <c r="AK415" s="2"/>
      <c r="AL415" s="11"/>
      <c r="AM415" s="11"/>
      <c r="AN415" s="11"/>
      <c r="AO415" s="2"/>
      <c r="AP415" s="3"/>
      <c r="AQ415" s="11"/>
      <c r="AR415" s="3"/>
      <c r="AS415" s="2"/>
      <c r="AT415" s="11"/>
      <c r="AU415" s="2"/>
      <c r="AV415" s="2"/>
      <c r="AW415" s="2"/>
      <c r="AX415" s="11"/>
      <c r="AY415" s="11"/>
      <c r="AZ415" s="9"/>
      <c r="BA415" s="2">
        <v>1875</v>
      </c>
      <c r="BB415" s="11"/>
      <c r="BC415" s="11"/>
      <c r="BD415" s="11"/>
      <c r="BE415" s="11"/>
      <c r="BF415" s="11"/>
      <c r="BG415" s="11"/>
      <c r="BH415" s="11"/>
      <c r="BI415" s="11"/>
      <c r="BJ415" s="11" t="s">
        <v>87</v>
      </c>
      <c r="BK415" s="10">
        <v>46303.805902777778</v>
      </c>
      <c r="BL415" s="11"/>
      <c r="BM415" s="11"/>
      <c r="BN415" s="10">
        <v>46303.625</v>
      </c>
      <c r="BO415" s="11"/>
      <c r="BP415" s="11"/>
      <c r="BQ415" s="11"/>
      <c r="BR415" s="11"/>
      <c r="BS415" s="11"/>
      <c r="BT415" s="11"/>
      <c r="BU415" s="11"/>
      <c r="BV415" s="2"/>
      <c r="BW415" s="11"/>
    </row>
    <row r="416" spans="1:75" ht="30" x14ac:dyDescent="0.25">
      <c r="A416" s="2">
        <v>6200414</v>
      </c>
      <c r="B416" s="10">
        <v>46303.805902777778</v>
      </c>
      <c r="C416" s="11" t="s">
        <v>82</v>
      </c>
      <c r="D416" s="11"/>
      <c r="E416" s="11" t="s">
        <v>83</v>
      </c>
      <c r="F416" s="11"/>
      <c r="G416" s="11" t="s">
        <v>593</v>
      </c>
      <c r="H416" s="3"/>
      <c r="I416" s="11" t="s">
        <v>75</v>
      </c>
      <c r="J416" s="11"/>
      <c r="K416" s="11"/>
      <c r="L416" s="11"/>
      <c r="M416" s="11"/>
      <c r="N416" s="2">
        <v>1.25</v>
      </c>
      <c r="O416" s="2"/>
      <c r="P416" s="2"/>
      <c r="Q416" s="2"/>
      <c r="R416" s="11"/>
      <c r="S416" s="11" t="s">
        <v>506</v>
      </c>
      <c r="T416" s="11" t="s">
        <v>85</v>
      </c>
      <c r="U416" s="11"/>
      <c r="V416" s="11"/>
      <c r="W416" s="11"/>
      <c r="X416" s="11"/>
      <c r="Y416" s="11"/>
      <c r="Z416" s="11"/>
      <c r="AA416" s="11"/>
      <c r="AB416" s="9"/>
      <c r="AC416" s="2"/>
      <c r="AD416" s="9"/>
      <c r="AE416" s="2"/>
      <c r="AF416" s="9"/>
      <c r="AG416" s="10"/>
      <c r="AH416" s="11"/>
      <c r="AI416" s="11" t="s">
        <v>86</v>
      </c>
      <c r="AJ416" s="11"/>
      <c r="AK416" s="2"/>
      <c r="AL416" s="11"/>
      <c r="AM416" s="11"/>
      <c r="AN416" s="11"/>
      <c r="AO416" s="2"/>
      <c r="AP416" s="3"/>
      <c r="AQ416" s="11"/>
      <c r="AR416" s="3"/>
      <c r="AS416" s="2"/>
      <c r="AT416" s="11"/>
      <c r="AU416" s="2"/>
      <c r="AV416" s="2"/>
      <c r="AW416" s="2"/>
      <c r="AX416" s="11"/>
      <c r="AY416" s="11"/>
      <c r="AZ416" s="9"/>
      <c r="BA416" s="2">
        <v>1875</v>
      </c>
      <c r="BB416" s="11"/>
      <c r="BC416" s="11"/>
      <c r="BD416" s="11"/>
      <c r="BE416" s="11"/>
      <c r="BF416" s="11"/>
      <c r="BG416" s="11"/>
      <c r="BH416" s="11"/>
      <c r="BI416" s="11"/>
      <c r="BJ416" s="11" t="s">
        <v>87</v>
      </c>
      <c r="BK416" s="10">
        <v>46303.805902777778</v>
      </c>
      <c r="BL416" s="11"/>
      <c r="BM416" s="11"/>
      <c r="BN416" s="10">
        <v>46303.625</v>
      </c>
      <c r="BO416" s="11"/>
      <c r="BP416" s="11"/>
      <c r="BQ416" s="11"/>
      <c r="BR416" s="11"/>
      <c r="BS416" s="11"/>
      <c r="BT416" s="11"/>
      <c r="BU416" s="11"/>
      <c r="BV416" s="2"/>
      <c r="BW416" s="11"/>
    </row>
    <row r="417" spans="1:75" ht="30" x14ac:dyDescent="0.25">
      <c r="A417" s="2">
        <v>6200415</v>
      </c>
      <c r="B417" s="10">
        <v>46303.805902777778</v>
      </c>
      <c r="C417" s="11" t="s">
        <v>82</v>
      </c>
      <c r="D417" s="11"/>
      <c r="E417" s="11" t="s">
        <v>88</v>
      </c>
      <c r="F417" s="11"/>
      <c r="G417" s="11" t="s">
        <v>592</v>
      </c>
      <c r="H417" s="3"/>
      <c r="I417" s="11" t="s">
        <v>75</v>
      </c>
      <c r="J417" s="11"/>
      <c r="K417" s="11"/>
      <c r="L417" s="11"/>
      <c r="M417" s="11"/>
      <c r="N417" s="2">
        <v>1.25</v>
      </c>
      <c r="O417" s="2"/>
      <c r="P417" s="2"/>
      <c r="Q417" s="2"/>
      <c r="R417" s="11"/>
      <c r="S417" s="11" t="s">
        <v>507</v>
      </c>
      <c r="T417" s="11" t="s">
        <v>85</v>
      </c>
      <c r="U417" s="11"/>
      <c r="V417" s="11"/>
      <c r="W417" s="11"/>
      <c r="X417" s="11"/>
      <c r="Y417" s="11"/>
      <c r="Z417" s="11"/>
      <c r="AA417" s="11"/>
      <c r="AB417" s="9"/>
      <c r="AC417" s="2"/>
      <c r="AD417" s="9"/>
      <c r="AE417" s="2"/>
      <c r="AF417" s="9"/>
      <c r="AG417" s="10"/>
      <c r="AH417" s="11"/>
      <c r="AI417" s="11" t="s">
        <v>86</v>
      </c>
      <c r="AJ417" s="11"/>
      <c r="AK417" s="2"/>
      <c r="AL417" s="11"/>
      <c r="AM417" s="11"/>
      <c r="AN417" s="11"/>
      <c r="AO417" s="2"/>
      <c r="AP417" s="3"/>
      <c r="AQ417" s="11"/>
      <c r="AR417" s="3"/>
      <c r="AS417" s="2"/>
      <c r="AT417" s="11"/>
      <c r="AU417" s="2"/>
      <c r="AV417" s="2"/>
      <c r="AW417" s="2"/>
      <c r="AX417" s="11"/>
      <c r="AY417" s="11"/>
      <c r="AZ417" s="9"/>
      <c r="BA417" s="2">
        <v>1875</v>
      </c>
      <c r="BB417" s="11"/>
      <c r="BC417" s="11"/>
      <c r="BD417" s="11"/>
      <c r="BE417" s="11"/>
      <c r="BF417" s="11"/>
      <c r="BG417" s="11"/>
      <c r="BH417" s="11"/>
      <c r="BI417" s="11"/>
      <c r="BJ417" s="11" t="s">
        <v>87</v>
      </c>
      <c r="BK417" s="10">
        <v>46303.805902777778</v>
      </c>
      <c r="BL417" s="11"/>
      <c r="BM417" s="11"/>
      <c r="BN417" s="10">
        <v>46303.625</v>
      </c>
      <c r="BO417" s="11"/>
      <c r="BP417" s="11"/>
      <c r="BQ417" s="11"/>
      <c r="BR417" s="11"/>
      <c r="BS417" s="11"/>
      <c r="BT417" s="11"/>
      <c r="BU417" s="11"/>
      <c r="BV417" s="2"/>
      <c r="BW417" s="11"/>
    </row>
    <row r="418" spans="1:75" ht="30" x14ac:dyDescent="0.25">
      <c r="A418" s="2">
        <v>6200416</v>
      </c>
      <c r="B418" s="10">
        <v>46303.805902777778</v>
      </c>
      <c r="C418" s="11" t="s">
        <v>82</v>
      </c>
      <c r="D418" s="11"/>
      <c r="E418" s="11" t="s">
        <v>92</v>
      </c>
      <c r="F418" s="11"/>
      <c r="G418" s="11" t="s">
        <v>89</v>
      </c>
      <c r="H418" s="3"/>
      <c r="I418" s="11" t="s">
        <v>90</v>
      </c>
      <c r="J418" s="11"/>
      <c r="K418" s="11"/>
      <c r="L418" s="11"/>
      <c r="M418" s="11"/>
      <c r="N418" s="2">
        <v>1.25</v>
      </c>
      <c r="O418" s="2"/>
      <c r="P418" s="2"/>
      <c r="Q418" s="2"/>
      <c r="R418" s="11"/>
      <c r="S418" s="11" t="s">
        <v>508</v>
      </c>
      <c r="T418" s="11" t="s">
        <v>85</v>
      </c>
      <c r="U418" s="11"/>
      <c r="V418" s="11"/>
      <c r="W418" s="11"/>
      <c r="X418" s="11"/>
      <c r="Y418" s="11"/>
      <c r="Z418" s="11"/>
      <c r="AA418" s="11"/>
      <c r="AB418" s="9"/>
      <c r="AC418" s="2"/>
      <c r="AD418" s="9"/>
      <c r="AE418" s="2"/>
      <c r="AF418" s="9"/>
      <c r="AG418" s="10"/>
      <c r="AH418" s="11"/>
      <c r="AI418" s="11" t="s">
        <v>86</v>
      </c>
      <c r="AJ418" s="11"/>
      <c r="AK418" s="2"/>
      <c r="AL418" s="11"/>
      <c r="AM418" s="11"/>
      <c r="AN418" s="11"/>
      <c r="AO418" s="2"/>
      <c r="AP418" s="3"/>
      <c r="AQ418" s="11"/>
      <c r="AR418" s="3"/>
      <c r="AS418" s="2"/>
      <c r="AT418" s="11"/>
      <c r="AU418" s="2"/>
      <c r="AV418" s="2"/>
      <c r="AW418" s="2"/>
      <c r="AX418" s="11"/>
      <c r="AY418" s="11"/>
      <c r="AZ418" s="9"/>
      <c r="BA418" s="2">
        <v>1875</v>
      </c>
      <c r="BB418" s="11"/>
      <c r="BC418" s="11"/>
      <c r="BD418" s="11"/>
      <c r="BE418" s="11"/>
      <c r="BF418" s="11"/>
      <c r="BG418" s="11"/>
      <c r="BH418" s="11"/>
      <c r="BI418" s="11"/>
      <c r="BJ418" s="11" t="s">
        <v>87</v>
      </c>
      <c r="BK418" s="10">
        <v>46303.805902777778</v>
      </c>
      <c r="BL418" s="11"/>
      <c r="BM418" s="11"/>
      <c r="BN418" s="10">
        <v>46303.625</v>
      </c>
      <c r="BO418" s="11"/>
      <c r="BP418" s="11"/>
      <c r="BQ418" s="11"/>
      <c r="BR418" s="11"/>
      <c r="BS418" s="11"/>
      <c r="BT418" s="11"/>
      <c r="BU418" s="11"/>
      <c r="BV418" s="2"/>
      <c r="BW418" s="11"/>
    </row>
    <row r="419" spans="1:75" ht="30" x14ac:dyDescent="0.25">
      <c r="A419" s="2">
        <v>6200417</v>
      </c>
      <c r="B419" s="10">
        <v>46303.805902777778</v>
      </c>
      <c r="C419" s="11" t="s">
        <v>82</v>
      </c>
      <c r="D419" s="11"/>
      <c r="E419" s="11" t="s">
        <v>83</v>
      </c>
      <c r="F419" s="11"/>
      <c r="G419" s="2">
        <v>470123456</v>
      </c>
      <c r="H419" s="3"/>
      <c r="I419" s="11" t="s">
        <v>75</v>
      </c>
      <c r="J419" s="11"/>
      <c r="K419" s="11"/>
      <c r="L419" s="11"/>
      <c r="M419" s="11"/>
      <c r="N419" s="2">
        <v>1.25</v>
      </c>
      <c r="O419" s="2"/>
      <c r="P419" s="2"/>
      <c r="Q419" s="2"/>
      <c r="R419" s="11"/>
      <c r="S419" s="11" t="s">
        <v>509</v>
      </c>
      <c r="T419" s="11" t="s">
        <v>85</v>
      </c>
      <c r="U419" s="11"/>
      <c r="V419" s="11"/>
      <c r="W419" s="11"/>
      <c r="X419" s="11"/>
      <c r="Y419" s="11"/>
      <c r="Z419" s="11"/>
      <c r="AA419" s="11"/>
      <c r="AB419" s="9"/>
      <c r="AC419" s="2"/>
      <c r="AD419" s="9"/>
      <c r="AE419" s="2"/>
      <c r="AF419" s="9"/>
      <c r="AG419" s="10"/>
      <c r="AH419" s="11"/>
      <c r="AI419" s="11" t="s">
        <v>86</v>
      </c>
      <c r="AJ419" s="11"/>
      <c r="AK419" s="2"/>
      <c r="AL419" s="11"/>
      <c r="AM419" s="11"/>
      <c r="AN419" s="11"/>
      <c r="AO419" s="2"/>
      <c r="AP419" s="3"/>
      <c r="AQ419" s="11"/>
      <c r="AR419" s="3"/>
      <c r="AS419" s="2"/>
      <c r="AT419" s="11"/>
      <c r="AU419" s="2"/>
      <c r="AV419" s="2"/>
      <c r="AW419" s="2"/>
      <c r="AX419" s="11"/>
      <c r="AY419" s="11"/>
      <c r="AZ419" s="9"/>
      <c r="BA419" s="2">
        <v>1875</v>
      </c>
      <c r="BB419" s="11"/>
      <c r="BC419" s="11"/>
      <c r="BD419" s="11"/>
      <c r="BE419" s="11"/>
      <c r="BF419" s="11"/>
      <c r="BG419" s="11"/>
      <c r="BH419" s="11"/>
      <c r="BI419" s="11"/>
      <c r="BJ419" s="11" t="s">
        <v>87</v>
      </c>
      <c r="BK419" s="10">
        <v>46303.805902777778</v>
      </c>
      <c r="BL419" s="11"/>
      <c r="BM419" s="11"/>
      <c r="BN419" s="10">
        <v>46303.625</v>
      </c>
      <c r="BO419" s="11"/>
      <c r="BP419" s="11"/>
      <c r="BQ419" s="11"/>
      <c r="BR419" s="11"/>
      <c r="BS419" s="11"/>
      <c r="BT419" s="11"/>
      <c r="BU419" s="11"/>
      <c r="BV419" s="2"/>
      <c r="BW419" s="11"/>
    </row>
    <row r="420" spans="1:75" ht="30" x14ac:dyDescent="0.25">
      <c r="A420" s="2">
        <v>6200418</v>
      </c>
      <c r="B420" s="10">
        <v>46303.805902777778</v>
      </c>
      <c r="C420" s="11" t="s">
        <v>82</v>
      </c>
      <c r="D420" s="11"/>
      <c r="E420" s="11" t="s">
        <v>88</v>
      </c>
      <c r="F420" s="11"/>
      <c r="G420" s="11" t="s">
        <v>94</v>
      </c>
      <c r="H420" s="3"/>
      <c r="I420" s="11" t="s">
        <v>90</v>
      </c>
      <c r="J420" s="11"/>
      <c r="K420" s="11"/>
      <c r="L420" s="11"/>
      <c r="M420" s="11"/>
      <c r="N420" s="2">
        <v>1.25</v>
      </c>
      <c r="O420" s="2"/>
      <c r="P420" s="2"/>
      <c r="Q420" s="2"/>
      <c r="R420" s="11"/>
      <c r="S420" s="11" t="s">
        <v>510</v>
      </c>
      <c r="T420" s="11" t="s">
        <v>85</v>
      </c>
      <c r="U420" s="11"/>
      <c r="V420" s="11"/>
      <c r="W420" s="11"/>
      <c r="X420" s="11"/>
      <c r="Y420" s="11"/>
      <c r="Z420" s="11"/>
      <c r="AA420" s="11"/>
      <c r="AB420" s="9"/>
      <c r="AC420" s="2"/>
      <c r="AD420" s="9"/>
      <c r="AE420" s="2"/>
      <c r="AF420" s="9"/>
      <c r="AG420" s="10"/>
      <c r="AH420" s="11"/>
      <c r="AI420" s="11" t="s">
        <v>86</v>
      </c>
      <c r="AJ420" s="11"/>
      <c r="AK420" s="2"/>
      <c r="AL420" s="11"/>
      <c r="AM420" s="11"/>
      <c r="AN420" s="11"/>
      <c r="AO420" s="2"/>
      <c r="AP420" s="3"/>
      <c r="AQ420" s="11"/>
      <c r="AR420" s="3"/>
      <c r="AS420" s="2"/>
      <c r="AT420" s="11"/>
      <c r="AU420" s="2"/>
      <c r="AV420" s="2"/>
      <c r="AW420" s="2"/>
      <c r="AX420" s="11"/>
      <c r="AY420" s="11"/>
      <c r="AZ420" s="9"/>
      <c r="BA420" s="2">
        <v>1875</v>
      </c>
      <c r="BB420" s="11"/>
      <c r="BC420" s="11"/>
      <c r="BD420" s="11"/>
      <c r="BE420" s="11"/>
      <c r="BF420" s="11"/>
      <c r="BG420" s="11"/>
      <c r="BH420" s="11"/>
      <c r="BI420" s="11"/>
      <c r="BJ420" s="11" t="s">
        <v>87</v>
      </c>
      <c r="BK420" s="10">
        <v>46303.805902777778</v>
      </c>
      <c r="BL420" s="11"/>
      <c r="BM420" s="11"/>
      <c r="BN420" s="10">
        <v>46303.625</v>
      </c>
      <c r="BO420" s="11"/>
      <c r="BP420" s="11"/>
      <c r="BQ420" s="11"/>
      <c r="BR420" s="11"/>
      <c r="BS420" s="11"/>
      <c r="BT420" s="11"/>
      <c r="BU420" s="11"/>
      <c r="BV420" s="2"/>
      <c r="BW420" s="11"/>
    </row>
    <row r="421" spans="1:75" ht="30" x14ac:dyDescent="0.25">
      <c r="A421" s="2">
        <v>6200419</v>
      </c>
      <c r="B421" s="10">
        <v>46303.805902777778</v>
      </c>
      <c r="C421" s="11" t="s">
        <v>82</v>
      </c>
      <c r="D421" s="11"/>
      <c r="E421" s="11" t="s">
        <v>92</v>
      </c>
      <c r="F421" s="11"/>
      <c r="G421" s="11" t="s">
        <v>593</v>
      </c>
      <c r="H421" s="3"/>
      <c r="I421" s="11" t="s">
        <v>75</v>
      </c>
      <c r="J421" s="11"/>
      <c r="K421" s="11"/>
      <c r="L421" s="11"/>
      <c r="M421" s="11"/>
      <c r="N421" s="2">
        <v>1.25</v>
      </c>
      <c r="O421" s="2"/>
      <c r="P421" s="2"/>
      <c r="Q421" s="2"/>
      <c r="R421" s="11"/>
      <c r="S421" s="11" t="s">
        <v>511</v>
      </c>
      <c r="T421" s="11" t="s">
        <v>85</v>
      </c>
      <c r="U421" s="11"/>
      <c r="V421" s="11"/>
      <c r="W421" s="11"/>
      <c r="X421" s="11"/>
      <c r="Y421" s="11"/>
      <c r="Z421" s="11"/>
      <c r="AA421" s="11"/>
      <c r="AB421" s="9"/>
      <c r="AC421" s="2"/>
      <c r="AD421" s="9"/>
      <c r="AE421" s="2"/>
      <c r="AF421" s="9"/>
      <c r="AG421" s="10"/>
      <c r="AH421" s="11"/>
      <c r="AI421" s="11" t="s">
        <v>86</v>
      </c>
      <c r="AJ421" s="11"/>
      <c r="AK421" s="2"/>
      <c r="AL421" s="11"/>
      <c r="AM421" s="11"/>
      <c r="AN421" s="11"/>
      <c r="AO421" s="2"/>
      <c r="AP421" s="3"/>
      <c r="AQ421" s="11"/>
      <c r="AR421" s="3"/>
      <c r="AS421" s="2"/>
      <c r="AT421" s="11"/>
      <c r="AU421" s="2"/>
      <c r="AV421" s="2"/>
      <c r="AW421" s="2"/>
      <c r="AX421" s="11"/>
      <c r="AY421" s="11"/>
      <c r="AZ421" s="9"/>
      <c r="BA421" s="2">
        <v>1875</v>
      </c>
      <c r="BB421" s="11"/>
      <c r="BC421" s="11"/>
      <c r="BD421" s="11"/>
      <c r="BE421" s="11"/>
      <c r="BF421" s="11"/>
      <c r="BG421" s="11"/>
      <c r="BH421" s="11"/>
      <c r="BI421" s="11"/>
      <c r="BJ421" s="11" t="s">
        <v>87</v>
      </c>
      <c r="BK421" s="10">
        <v>46303.805902777778</v>
      </c>
      <c r="BL421" s="11"/>
      <c r="BM421" s="11"/>
      <c r="BN421" s="10">
        <v>46303.625</v>
      </c>
      <c r="BO421" s="11"/>
      <c r="BP421" s="11"/>
      <c r="BQ421" s="11"/>
      <c r="BR421" s="11"/>
      <c r="BS421" s="11"/>
      <c r="BT421" s="11"/>
      <c r="BU421" s="11"/>
      <c r="BV421" s="2"/>
      <c r="BW421" s="11"/>
    </row>
    <row r="422" spans="1:75" ht="30" x14ac:dyDescent="0.25">
      <c r="A422" s="2">
        <v>6200420</v>
      </c>
      <c r="B422" s="10">
        <v>46303.805902777778</v>
      </c>
      <c r="C422" s="11" t="s">
        <v>82</v>
      </c>
      <c r="D422" s="11"/>
      <c r="E422" s="11" t="s">
        <v>83</v>
      </c>
      <c r="F422" s="11"/>
      <c r="G422" s="11" t="s">
        <v>592</v>
      </c>
      <c r="H422" s="3"/>
      <c r="I422" s="11" t="s">
        <v>75</v>
      </c>
      <c r="J422" s="11"/>
      <c r="K422" s="11"/>
      <c r="L422" s="11"/>
      <c r="M422" s="11"/>
      <c r="N422" s="2">
        <v>1.25</v>
      </c>
      <c r="O422" s="2"/>
      <c r="P422" s="2"/>
      <c r="Q422" s="2"/>
      <c r="R422" s="11"/>
      <c r="S422" s="11" t="s">
        <v>512</v>
      </c>
      <c r="T422" s="11" t="s">
        <v>85</v>
      </c>
      <c r="U422" s="11"/>
      <c r="V422" s="11"/>
      <c r="W422" s="11"/>
      <c r="X422" s="11"/>
      <c r="Y422" s="11"/>
      <c r="Z422" s="11"/>
      <c r="AA422" s="11"/>
      <c r="AB422" s="9"/>
      <c r="AC422" s="2"/>
      <c r="AD422" s="9"/>
      <c r="AE422" s="2"/>
      <c r="AF422" s="9"/>
      <c r="AG422" s="10"/>
      <c r="AH422" s="11"/>
      <c r="AI422" s="11" t="s">
        <v>86</v>
      </c>
      <c r="AJ422" s="11"/>
      <c r="AK422" s="2"/>
      <c r="AL422" s="11"/>
      <c r="AM422" s="11"/>
      <c r="AN422" s="11"/>
      <c r="AO422" s="2"/>
      <c r="AP422" s="3"/>
      <c r="AQ422" s="11"/>
      <c r="AR422" s="3"/>
      <c r="AS422" s="2"/>
      <c r="AT422" s="11"/>
      <c r="AU422" s="2"/>
      <c r="AV422" s="2"/>
      <c r="AW422" s="2"/>
      <c r="AX422" s="11"/>
      <c r="AY422" s="11"/>
      <c r="AZ422" s="9"/>
      <c r="BA422" s="2">
        <v>1875</v>
      </c>
      <c r="BB422" s="11"/>
      <c r="BC422" s="11"/>
      <c r="BD422" s="11"/>
      <c r="BE422" s="11"/>
      <c r="BF422" s="11"/>
      <c r="BG422" s="11"/>
      <c r="BH422" s="11"/>
      <c r="BI422" s="11"/>
      <c r="BJ422" s="11" t="s">
        <v>87</v>
      </c>
      <c r="BK422" s="10">
        <v>46303.805902777778</v>
      </c>
      <c r="BL422" s="11"/>
      <c r="BM422" s="11"/>
      <c r="BN422" s="10">
        <v>46303.625</v>
      </c>
      <c r="BO422" s="11"/>
      <c r="BP422" s="11"/>
      <c r="BQ422" s="11"/>
      <c r="BR422" s="11"/>
      <c r="BS422" s="11"/>
      <c r="BT422" s="11"/>
      <c r="BU422" s="11"/>
      <c r="BV422" s="2"/>
      <c r="BW422" s="11"/>
    </row>
    <row r="423" spans="1:75" ht="30" x14ac:dyDescent="0.25">
      <c r="A423" s="2">
        <v>6200421</v>
      </c>
      <c r="B423" s="10">
        <v>46303.805902777778</v>
      </c>
      <c r="C423" s="11" t="s">
        <v>82</v>
      </c>
      <c r="D423" s="11"/>
      <c r="E423" s="11" t="s">
        <v>88</v>
      </c>
      <c r="F423" s="11"/>
      <c r="G423" s="11" t="s">
        <v>89</v>
      </c>
      <c r="H423" s="3"/>
      <c r="I423" s="11" t="s">
        <v>90</v>
      </c>
      <c r="J423" s="11"/>
      <c r="K423" s="11"/>
      <c r="L423" s="11"/>
      <c r="M423" s="11"/>
      <c r="N423" s="2">
        <v>1.25</v>
      </c>
      <c r="O423" s="2"/>
      <c r="P423" s="2"/>
      <c r="Q423" s="2"/>
      <c r="R423" s="11"/>
      <c r="S423" s="11" t="s">
        <v>513</v>
      </c>
      <c r="T423" s="11" t="s">
        <v>85</v>
      </c>
      <c r="U423" s="11"/>
      <c r="V423" s="11"/>
      <c r="W423" s="11"/>
      <c r="X423" s="11"/>
      <c r="Y423" s="11"/>
      <c r="Z423" s="11"/>
      <c r="AA423" s="11"/>
      <c r="AB423" s="9"/>
      <c r="AC423" s="2"/>
      <c r="AD423" s="9"/>
      <c r="AE423" s="2"/>
      <c r="AF423" s="9"/>
      <c r="AG423" s="10"/>
      <c r="AH423" s="11"/>
      <c r="AI423" s="11" t="s">
        <v>86</v>
      </c>
      <c r="AJ423" s="11"/>
      <c r="AK423" s="2"/>
      <c r="AL423" s="11"/>
      <c r="AM423" s="11"/>
      <c r="AN423" s="11"/>
      <c r="AO423" s="2"/>
      <c r="AP423" s="3"/>
      <c r="AQ423" s="11"/>
      <c r="AR423" s="3"/>
      <c r="AS423" s="2"/>
      <c r="AT423" s="11"/>
      <c r="AU423" s="2"/>
      <c r="AV423" s="2"/>
      <c r="AW423" s="2"/>
      <c r="AX423" s="11"/>
      <c r="AY423" s="11"/>
      <c r="AZ423" s="9"/>
      <c r="BA423" s="2">
        <v>1875</v>
      </c>
      <c r="BB423" s="11"/>
      <c r="BC423" s="11"/>
      <c r="BD423" s="11"/>
      <c r="BE423" s="11"/>
      <c r="BF423" s="11"/>
      <c r="BG423" s="11"/>
      <c r="BH423" s="11"/>
      <c r="BI423" s="11"/>
      <c r="BJ423" s="11" t="s">
        <v>87</v>
      </c>
      <c r="BK423" s="10">
        <v>46303.805902777778</v>
      </c>
      <c r="BL423" s="11"/>
      <c r="BM423" s="11"/>
      <c r="BN423" s="10">
        <v>46303.625</v>
      </c>
      <c r="BO423" s="11"/>
      <c r="BP423" s="11"/>
      <c r="BQ423" s="11"/>
      <c r="BR423" s="11"/>
      <c r="BS423" s="11"/>
      <c r="BT423" s="11"/>
      <c r="BU423" s="11"/>
      <c r="BV423" s="2"/>
      <c r="BW423" s="11"/>
    </row>
    <row r="424" spans="1:75" ht="30" x14ac:dyDescent="0.25">
      <c r="A424" s="2">
        <v>6200422</v>
      </c>
      <c r="B424" s="10">
        <v>46303.805902777778</v>
      </c>
      <c r="C424" s="11" t="s">
        <v>82</v>
      </c>
      <c r="D424" s="11"/>
      <c r="E424" s="11" t="s">
        <v>92</v>
      </c>
      <c r="F424" s="11"/>
      <c r="G424" s="2">
        <v>470123456</v>
      </c>
      <c r="H424" s="3"/>
      <c r="I424" s="11" t="s">
        <v>75</v>
      </c>
      <c r="J424" s="11"/>
      <c r="K424" s="11"/>
      <c r="L424" s="11"/>
      <c r="M424" s="11"/>
      <c r="N424" s="2">
        <v>1.25</v>
      </c>
      <c r="O424" s="2"/>
      <c r="P424" s="2"/>
      <c r="Q424" s="2"/>
      <c r="R424" s="11"/>
      <c r="S424" s="11" t="s">
        <v>514</v>
      </c>
      <c r="T424" s="11" t="s">
        <v>85</v>
      </c>
      <c r="U424" s="11"/>
      <c r="V424" s="11"/>
      <c r="W424" s="11"/>
      <c r="X424" s="11"/>
      <c r="Y424" s="11"/>
      <c r="Z424" s="11"/>
      <c r="AA424" s="11"/>
      <c r="AB424" s="9"/>
      <c r="AC424" s="2"/>
      <c r="AD424" s="9"/>
      <c r="AE424" s="2"/>
      <c r="AF424" s="9"/>
      <c r="AG424" s="10"/>
      <c r="AH424" s="11"/>
      <c r="AI424" s="11" t="s">
        <v>86</v>
      </c>
      <c r="AJ424" s="11"/>
      <c r="AK424" s="2"/>
      <c r="AL424" s="11"/>
      <c r="AM424" s="11"/>
      <c r="AN424" s="11"/>
      <c r="AO424" s="2"/>
      <c r="AP424" s="3"/>
      <c r="AQ424" s="11"/>
      <c r="AR424" s="3"/>
      <c r="AS424" s="2"/>
      <c r="AT424" s="11"/>
      <c r="AU424" s="2"/>
      <c r="AV424" s="2"/>
      <c r="AW424" s="2"/>
      <c r="AX424" s="11"/>
      <c r="AY424" s="11"/>
      <c r="AZ424" s="9"/>
      <c r="BA424" s="2">
        <v>1875</v>
      </c>
      <c r="BB424" s="11"/>
      <c r="BC424" s="11"/>
      <c r="BD424" s="11"/>
      <c r="BE424" s="11"/>
      <c r="BF424" s="11"/>
      <c r="BG424" s="11"/>
      <c r="BH424" s="11"/>
      <c r="BI424" s="11"/>
      <c r="BJ424" s="11" t="s">
        <v>87</v>
      </c>
      <c r="BK424" s="10">
        <v>46303.805902777778</v>
      </c>
      <c r="BL424" s="11"/>
      <c r="BM424" s="11"/>
      <c r="BN424" s="10">
        <v>46303.625</v>
      </c>
      <c r="BO424" s="11"/>
      <c r="BP424" s="11"/>
      <c r="BQ424" s="11"/>
      <c r="BR424" s="11"/>
      <c r="BS424" s="11"/>
      <c r="BT424" s="11"/>
      <c r="BU424" s="11"/>
      <c r="BV424" s="2"/>
      <c r="BW424" s="11"/>
    </row>
    <row r="425" spans="1:75" ht="30" x14ac:dyDescent="0.25">
      <c r="A425" s="2">
        <v>6200423</v>
      </c>
      <c r="B425" s="10">
        <v>46303.805902777778</v>
      </c>
      <c r="C425" s="11" t="s">
        <v>82</v>
      </c>
      <c r="D425" s="11"/>
      <c r="E425" s="11" t="s">
        <v>83</v>
      </c>
      <c r="F425" s="11"/>
      <c r="G425" s="11" t="s">
        <v>94</v>
      </c>
      <c r="H425" s="3"/>
      <c r="I425" s="11" t="s">
        <v>90</v>
      </c>
      <c r="J425" s="11"/>
      <c r="K425" s="11"/>
      <c r="L425" s="11"/>
      <c r="M425" s="11"/>
      <c r="N425" s="2">
        <v>1.25</v>
      </c>
      <c r="O425" s="2"/>
      <c r="P425" s="2"/>
      <c r="Q425" s="2"/>
      <c r="R425" s="11"/>
      <c r="S425" s="11" t="s">
        <v>515</v>
      </c>
      <c r="T425" s="11" t="s">
        <v>85</v>
      </c>
      <c r="U425" s="11"/>
      <c r="V425" s="11"/>
      <c r="W425" s="11"/>
      <c r="X425" s="11"/>
      <c r="Y425" s="11"/>
      <c r="Z425" s="11"/>
      <c r="AA425" s="11"/>
      <c r="AB425" s="9"/>
      <c r="AC425" s="2"/>
      <c r="AD425" s="9"/>
      <c r="AE425" s="2"/>
      <c r="AF425" s="9"/>
      <c r="AG425" s="10"/>
      <c r="AH425" s="11"/>
      <c r="AI425" s="11" t="s">
        <v>86</v>
      </c>
      <c r="AJ425" s="11"/>
      <c r="AK425" s="2"/>
      <c r="AL425" s="11"/>
      <c r="AM425" s="11"/>
      <c r="AN425" s="11"/>
      <c r="AO425" s="2"/>
      <c r="AP425" s="3"/>
      <c r="AQ425" s="11"/>
      <c r="AR425" s="3"/>
      <c r="AS425" s="2"/>
      <c r="AT425" s="11"/>
      <c r="AU425" s="2"/>
      <c r="AV425" s="2"/>
      <c r="AW425" s="2"/>
      <c r="AX425" s="11"/>
      <c r="AY425" s="11"/>
      <c r="AZ425" s="9"/>
      <c r="BA425" s="2">
        <v>1875</v>
      </c>
      <c r="BB425" s="11"/>
      <c r="BC425" s="11"/>
      <c r="BD425" s="11"/>
      <c r="BE425" s="11"/>
      <c r="BF425" s="11"/>
      <c r="BG425" s="11"/>
      <c r="BH425" s="11"/>
      <c r="BI425" s="11"/>
      <c r="BJ425" s="11" t="s">
        <v>87</v>
      </c>
      <c r="BK425" s="10">
        <v>46303.805902777778</v>
      </c>
      <c r="BL425" s="11"/>
      <c r="BM425" s="11"/>
      <c r="BN425" s="10">
        <v>46303.625</v>
      </c>
      <c r="BO425" s="11"/>
      <c r="BP425" s="11"/>
      <c r="BQ425" s="11"/>
      <c r="BR425" s="11"/>
      <c r="BS425" s="11"/>
      <c r="BT425" s="11"/>
      <c r="BU425" s="11"/>
      <c r="BV425" s="2"/>
      <c r="BW425" s="11"/>
    </row>
    <row r="426" spans="1:75" ht="30" x14ac:dyDescent="0.25">
      <c r="A426" s="2">
        <v>6200424</v>
      </c>
      <c r="B426" s="10">
        <v>46303.805902777778</v>
      </c>
      <c r="C426" s="11" t="s">
        <v>82</v>
      </c>
      <c r="D426" s="11"/>
      <c r="E426" s="11" t="s">
        <v>88</v>
      </c>
      <c r="F426" s="11"/>
      <c r="G426" s="11" t="s">
        <v>593</v>
      </c>
      <c r="H426" s="3"/>
      <c r="I426" s="11" t="s">
        <v>75</v>
      </c>
      <c r="J426" s="11"/>
      <c r="K426" s="11"/>
      <c r="L426" s="11"/>
      <c r="M426" s="11"/>
      <c r="N426" s="2">
        <v>1.25</v>
      </c>
      <c r="O426" s="2"/>
      <c r="P426" s="2"/>
      <c r="Q426" s="2"/>
      <c r="R426" s="11"/>
      <c r="S426" s="11" t="s">
        <v>516</v>
      </c>
      <c r="T426" s="11" t="s">
        <v>85</v>
      </c>
      <c r="U426" s="11"/>
      <c r="V426" s="11"/>
      <c r="W426" s="11"/>
      <c r="X426" s="11"/>
      <c r="Y426" s="11"/>
      <c r="Z426" s="11"/>
      <c r="AA426" s="11"/>
      <c r="AB426" s="9"/>
      <c r="AC426" s="2"/>
      <c r="AD426" s="9"/>
      <c r="AE426" s="2"/>
      <c r="AF426" s="9"/>
      <c r="AG426" s="10"/>
      <c r="AH426" s="11"/>
      <c r="AI426" s="11" t="s">
        <v>86</v>
      </c>
      <c r="AJ426" s="11"/>
      <c r="AK426" s="2"/>
      <c r="AL426" s="11"/>
      <c r="AM426" s="11"/>
      <c r="AN426" s="11"/>
      <c r="AO426" s="2"/>
      <c r="AP426" s="3"/>
      <c r="AQ426" s="11"/>
      <c r="AR426" s="3"/>
      <c r="AS426" s="2"/>
      <c r="AT426" s="11"/>
      <c r="AU426" s="2"/>
      <c r="AV426" s="2"/>
      <c r="AW426" s="2"/>
      <c r="AX426" s="11"/>
      <c r="AY426" s="11"/>
      <c r="AZ426" s="9"/>
      <c r="BA426" s="2">
        <v>1875</v>
      </c>
      <c r="BB426" s="11"/>
      <c r="BC426" s="11"/>
      <c r="BD426" s="11"/>
      <c r="BE426" s="11"/>
      <c r="BF426" s="11"/>
      <c r="BG426" s="11"/>
      <c r="BH426" s="11"/>
      <c r="BI426" s="11"/>
      <c r="BJ426" s="11" t="s">
        <v>87</v>
      </c>
      <c r="BK426" s="10">
        <v>46303.805902777778</v>
      </c>
      <c r="BL426" s="11"/>
      <c r="BM426" s="11"/>
      <c r="BN426" s="10">
        <v>46303.625</v>
      </c>
      <c r="BO426" s="11"/>
      <c r="BP426" s="11"/>
      <c r="BQ426" s="11"/>
      <c r="BR426" s="11"/>
      <c r="BS426" s="11"/>
      <c r="BT426" s="11"/>
      <c r="BU426" s="11"/>
      <c r="BV426" s="2"/>
      <c r="BW426" s="11"/>
    </row>
    <row r="427" spans="1:75" ht="30" x14ac:dyDescent="0.25">
      <c r="A427" s="2">
        <v>6200425</v>
      </c>
      <c r="B427" s="10">
        <v>46303.805902777778</v>
      </c>
      <c r="C427" s="11" t="s">
        <v>82</v>
      </c>
      <c r="D427" s="11"/>
      <c r="E427" s="11" t="s">
        <v>92</v>
      </c>
      <c r="F427" s="11"/>
      <c r="G427" s="11" t="s">
        <v>592</v>
      </c>
      <c r="H427" s="3"/>
      <c r="I427" s="11" t="s">
        <v>75</v>
      </c>
      <c r="J427" s="11"/>
      <c r="K427" s="11"/>
      <c r="L427" s="11"/>
      <c r="M427" s="11"/>
      <c r="N427" s="2">
        <v>1.25</v>
      </c>
      <c r="O427" s="2"/>
      <c r="P427" s="2"/>
      <c r="Q427" s="2"/>
      <c r="R427" s="11"/>
      <c r="S427" s="11" t="s">
        <v>517</v>
      </c>
      <c r="T427" s="11" t="s">
        <v>85</v>
      </c>
      <c r="U427" s="11"/>
      <c r="V427" s="11"/>
      <c r="W427" s="11"/>
      <c r="X427" s="11"/>
      <c r="Y427" s="11"/>
      <c r="Z427" s="11"/>
      <c r="AA427" s="11"/>
      <c r="AB427" s="9"/>
      <c r="AC427" s="2"/>
      <c r="AD427" s="9"/>
      <c r="AE427" s="2"/>
      <c r="AF427" s="9"/>
      <c r="AG427" s="10"/>
      <c r="AH427" s="11"/>
      <c r="AI427" s="11" t="s">
        <v>86</v>
      </c>
      <c r="AJ427" s="11"/>
      <c r="AK427" s="2"/>
      <c r="AL427" s="11"/>
      <c r="AM427" s="11"/>
      <c r="AN427" s="11"/>
      <c r="AO427" s="2"/>
      <c r="AP427" s="3"/>
      <c r="AQ427" s="11"/>
      <c r="AR427" s="3"/>
      <c r="AS427" s="2"/>
      <c r="AT427" s="11"/>
      <c r="AU427" s="2"/>
      <c r="AV427" s="2"/>
      <c r="AW427" s="2"/>
      <c r="AX427" s="11"/>
      <c r="AY427" s="11"/>
      <c r="AZ427" s="9"/>
      <c r="BA427" s="2">
        <v>1875</v>
      </c>
      <c r="BB427" s="11"/>
      <c r="BC427" s="11"/>
      <c r="BD427" s="11"/>
      <c r="BE427" s="11"/>
      <c r="BF427" s="11"/>
      <c r="BG427" s="11"/>
      <c r="BH427" s="11"/>
      <c r="BI427" s="11"/>
      <c r="BJ427" s="11" t="s">
        <v>87</v>
      </c>
      <c r="BK427" s="10">
        <v>46303.805902777778</v>
      </c>
      <c r="BL427" s="11"/>
      <c r="BM427" s="11"/>
      <c r="BN427" s="10">
        <v>46303.625</v>
      </c>
      <c r="BO427" s="11"/>
      <c r="BP427" s="11"/>
      <c r="BQ427" s="11"/>
      <c r="BR427" s="11"/>
      <c r="BS427" s="11"/>
      <c r="BT427" s="11"/>
      <c r="BU427" s="11"/>
      <c r="BV427" s="2"/>
      <c r="BW427" s="11"/>
    </row>
    <row r="428" spans="1:75" ht="30" x14ac:dyDescent="0.25">
      <c r="A428" s="2">
        <v>6200426</v>
      </c>
      <c r="B428" s="10">
        <v>46303.805902777778</v>
      </c>
      <c r="C428" s="11" t="s">
        <v>82</v>
      </c>
      <c r="D428" s="11"/>
      <c r="E428" s="11" t="s">
        <v>83</v>
      </c>
      <c r="F428" s="11"/>
      <c r="G428" s="11" t="s">
        <v>89</v>
      </c>
      <c r="H428" s="3"/>
      <c r="I428" s="11" t="s">
        <v>90</v>
      </c>
      <c r="J428" s="11"/>
      <c r="K428" s="11"/>
      <c r="L428" s="11"/>
      <c r="M428" s="11"/>
      <c r="N428" s="2">
        <v>1.25</v>
      </c>
      <c r="O428" s="2"/>
      <c r="P428" s="2"/>
      <c r="Q428" s="2"/>
      <c r="R428" s="11"/>
      <c r="S428" s="11" t="s">
        <v>518</v>
      </c>
      <c r="T428" s="11" t="s">
        <v>85</v>
      </c>
      <c r="U428" s="11"/>
      <c r="V428" s="11"/>
      <c r="W428" s="11"/>
      <c r="X428" s="11"/>
      <c r="Y428" s="11"/>
      <c r="Z428" s="11"/>
      <c r="AA428" s="11"/>
      <c r="AB428" s="9"/>
      <c r="AC428" s="2"/>
      <c r="AD428" s="9"/>
      <c r="AE428" s="2"/>
      <c r="AF428" s="9"/>
      <c r="AG428" s="10"/>
      <c r="AH428" s="11"/>
      <c r="AI428" s="11" t="s">
        <v>86</v>
      </c>
      <c r="AJ428" s="11"/>
      <c r="AK428" s="2"/>
      <c r="AL428" s="11"/>
      <c r="AM428" s="11"/>
      <c r="AN428" s="11"/>
      <c r="AO428" s="2"/>
      <c r="AP428" s="3"/>
      <c r="AQ428" s="11"/>
      <c r="AR428" s="3"/>
      <c r="AS428" s="2"/>
      <c r="AT428" s="11"/>
      <c r="AU428" s="2"/>
      <c r="AV428" s="2"/>
      <c r="AW428" s="2"/>
      <c r="AX428" s="11"/>
      <c r="AY428" s="11"/>
      <c r="AZ428" s="9"/>
      <c r="BA428" s="2">
        <v>1875</v>
      </c>
      <c r="BB428" s="11"/>
      <c r="BC428" s="11"/>
      <c r="BD428" s="11"/>
      <c r="BE428" s="11"/>
      <c r="BF428" s="11"/>
      <c r="BG428" s="11"/>
      <c r="BH428" s="11"/>
      <c r="BI428" s="11"/>
      <c r="BJ428" s="11" t="s">
        <v>87</v>
      </c>
      <c r="BK428" s="10">
        <v>46303.805902777778</v>
      </c>
      <c r="BL428" s="11"/>
      <c r="BM428" s="11"/>
      <c r="BN428" s="10">
        <v>46303.625</v>
      </c>
      <c r="BO428" s="11"/>
      <c r="BP428" s="11"/>
      <c r="BQ428" s="11"/>
      <c r="BR428" s="11"/>
      <c r="BS428" s="11"/>
      <c r="BT428" s="11"/>
      <c r="BU428" s="11"/>
      <c r="BV428" s="2"/>
      <c r="BW428" s="11"/>
    </row>
    <row r="429" spans="1:75" ht="30" x14ac:dyDescent="0.25">
      <c r="A429" s="2">
        <v>6200427</v>
      </c>
      <c r="B429" s="10">
        <v>46303.805902777778</v>
      </c>
      <c r="C429" s="11" t="s">
        <v>82</v>
      </c>
      <c r="D429" s="11"/>
      <c r="E429" s="11" t="s">
        <v>88</v>
      </c>
      <c r="F429" s="11"/>
      <c r="G429" s="2">
        <v>470123456</v>
      </c>
      <c r="H429" s="3"/>
      <c r="I429" s="11" t="s">
        <v>75</v>
      </c>
      <c r="J429" s="11"/>
      <c r="K429" s="11"/>
      <c r="L429" s="11"/>
      <c r="M429" s="11"/>
      <c r="N429" s="2">
        <v>1.25</v>
      </c>
      <c r="O429" s="2"/>
      <c r="P429" s="2"/>
      <c r="Q429" s="2"/>
      <c r="R429" s="11"/>
      <c r="S429" s="11" t="s">
        <v>519</v>
      </c>
      <c r="T429" s="11" t="s">
        <v>85</v>
      </c>
      <c r="U429" s="11"/>
      <c r="V429" s="11"/>
      <c r="W429" s="11"/>
      <c r="X429" s="11"/>
      <c r="Y429" s="11"/>
      <c r="Z429" s="11"/>
      <c r="AA429" s="11"/>
      <c r="AB429" s="9"/>
      <c r="AC429" s="2"/>
      <c r="AD429" s="9"/>
      <c r="AE429" s="2"/>
      <c r="AF429" s="9"/>
      <c r="AG429" s="10"/>
      <c r="AH429" s="11"/>
      <c r="AI429" s="11" t="s">
        <v>86</v>
      </c>
      <c r="AJ429" s="11"/>
      <c r="AK429" s="2"/>
      <c r="AL429" s="11"/>
      <c r="AM429" s="11"/>
      <c r="AN429" s="11"/>
      <c r="AO429" s="2"/>
      <c r="AP429" s="3"/>
      <c r="AQ429" s="11"/>
      <c r="AR429" s="3"/>
      <c r="AS429" s="2"/>
      <c r="AT429" s="11"/>
      <c r="AU429" s="2"/>
      <c r="AV429" s="2"/>
      <c r="AW429" s="2"/>
      <c r="AX429" s="11"/>
      <c r="AY429" s="11"/>
      <c r="AZ429" s="9"/>
      <c r="BA429" s="2">
        <v>1875</v>
      </c>
      <c r="BB429" s="11"/>
      <c r="BC429" s="11"/>
      <c r="BD429" s="11"/>
      <c r="BE429" s="11"/>
      <c r="BF429" s="11"/>
      <c r="BG429" s="11"/>
      <c r="BH429" s="11"/>
      <c r="BI429" s="11"/>
      <c r="BJ429" s="11" t="s">
        <v>87</v>
      </c>
      <c r="BK429" s="10">
        <v>46303.805902777778</v>
      </c>
      <c r="BL429" s="11"/>
      <c r="BM429" s="11"/>
      <c r="BN429" s="10">
        <v>46303.625</v>
      </c>
      <c r="BO429" s="11"/>
      <c r="BP429" s="11"/>
      <c r="BQ429" s="11"/>
      <c r="BR429" s="11"/>
      <c r="BS429" s="11"/>
      <c r="BT429" s="11"/>
      <c r="BU429" s="11"/>
      <c r="BV429" s="2"/>
      <c r="BW429" s="11"/>
    </row>
    <row r="430" spans="1:75" ht="30" x14ac:dyDescent="0.25">
      <c r="A430" s="2">
        <v>6200428</v>
      </c>
      <c r="B430" s="10">
        <v>46303.805902777778</v>
      </c>
      <c r="C430" s="11" t="s">
        <v>82</v>
      </c>
      <c r="D430" s="11"/>
      <c r="E430" s="11" t="s">
        <v>92</v>
      </c>
      <c r="F430" s="11"/>
      <c r="G430" s="11" t="s">
        <v>94</v>
      </c>
      <c r="H430" s="3"/>
      <c r="I430" s="11" t="s">
        <v>90</v>
      </c>
      <c r="J430" s="11"/>
      <c r="K430" s="11"/>
      <c r="L430" s="11"/>
      <c r="M430" s="11"/>
      <c r="N430" s="2">
        <v>1.25</v>
      </c>
      <c r="O430" s="2"/>
      <c r="P430" s="2"/>
      <c r="Q430" s="2"/>
      <c r="R430" s="11"/>
      <c r="S430" s="11" t="s">
        <v>520</v>
      </c>
      <c r="T430" s="11" t="s">
        <v>85</v>
      </c>
      <c r="U430" s="11"/>
      <c r="V430" s="11"/>
      <c r="W430" s="11"/>
      <c r="X430" s="11"/>
      <c r="Y430" s="11"/>
      <c r="Z430" s="11"/>
      <c r="AA430" s="11"/>
      <c r="AB430" s="9"/>
      <c r="AC430" s="2"/>
      <c r="AD430" s="9"/>
      <c r="AE430" s="2"/>
      <c r="AF430" s="9"/>
      <c r="AG430" s="10"/>
      <c r="AH430" s="11"/>
      <c r="AI430" s="11" t="s">
        <v>86</v>
      </c>
      <c r="AJ430" s="11"/>
      <c r="AK430" s="2"/>
      <c r="AL430" s="11"/>
      <c r="AM430" s="11"/>
      <c r="AN430" s="11"/>
      <c r="AO430" s="2"/>
      <c r="AP430" s="3"/>
      <c r="AQ430" s="11"/>
      <c r="AR430" s="3"/>
      <c r="AS430" s="2"/>
      <c r="AT430" s="11"/>
      <c r="AU430" s="2"/>
      <c r="AV430" s="2"/>
      <c r="AW430" s="2"/>
      <c r="AX430" s="11"/>
      <c r="AY430" s="11"/>
      <c r="AZ430" s="9"/>
      <c r="BA430" s="2">
        <v>1875</v>
      </c>
      <c r="BB430" s="11"/>
      <c r="BC430" s="11"/>
      <c r="BD430" s="11"/>
      <c r="BE430" s="11"/>
      <c r="BF430" s="11"/>
      <c r="BG430" s="11"/>
      <c r="BH430" s="11"/>
      <c r="BI430" s="11"/>
      <c r="BJ430" s="11" t="s">
        <v>87</v>
      </c>
      <c r="BK430" s="10">
        <v>46303.805902777778</v>
      </c>
      <c r="BL430" s="11"/>
      <c r="BM430" s="11"/>
      <c r="BN430" s="10">
        <v>46303.625</v>
      </c>
      <c r="BO430" s="11"/>
      <c r="BP430" s="11"/>
      <c r="BQ430" s="11"/>
      <c r="BR430" s="11"/>
      <c r="BS430" s="11"/>
      <c r="BT430" s="11"/>
      <c r="BU430" s="11"/>
      <c r="BV430" s="2"/>
      <c r="BW430" s="11"/>
    </row>
    <row r="431" spans="1:75" ht="30" x14ac:dyDescent="0.25">
      <c r="A431" s="2">
        <v>6200429</v>
      </c>
      <c r="B431" s="10">
        <v>46303.805902777778</v>
      </c>
      <c r="C431" s="11" t="s">
        <v>82</v>
      </c>
      <c r="D431" s="11"/>
      <c r="E431" s="11" t="s">
        <v>83</v>
      </c>
      <c r="F431" s="11"/>
      <c r="G431" s="11" t="s">
        <v>593</v>
      </c>
      <c r="H431" s="3"/>
      <c r="I431" s="11" t="s">
        <v>75</v>
      </c>
      <c r="J431" s="11"/>
      <c r="K431" s="11"/>
      <c r="L431" s="11"/>
      <c r="M431" s="11"/>
      <c r="N431" s="2">
        <v>1.25</v>
      </c>
      <c r="O431" s="2"/>
      <c r="P431" s="2"/>
      <c r="Q431" s="2"/>
      <c r="R431" s="11"/>
      <c r="S431" s="11" t="s">
        <v>521</v>
      </c>
      <c r="T431" s="11" t="s">
        <v>85</v>
      </c>
      <c r="U431" s="11"/>
      <c r="V431" s="11"/>
      <c r="W431" s="11"/>
      <c r="X431" s="11"/>
      <c r="Y431" s="11"/>
      <c r="Z431" s="11"/>
      <c r="AA431" s="11"/>
      <c r="AB431" s="9"/>
      <c r="AC431" s="2"/>
      <c r="AD431" s="9"/>
      <c r="AE431" s="2"/>
      <c r="AF431" s="9"/>
      <c r="AG431" s="10"/>
      <c r="AH431" s="11"/>
      <c r="AI431" s="11" t="s">
        <v>86</v>
      </c>
      <c r="AJ431" s="11"/>
      <c r="AK431" s="2"/>
      <c r="AL431" s="11"/>
      <c r="AM431" s="11"/>
      <c r="AN431" s="11"/>
      <c r="AO431" s="2"/>
      <c r="AP431" s="3"/>
      <c r="AQ431" s="11"/>
      <c r="AR431" s="3"/>
      <c r="AS431" s="2"/>
      <c r="AT431" s="11"/>
      <c r="AU431" s="2"/>
      <c r="AV431" s="2"/>
      <c r="AW431" s="2"/>
      <c r="AX431" s="11"/>
      <c r="AY431" s="11"/>
      <c r="AZ431" s="9"/>
      <c r="BA431" s="2">
        <v>1875</v>
      </c>
      <c r="BB431" s="11"/>
      <c r="BC431" s="11"/>
      <c r="BD431" s="11"/>
      <c r="BE431" s="11"/>
      <c r="BF431" s="11"/>
      <c r="BG431" s="11"/>
      <c r="BH431" s="11"/>
      <c r="BI431" s="11"/>
      <c r="BJ431" s="11" t="s">
        <v>87</v>
      </c>
      <c r="BK431" s="10">
        <v>46303.805902777778</v>
      </c>
      <c r="BL431" s="11"/>
      <c r="BM431" s="11"/>
      <c r="BN431" s="10">
        <v>46303.625</v>
      </c>
      <c r="BO431" s="11"/>
      <c r="BP431" s="11"/>
      <c r="BQ431" s="11"/>
      <c r="BR431" s="11"/>
      <c r="BS431" s="11"/>
      <c r="BT431" s="11"/>
      <c r="BU431" s="11"/>
      <c r="BV431" s="2"/>
      <c r="BW431" s="11"/>
    </row>
    <row r="432" spans="1:75" ht="30" x14ac:dyDescent="0.25">
      <c r="A432" s="2">
        <v>6200430</v>
      </c>
      <c r="B432" s="10">
        <v>46303.805902777778</v>
      </c>
      <c r="C432" s="11" t="s">
        <v>82</v>
      </c>
      <c r="D432" s="11"/>
      <c r="E432" s="11" t="s">
        <v>88</v>
      </c>
      <c r="F432" s="11"/>
      <c r="G432" s="11" t="s">
        <v>592</v>
      </c>
      <c r="H432" s="3"/>
      <c r="I432" s="11" t="s">
        <v>75</v>
      </c>
      <c r="J432" s="11"/>
      <c r="K432" s="11"/>
      <c r="L432" s="11"/>
      <c r="M432" s="11"/>
      <c r="N432" s="2">
        <v>1.25</v>
      </c>
      <c r="O432" s="2"/>
      <c r="P432" s="2"/>
      <c r="Q432" s="2"/>
      <c r="R432" s="11"/>
      <c r="S432" s="11" t="s">
        <v>522</v>
      </c>
      <c r="T432" s="11" t="s">
        <v>85</v>
      </c>
      <c r="U432" s="11"/>
      <c r="V432" s="11"/>
      <c r="W432" s="11"/>
      <c r="X432" s="11"/>
      <c r="Y432" s="11"/>
      <c r="Z432" s="11"/>
      <c r="AA432" s="11"/>
      <c r="AB432" s="9"/>
      <c r="AC432" s="2"/>
      <c r="AD432" s="9"/>
      <c r="AE432" s="2"/>
      <c r="AF432" s="9"/>
      <c r="AG432" s="10"/>
      <c r="AH432" s="11"/>
      <c r="AI432" s="11" t="s">
        <v>86</v>
      </c>
      <c r="AJ432" s="11"/>
      <c r="AK432" s="2"/>
      <c r="AL432" s="11"/>
      <c r="AM432" s="11"/>
      <c r="AN432" s="11"/>
      <c r="AO432" s="2"/>
      <c r="AP432" s="3"/>
      <c r="AQ432" s="11"/>
      <c r="AR432" s="3"/>
      <c r="AS432" s="2"/>
      <c r="AT432" s="11"/>
      <c r="AU432" s="2"/>
      <c r="AV432" s="2"/>
      <c r="AW432" s="2"/>
      <c r="AX432" s="11"/>
      <c r="AY432" s="11"/>
      <c r="AZ432" s="9"/>
      <c r="BA432" s="2">
        <v>1875</v>
      </c>
      <c r="BB432" s="11"/>
      <c r="BC432" s="11"/>
      <c r="BD432" s="11"/>
      <c r="BE432" s="11"/>
      <c r="BF432" s="11"/>
      <c r="BG432" s="11"/>
      <c r="BH432" s="11"/>
      <c r="BI432" s="11"/>
      <c r="BJ432" s="11" t="s">
        <v>87</v>
      </c>
      <c r="BK432" s="10">
        <v>46303.805902777778</v>
      </c>
      <c r="BL432" s="11"/>
      <c r="BM432" s="11"/>
      <c r="BN432" s="10">
        <v>46303.625</v>
      </c>
      <c r="BO432" s="11"/>
      <c r="BP432" s="11"/>
      <c r="BQ432" s="11"/>
      <c r="BR432" s="11"/>
      <c r="BS432" s="11"/>
      <c r="BT432" s="11"/>
      <c r="BU432" s="11"/>
      <c r="BV432" s="2"/>
      <c r="BW432" s="11"/>
    </row>
    <row r="433" spans="1:75" ht="30" x14ac:dyDescent="0.25">
      <c r="A433" s="2">
        <v>6200431</v>
      </c>
      <c r="B433" s="10">
        <v>46303.805902777778</v>
      </c>
      <c r="C433" s="11" t="s">
        <v>82</v>
      </c>
      <c r="D433" s="11"/>
      <c r="E433" s="11" t="s">
        <v>92</v>
      </c>
      <c r="F433" s="11"/>
      <c r="G433" s="11" t="s">
        <v>89</v>
      </c>
      <c r="H433" s="3"/>
      <c r="I433" s="11" t="s">
        <v>90</v>
      </c>
      <c r="J433" s="11"/>
      <c r="K433" s="11"/>
      <c r="L433" s="11"/>
      <c r="M433" s="11"/>
      <c r="N433" s="2">
        <v>1.25</v>
      </c>
      <c r="O433" s="2"/>
      <c r="P433" s="2"/>
      <c r="Q433" s="2"/>
      <c r="R433" s="11"/>
      <c r="S433" s="11" t="s">
        <v>523</v>
      </c>
      <c r="T433" s="11" t="s">
        <v>85</v>
      </c>
      <c r="U433" s="11"/>
      <c r="V433" s="11"/>
      <c r="W433" s="11"/>
      <c r="X433" s="11"/>
      <c r="Y433" s="11"/>
      <c r="Z433" s="11"/>
      <c r="AA433" s="11"/>
      <c r="AB433" s="9"/>
      <c r="AC433" s="2"/>
      <c r="AD433" s="9"/>
      <c r="AE433" s="2"/>
      <c r="AF433" s="9"/>
      <c r="AG433" s="10"/>
      <c r="AH433" s="11"/>
      <c r="AI433" s="11" t="s">
        <v>86</v>
      </c>
      <c r="AJ433" s="11"/>
      <c r="AK433" s="2"/>
      <c r="AL433" s="11"/>
      <c r="AM433" s="11"/>
      <c r="AN433" s="11"/>
      <c r="AO433" s="2"/>
      <c r="AP433" s="3"/>
      <c r="AQ433" s="11"/>
      <c r="AR433" s="3"/>
      <c r="AS433" s="2"/>
      <c r="AT433" s="11"/>
      <c r="AU433" s="2"/>
      <c r="AV433" s="2"/>
      <c r="AW433" s="2"/>
      <c r="AX433" s="11"/>
      <c r="AY433" s="11"/>
      <c r="AZ433" s="9"/>
      <c r="BA433" s="2">
        <v>1875</v>
      </c>
      <c r="BB433" s="11"/>
      <c r="BC433" s="11"/>
      <c r="BD433" s="11"/>
      <c r="BE433" s="11"/>
      <c r="BF433" s="11"/>
      <c r="BG433" s="11"/>
      <c r="BH433" s="11"/>
      <c r="BI433" s="11"/>
      <c r="BJ433" s="11" t="s">
        <v>87</v>
      </c>
      <c r="BK433" s="10">
        <v>46303.805902777778</v>
      </c>
      <c r="BL433" s="11"/>
      <c r="BM433" s="11"/>
      <c r="BN433" s="10">
        <v>46303.625</v>
      </c>
      <c r="BO433" s="11"/>
      <c r="BP433" s="11"/>
      <c r="BQ433" s="11"/>
      <c r="BR433" s="11"/>
      <c r="BS433" s="11"/>
      <c r="BT433" s="11"/>
      <c r="BU433" s="11"/>
      <c r="BV433" s="2"/>
      <c r="BW433" s="11"/>
    </row>
    <row r="434" spans="1:75" ht="30" x14ac:dyDescent="0.25">
      <c r="A434" s="2">
        <v>6200432</v>
      </c>
      <c r="B434" s="10">
        <v>46303.805902777778</v>
      </c>
      <c r="C434" s="11" t="s">
        <v>82</v>
      </c>
      <c r="D434" s="11"/>
      <c r="E434" s="11" t="s">
        <v>83</v>
      </c>
      <c r="F434" s="11"/>
      <c r="G434" s="2">
        <v>470123456</v>
      </c>
      <c r="H434" s="3"/>
      <c r="I434" s="11" t="s">
        <v>75</v>
      </c>
      <c r="J434" s="11"/>
      <c r="K434" s="11"/>
      <c r="L434" s="11"/>
      <c r="M434" s="11"/>
      <c r="N434" s="2">
        <v>1.25</v>
      </c>
      <c r="O434" s="2"/>
      <c r="P434" s="2"/>
      <c r="Q434" s="2"/>
      <c r="R434" s="11"/>
      <c r="S434" s="11" t="s">
        <v>524</v>
      </c>
      <c r="T434" s="11" t="s">
        <v>85</v>
      </c>
      <c r="U434" s="11"/>
      <c r="V434" s="11"/>
      <c r="W434" s="11"/>
      <c r="X434" s="11"/>
      <c r="Y434" s="11"/>
      <c r="Z434" s="11"/>
      <c r="AA434" s="11"/>
      <c r="AB434" s="9"/>
      <c r="AC434" s="2"/>
      <c r="AD434" s="9"/>
      <c r="AE434" s="2"/>
      <c r="AF434" s="9"/>
      <c r="AG434" s="10"/>
      <c r="AH434" s="11"/>
      <c r="AI434" s="11" t="s">
        <v>86</v>
      </c>
      <c r="AJ434" s="11"/>
      <c r="AK434" s="2"/>
      <c r="AL434" s="11"/>
      <c r="AM434" s="11"/>
      <c r="AN434" s="11"/>
      <c r="AO434" s="2"/>
      <c r="AP434" s="3"/>
      <c r="AQ434" s="11"/>
      <c r="AR434" s="3"/>
      <c r="AS434" s="2"/>
      <c r="AT434" s="11"/>
      <c r="AU434" s="2"/>
      <c r="AV434" s="2"/>
      <c r="AW434" s="2"/>
      <c r="AX434" s="11"/>
      <c r="AY434" s="11"/>
      <c r="AZ434" s="9"/>
      <c r="BA434" s="2">
        <v>1875</v>
      </c>
      <c r="BB434" s="11"/>
      <c r="BC434" s="11"/>
      <c r="BD434" s="11"/>
      <c r="BE434" s="11"/>
      <c r="BF434" s="11"/>
      <c r="BG434" s="11"/>
      <c r="BH434" s="11"/>
      <c r="BI434" s="11"/>
      <c r="BJ434" s="11" t="s">
        <v>87</v>
      </c>
      <c r="BK434" s="10">
        <v>46303.805902777778</v>
      </c>
      <c r="BL434" s="11"/>
      <c r="BM434" s="11"/>
      <c r="BN434" s="10">
        <v>46303.625</v>
      </c>
      <c r="BO434" s="11"/>
      <c r="BP434" s="11"/>
      <c r="BQ434" s="11"/>
      <c r="BR434" s="11"/>
      <c r="BS434" s="11"/>
      <c r="BT434" s="11"/>
      <c r="BU434" s="11"/>
      <c r="BV434" s="2"/>
      <c r="BW434" s="11"/>
    </row>
    <row r="435" spans="1:75" ht="30" x14ac:dyDescent="0.25">
      <c r="A435" s="2">
        <v>6200433</v>
      </c>
      <c r="B435" s="10">
        <v>46303.805902777778</v>
      </c>
      <c r="C435" s="11" t="s">
        <v>82</v>
      </c>
      <c r="D435" s="11"/>
      <c r="E435" s="11" t="s">
        <v>88</v>
      </c>
      <c r="F435" s="11"/>
      <c r="G435" s="11" t="s">
        <v>94</v>
      </c>
      <c r="H435" s="3"/>
      <c r="I435" s="11" t="s">
        <v>90</v>
      </c>
      <c r="J435" s="11"/>
      <c r="K435" s="11"/>
      <c r="L435" s="11"/>
      <c r="M435" s="11"/>
      <c r="N435" s="2">
        <v>1.25</v>
      </c>
      <c r="O435" s="2"/>
      <c r="P435" s="2"/>
      <c r="Q435" s="2"/>
      <c r="R435" s="11"/>
      <c r="S435" s="11" t="s">
        <v>525</v>
      </c>
      <c r="T435" s="11" t="s">
        <v>85</v>
      </c>
      <c r="U435" s="11"/>
      <c r="V435" s="11"/>
      <c r="W435" s="11"/>
      <c r="X435" s="11"/>
      <c r="Y435" s="11"/>
      <c r="Z435" s="11"/>
      <c r="AA435" s="11"/>
      <c r="AB435" s="9"/>
      <c r="AC435" s="2"/>
      <c r="AD435" s="9"/>
      <c r="AE435" s="2"/>
      <c r="AF435" s="9"/>
      <c r="AG435" s="10"/>
      <c r="AH435" s="11"/>
      <c r="AI435" s="11" t="s">
        <v>86</v>
      </c>
      <c r="AJ435" s="11"/>
      <c r="AK435" s="2"/>
      <c r="AL435" s="11"/>
      <c r="AM435" s="11"/>
      <c r="AN435" s="11"/>
      <c r="AO435" s="2"/>
      <c r="AP435" s="3"/>
      <c r="AQ435" s="11"/>
      <c r="AR435" s="3"/>
      <c r="AS435" s="2"/>
      <c r="AT435" s="11"/>
      <c r="AU435" s="2"/>
      <c r="AV435" s="2"/>
      <c r="AW435" s="2"/>
      <c r="AX435" s="11"/>
      <c r="AY435" s="11"/>
      <c r="AZ435" s="9"/>
      <c r="BA435" s="2">
        <v>1875</v>
      </c>
      <c r="BB435" s="11"/>
      <c r="BC435" s="11"/>
      <c r="BD435" s="11"/>
      <c r="BE435" s="11"/>
      <c r="BF435" s="11"/>
      <c r="BG435" s="11"/>
      <c r="BH435" s="11"/>
      <c r="BI435" s="11"/>
      <c r="BJ435" s="11" t="s">
        <v>87</v>
      </c>
      <c r="BK435" s="10">
        <v>46303.805902777778</v>
      </c>
      <c r="BL435" s="11"/>
      <c r="BM435" s="11"/>
      <c r="BN435" s="10">
        <v>46303.625</v>
      </c>
      <c r="BO435" s="11"/>
      <c r="BP435" s="11"/>
      <c r="BQ435" s="11"/>
      <c r="BR435" s="11"/>
      <c r="BS435" s="11"/>
      <c r="BT435" s="11"/>
      <c r="BU435" s="11"/>
      <c r="BV435" s="2"/>
      <c r="BW435" s="11"/>
    </row>
    <row r="436" spans="1:75" ht="30" x14ac:dyDescent="0.25">
      <c r="A436" s="2">
        <v>6200434</v>
      </c>
      <c r="B436" s="10">
        <v>46303.805902777778</v>
      </c>
      <c r="C436" s="11" t="s">
        <v>82</v>
      </c>
      <c r="D436" s="11"/>
      <c r="E436" s="11" t="s">
        <v>92</v>
      </c>
      <c r="F436" s="11"/>
      <c r="G436" s="11" t="s">
        <v>593</v>
      </c>
      <c r="H436" s="3"/>
      <c r="I436" s="11" t="s">
        <v>75</v>
      </c>
      <c r="J436" s="11"/>
      <c r="K436" s="11"/>
      <c r="L436" s="11"/>
      <c r="M436" s="11"/>
      <c r="N436" s="2">
        <v>1.25</v>
      </c>
      <c r="O436" s="2"/>
      <c r="P436" s="2"/>
      <c r="Q436" s="2"/>
      <c r="R436" s="11"/>
      <c r="S436" s="11" t="s">
        <v>526</v>
      </c>
      <c r="T436" s="11" t="s">
        <v>85</v>
      </c>
      <c r="U436" s="11"/>
      <c r="V436" s="11"/>
      <c r="W436" s="11"/>
      <c r="X436" s="11"/>
      <c r="Y436" s="11"/>
      <c r="Z436" s="11"/>
      <c r="AA436" s="11"/>
      <c r="AB436" s="9"/>
      <c r="AC436" s="2"/>
      <c r="AD436" s="9"/>
      <c r="AE436" s="2"/>
      <c r="AF436" s="9"/>
      <c r="AG436" s="10"/>
      <c r="AH436" s="11"/>
      <c r="AI436" s="11" t="s">
        <v>86</v>
      </c>
      <c r="AJ436" s="11"/>
      <c r="AK436" s="2"/>
      <c r="AL436" s="11"/>
      <c r="AM436" s="11"/>
      <c r="AN436" s="11"/>
      <c r="AO436" s="2"/>
      <c r="AP436" s="3"/>
      <c r="AQ436" s="11"/>
      <c r="AR436" s="3"/>
      <c r="AS436" s="2"/>
      <c r="AT436" s="11"/>
      <c r="AU436" s="2"/>
      <c r="AV436" s="2"/>
      <c r="AW436" s="2"/>
      <c r="AX436" s="11"/>
      <c r="AY436" s="11"/>
      <c r="AZ436" s="9"/>
      <c r="BA436" s="2">
        <v>1875</v>
      </c>
      <c r="BB436" s="11"/>
      <c r="BC436" s="11"/>
      <c r="BD436" s="11"/>
      <c r="BE436" s="11"/>
      <c r="BF436" s="11"/>
      <c r="BG436" s="11"/>
      <c r="BH436" s="11"/>
      <c r="BI436" s="11"/>
      <c r="BJ436" s="11" t="s">
        <v>87</v>
      </c>
      <c r="BK436" s="10">
        <v>46303.805902777778</v>
      </c>
      <c r="BL436" s="11"/>
      <c r="BM436" s="11"/>
      <c r="BN436" s="10">
        <v>46303.625</v>
      </c>
      <c r="BO436" s="11"/>
      <c r="BP436" s="11"/>
      <c r="BQ436" s="11"/>
      <c r="BR436" s="11"/>
      <c r="BS436" s="11"/>
      <c r="BT436" s="11"/>
      <c r="BU436" s="11"/>
      <c r="BV436" s="2"/>
      <c r="BW436" s="11"/>
    </row>
    <row r="437" spans="1:75" ht="30" x14ac:dyDescent="0.25">
      <c r="A437" s="2">
        <v>6200435</v>
      </c>
      <c r="B437" s="10">
        <v>46303.805902777778</v>
      </c>
      <c r="C437" s="11" t="s">
        <v>82</v>
      </c>
      <c r="D437" s="11"/>
      <c r="E437" s="11" t="s">
        <v>83</v>
      </c>
      <c r="F437" s="11"/>
      <c r="G437" s="11" t="s">
        <v>592</v>
      </c>
      <c r="H437" s="3"/>
      <c r="I437" s="11" t="s">
        <v>75</v>
      </c>
      <c r="J437" s="11"/>
      <c r="K437" s="11"/>
      <c r="L437" s="11"/>
      <c r="M437" s="11"/>
      <c r="N437" s="2">
        <v>1.25</v>
      </c>
      <c r="O437" s="2"/>
      <c r="P437" s="2"/>
      <c r="Q437" s="2"/>
      <c r="R437" s="11"/>
      <c r="S437" s="11" t="s">
        <v>527</v>
      </c>
      <c r="T437" s="11" t="s">
        <v>85</v>
      </c>
      <c r="U437" s="11"/>
      <c r="V437" s="11"/>
      <c r="W437" s="11"/>
      <c r="X437" s="11"/>
      <c r="Y437" s="11"/>
      <c r="Z437" s="11"/>
      <c r="AA437" s="11"/>
      <c r="AB437" s="9"/>
      <c r="AC437" s="2"/>
      <c r="AD437" s="9"/>
      <c r="AE437" s="2"/>
      <c r="AF437" s="9"/>
      <c r="AG437" s="10"/>
      <c r="AH437" s="11"/>
      <c r="AI437" s="11" t="s">
        <v>86</v>
      </c>
      <c r="AJ437" s="11"/>
      <c r="AK437" s="2"/>
      <c r="AL437" s="11"/>
      <c r="AM437" s="11"/>
      <c r="AN437" s="11"/>
      <c r="AO437" s="2"/>
      <c r="AP437" s="3"/>
      <c r="AQ437" s="11"/>
      <c r="AR437" s="3"/>
      <c r="AS437" s="2"/>
      <c r="AT437" s="11"/>
      <c r="AU437" s="2"/>
      <c r="AV437" s="2"/>
      <c r="AW437" s="2"/>
      <c r="AX437" s="11"/>
      <c r="AY437" s="11"/>
      <c r="AZ437" s="9"/>
      <c r="BA437" s="2">
        <v>1875</v>
      </c>
      <c r="BB437" s="11"/>
      <c r="BC437" s="11"/>
      <c r="BD437" s="11"/>
      <c r="BE437" s="11"/>
      <c r="BF437" s="11"/>
      <c r="BG437" s="11"/>
      <c r="BH437" s="11"/>
      <c r="BI437" s="11"/>
      <c r="BJ437" s="11" t="s">
        <v>87</v>
      </c>
      <c r="BK437" s="10">
        <v>46303.805902777778</v>
      </c>
      <c r="BL437" s="11"/>
      <c r="BM437" s="11"/>
      <c r="BN437" s="10">
        <v>46303.625</v>
      </c>
      <c r="BO437" s="11"/>
      <c r="BP437" s="11"/>
      <c r="BQ437" s="11"/>
      <c r="BR437" s="11"/>
      <c r="BS437" s="11"/>
      <c r="BT437" s="11"/>
      <c r="BU437" s="11"/>
      <c r="BV437" s="2"/>
      <c r="BW437" s="11"/>
    </row>
    <row r="438" spans="1:75" ht="30" x14ac:dyDescent="0.25">
      <c r="A438" s="2">
        <v>6200436</v>
      </c>
      <c r="B438" s="10">
        <v>46303.805902777778</v>
      </c>
      <c r="C438" s="11" t="s">
        <v>82</v>
      </c>
      <c r="D438" s="11"/>
      <c r="E438" s="11" t="s">
        <v>88</v>
      </c>
      <c r="F438" s="11"/>
      <c r="G438" s="11" t="s">
        <v>89</v>
      </c>
      <c r="H438" s="3"/>
      <c r="I438" s="11" t="s">
        <v>90</v>
      </c>
      <c r="J438" s="11"/>
      <c r="K438" s="11"/>
      <c r="L438" s="11"/>
      <c r="M438" s="11"/>
      <c r="N438" s="2">
        <v>1.25</v>
      </c>
      <c r="O438" s="2"/>
      <c r="P438" s="2"/>
      <c r="Q438" s="2"/>
      <c r="R438" s="11"/>
      <c r="S438" s="11" t="s">
        <v>528</v>
      </c>
      <c r="T438" s="11" t="s">
        <v>85</v>
      </c>
      <c r="U438" s="11"/>
      <c r="V438" s="11"/>
      <c r="W438" s="11"/>
      <c r="X438" s="11"/>
      <c r="Y438" s="11"/>
      <c r="Z438" s="11"/>
      <c r="AA438" s="11"/>
      <c r="AB438" s="9"/>
      <c r="AC438" s="2"/>
      <c r="AD438" s="9"/>
      <c r="AE438" s="2"/>
      <c r="AF438" s="9"/>
      <c r="AG438" s="10"/>
      <c r="AH438" s="11"/>
      <c r="AI438" s="11" t="s">
        <v>86</v>
      </c>
      <c r="AJ438" s="11"/>
      <c r="AK438" s="2"/>
      <c r="AL438" s="11"/>
      <c r="AM438" s="11"/>
      <c r="AN438" s="11"/>
      <c r="AO438" s="2"/>
      <c r="AP438" s="3"/>
      <c r="AQ438" s="11"/>
      <c r="AR438" s="3"/>
      <c r="AS438" s="2"/>
      <c r="AT438" s="11"/>
      <c r="AU438" s="2"/>
      <c r="AV438" s="2"/>
      <c r="AW438" s="2"/>
      <c r="AX438" s="11"/>
      <c r="AY438" s="11"/>
      <c r="AZ438" s="9"/>
      <c r="BA438" s="2">
        <v>1875</v>
      </c>
      <c r="BB438" s="11"/>
      <c r="BC438" s="11"/>
      <c r="BD438" s="11"/>
      <c r="BE438" s="11"/>
      <c r="BF438" s="11"/>
      <c r="BG438" s="11"/>
      <c r="BH438" s="11"/>
      <c r="BI438" s="11"/>
      <c r="BJ438" s="11" t="s">
        <v>87</v>
      </c>
      <c r="BK438" s="10">
        <v>46303.805902777778</v>
      </c>
      <c r="BL438" s="11"/>
      <c r="BM438" s="11"/>
      <c r="BN438" s="10">
        <v>46303.625</v>
      </c>
      <c r="BO438" s="11"/>
      <c r="BP438" s="11"/>
      <c r="BQ438" s="11"/>
      <c r="BR438" s="11"/>
      <c r="BS438" s="11"/>
      <c r="BT438" s="11"/>
      <c r="BU438" s="11"/>
      <c r="BV438" s="2"/>
      <c r="BW438" s="11"/>
    </row>
    <row r="439" spans="1:75" ht="30" x14ac:dyDescent="0.25">
      <c r="A439" s="2">
        <v>6200437</v>
      </c>
      <c r="B439" s="10">
        <v>46303.805902777778</v>
      </c>
      <c r="C439" s="11" t="s">
        <v>82</v>
      </c>
      <c r="D439" s="11"/>
      <c r="E439" s="11" t="s">
        <v>92</v>
      </c>
      <c r="F439" s="11"/>
      <c r="G439" s="2">
        <v>470123456</v>
      </c>
      <c r="H439" s="3"/>
      <c r="I439" s="11" t="s">
        <v>75</v>
      </c>
      <c r="J439" s="11"/>
      <c r="K439" s="11"/>
      <c r="L439" s="11"/>
      <c r="M439" s="11"/>
      <c r="N439" s="2">
        <v>1.25</v>
      </c>
      <c r="O439" s="2"/>
      <c r="P439" s="2"/>
      <c r="Q439" s="2"/>
      <c r="R439" s="11"/>
      <c r="S439" s="11" t="s">
        <v>529</v>
      </c>
      <c r="T439" s="11" t="s">
        <v>85</v>
      </c>
      <c r="U439" s="11"/>
      <c r="V439" s="11"/>
      <c r="W439" s="11"/>
      <c r="X439" s="11"/>
      <c r="Y439" s="11"/>
      <c r="Z439" s="11"/>
      <c r="AA439" s="11"/>
      <c r="AB439" s="9"/>
      <c r="AC439" s="2"/>
      <c r="AD439" s="9"/>
      <c r="AE439" s="2"/>
      <c r="AF439" s="9"/>
      <c r="AG439" s="10"/>
      <c r="AH439" s="11"/>
      <c r="AI439" s="11" t="s">
        <v>86</v>
      </c>
      <c r="AJ439" s="11"/>
      <c r="AK439" s="2"/>
      <c r="AL439" s="11"/>
      <c r="AM439" s="11"/>
      <c r="AN439" s="11"/>
      <c r="AO439" s="2"/>
      <c r="AP439" s="3"/>
      <c r="AQ439" s="11"/>
      <c r="AR439" s="3"/>
      <c r="AS439" s="2"/>
      <c r="AT439" s="11"/>
      <c r="AU439" s="2"/>
      <c r="AV439" s="2"/>
      <c r="AW439" s="2"/>
      <c r="AX439" s="11"/>
      <c r="AY439" s="11"/>
      <c r="AZ439" s="9"/>
      <c r="BA439" s="2">
        <v>1875</v>
      </c>
      <c r="BB439" s="11"/>
      <c r="BC439" s="11"/>
      <c r="BD439" s="11"/>
      <c r="BE439" s="11"/>
      <c r="BF439" s="11"/>
      <c r="BG439" s="11"/>
      <c r="BH439" s="11"/>
      <c r="BI439" s="11"/>
      <c r="BJ439" s="11" t="s">
        <v>87</v>
      </c>
      <c r="BK439" s="10">
        <v>46303.805902777778</v>
      </c>
      <c r="BL439" s="11"/>
      <c r="BM439" s="11"/>
      <c r="BN439" s="10">
        <v>46303.625</v>
      </c>
      <c r="BO439" s="11"/>
      <c r="BP439" s="11"/>
      <c r="BQ439" s="11"/>
      <c r="BR439" s="11"/>
      <c r="BS439" s="11"/>
      <c r="BT439" s="11"/>
      <c r="BU439" s="11"/>
      <c r="BV439" s="2"/>
      <c r="BW439" s="11"/>
    </row>
    <row r="440" spans="1:75" ht="30" x14ac:dyDescent="0.25">
      <c r="A440" s="2">
        <v>6200438</v>
      </c>
      <c r="B440" s="10">
        <v>46303.805902777778</v>
      </c>
      <c r="C440" s="11" t="s">
        <v>82</v>
      </c>
      <c r="D440" s="11"/>
      <c r="E440" s="11" t="s">
        <v>83</v>
      </c>
      <c r="F440" s="11"/>
      <c r="G440" s="11" t="s">
        <v>94</v>
      </c>
      <c r="H440" s="3"/>
      <c r="I440" s="11" t="s">
        <v>90</v>
      </c>
      <c r="J440" s="11"/>
      <c r="K440" s="11"/>
      <c r="L440" s="11"/>
      <c r="M440" s="11"/>
      <c r="N440" s="2">
        <v>1.25</v>
      </c>
      <c r="O440" s="2"/>
      <c r="P440" s="2"/>
      <c r="Q440" s="2"/>
      <c r="R440" s="11"/>
      <c r="S440" s="11" t="s">
        <v>530</v>
      </c>
      <c r="T440" s="11" t="s">
        <v>85</v>
      </c>
      <c r="U440" s="11"/>
      <c r="V440" s="11"/>
      <c r="W440" s="11"/>
      <c r="X440" s="11"/>
      <c r="Y440" s="11"/>
      <c r="Z440" s="11"/>
      <c r="AA440" s="11"/>
      <c r="AB440" s="9"/>
      <c r="AC440" s="2"/>
      <c r="AD440" s="9"/>
      <c r="AE440" s="2"/>
      <c r="AF440" s="9"/>
      <c r="AG440" s="10"/>
      <c r="AH440" s="11"/>
      <c r="AI440" s="11" t="s">
        <v>86</v>
      </c>
      <c r="AJ440" s="11"/>
      <c r="AK440" s="2"/>
      <c r="AL440" s="11"/>
      <c r="AM440" s="11"/>
      <c r="AN440" s="11"/>
      <c r="AO440" s="2"/>
      <c r="AP440" s="3"/>
      <c r="AQ440" s="11"/>
      <c r="AR440" s="3"/>
      <c r="AS440" s="2"/>
      <c r="AT440" s="11"/>
      <c r="AU440" s="2"/>
      <c r="AV440" s="2"/>
      <c r="AW440" s="2"/>
      <c r="AX440" s="11"/>
      <c r="AY440" s="11"/>
      <c r="AZ440" s="9"/>
      <c r="BA440" s="2">
        <v>1875</v>
      </c>
      <c r="BB440" s="11"/>
      <c r="BC440" s="11"/>
      <c r="BD440" s="11"/>
      <c r="BE440" s="11"/>
      <c r="BF440" s="11"/>
      <c r="BG440" s="11"/>
      <c r="BH440" s="11"/>
      <c r="BI440" s="11"/>
      <c r="BJ440" s="11" t="s">
        <v>87</v>
      </c>
      <c r="BK440" s="10">
        <v>46303.805902777778</v>
      </c>
      <c r="BL440" s="11"/>
      <c r="BM440" s="11"/>
      <c r="BN440" s="10">
        <v>46303.625</v>
      </c>
      <c r="BO440" s="11"/>
      <c r="BP440" s="11"/>
      <c r="BQ440" s="11"/>
      <c r="BR440" s="11"/>
      <c r="BS440" s="11"/>
      <c r="BT440" s="11"/>
      <c r="BU440" s="11"/>
      <c r="BV440" s="2"/>
      <c r="BW440" s="11"/>
    </row>
    <row r="441" spans="1:75" ht="30" x14ac:dyDescent="0.25">
      <c r="A441" s="2">
        <v>6200439</v>
      </c>
      <c r="B441" s="10">
        <v>46303.805902777778</v>
      </c>
      <c r="C441" s="11" t="s">
        <v>82</v>
      </c>
      <c r="D441" s="11"/>
      <c r="E441" s="11" t="s">
        <v>88</v>
      </c>
      <c r="F441" s="11"/>
      <c r="G441" s="11" t="s">
        <v>593</v>
      </c>
      <c r="H441" s="3"/>
      <c r="I441" s="11" t="s">
        <v>75</v>
      </c>
      <c r="J441" s="11"/>
      <c r="K441" s="11"/>
      <c r="L441" s="11"/>
      <c r="M441" s="11"/>
      <c r="N441" s="2">
        <v>1.25</v>
      </c>
      <c r="O441" s="2"/>
      <c r="P441" s="2"/>
      <c r="Q441" s="2"/>
      <c r="R441" s="11"/>
      <c r="S441" s="11" t="s">
        <v>531</v>
      </c>
      <c r="T441" s="11" t="s">
        <v>85</v>
      </c>
      <c r="U441" s="11"/>
      <c r="V441" s="11"/>
      <c r="W441" s="11"/>
      <c r="X441" s="11"/>
      <c r="Y441" s="11"/>
      <c r="Z441" s="11"/>
      <c r="AA441" s="11"/>
      <c r="AB441" s="9"/>
      <c r="AC441" s="2"/>
      <c r="AD441" s="9"/>
      <c r="AE441" s="2"/>
      <c r="AF441" s="9"/>
      <c r="AG441" s="10"/>
      <c r="AH441" s="11"/>
      <c r="AI441" s="11" t="s">
        <v>86</v>
      </c>
      <c r="AJ441" s="11"/>
      <c r="AK441" s="2"/>
      <c r="AL441" s="11"/>
      <c r="AM441" s="11"/>
      <c r="AN441" s="11"/>
      <c r="AO441" s="2"/>
      <c r="AP441" s="3"/>
      <c r="AQ441" s="11"/>
      <c r="AR441" s="3"/>
      <c r="AS441" s="2"/>
      <c r="AT441" s="11"/>
      <c r="AU441" s="2"/>
      <c r="AV441" s="2"/>
      <c r="AW441" s="2"/>
      <c r="AX441" s="11"/>
      <c r="AY441" s="11"/>
      <c r="AZ441" s="9"/>
      <c r="BA441" s="2">
        <v>1875</v>
      </c>
      <c r="BB441" s="11"/>
      <c r="BC441" s="11"/>
      <c r="BD441" s="11"/>
      <c r="BE441" s="11"/>
      <c r="BF441" s="11"/>
      <c r="BG441" s="11"/>
      <c r="BH441" s="11"/>
      <c r="BI441" s="11"/>
      <c r="BJ441" s="11" t="s">
        <v>87</v>
      </c>
      <c r="BK441" s="10">
        <v>46303.805902777778</v>
      </c>
      <c r="BL441" s="11"/>
      <c r="BM441" s="11"/>
      <c r="BN441" s="10">
        <v>46303.625</v>
      </c>
      <c r="BO441" s="11"/>
      <c r="BP441" s="11"/>
      <c r="BQ441" s="11"/>
      <c r="BR441" s="11"/>
      <c r="BS441" s="11"/>
      <c r="BT441" s="11"/>
      <c r="BU441" s="11"/>
      <c r="BV441" s="2"/>
      <c r="BW441" s="11"/>
    </row>
    <row r="442" spans="1:75" ht="30" x14ac:dyDescent="0.25">
      <c r="A442" s="2">
        <v>6200440</v>
      </c>
      <c r="B442" s="10">
        <v>46303.805902777778</v>
      </c>
      <c r="C442" s="11" t="s">
        <v>82</v>
      </c>
      <c r="D442" s="11"/>
      <c r="E442" s="11" t="s">
        <v>92</v>
      </c>
      <c r="F442" s="11"/>
      <c r="G442" s="11" t="s">
        <v>592</v>
      </c>
      <c r="H442" s="3"/>
      <c r="I442" s="11" t="s">
        <v>75</v>
      </c>
      <c r="J442" s="11"/>
      <c r="K442" s="11"/>
      <c r="L442" s="11"/>
      <c r="M442" s="11"/>
      <c r="N442" s="2">
        <v>1.25</v>
      </c>
      <c r="O442" s="2"/>
      <c r="P442" s="2"/>
      <c r="Q442" s="2"/>
      <c r="R442" s="11"/>
      <c r="S442" s="11" t="s">
        <v>532</v>
      </c>
      <c r="T442" s="11" t="s">
        <v>85</v>
      </c>
      <c r="U442" s="11"/>
      <c r="V442" s="11"/>
      <c r="W442" s="11"/>
      <c r="X442" s="11"/>
      <c r="Y442" s="11"/>
      <c r="Z442" s="11"/>
      <c r="AA442" s="11"/>
      <c r="AB442" s="9"/>
      <c r="AC442" s="2"/>
      <c r="AD442" s="9"/>
      <c r="AE442" s="2"/>
      <c r="AF442" s="9"/>
      <c r="AG442" s="10"/>
      <c r="AH442" s="11"/>
      <c r="AI442" s="11" t="s">
        <v>86</v>
      </c>
      <c r="AJ442" s="11"/>
      <c r="AK442" s="2"/>
      <c r="AL442" s="11"/>
      <c r="AM442" s="11"/>
      <c r="AN442" s="11"/>
      <c r="AO442" s="2"/>
      <c r="AP442" s="3"/>
      <c r="AQ442" s="11"/>
      <c r="AR442" s="3"/>
      <c r="AS442" s="2"/>
      <c r="AT442" s="11"/>
      <c r="AU442" s="2"/>
      <c r="AV442" s="2"/>
      <c r="AW442" s="2"/>
      <c r="AX442" s="11"/>
      <c r="AY442" s="11"/>
      <c r="AZ442" s="9"/>
      <c r="BA442" s="2">
        <v>1875</v>
      </c>
      <c r="BB442" s="11"/>
      <c r="BC442" s="11"/>
      <c r="BD442" s="11"/>
      <c r="BE442" s="11"/>
      <c r="BF442" s="11"/>
      <c r="BG442" s="11"/>
      <c r="BH442" s="11"/>
      <c r="BI442" s="11"/>
      <c r="BJ442" s="11" t="s">
        <v>87</v>
      </c>
      <c r="BK442" s="10">
        <v>46303.805902777778</v>
      </c>
      <c r="BL442" s="11"/>
      <c r="BM442" s="11"/>
      <c r="BN442" s="10">
        <v>46303.625</v>
      </c>
      <c r="BO442" s="11"/>
      <c r="BP442" s="11"/>
      <c r="BQ442" s="11"/>
      <c r="BR442" s="11"/>
      <c r="BS442" s="11"/>
      <c r="BT442" s="11"/>
      <c r="BU442" s="11"/>
      <c r="BV442" s="2"/>
      <c r="BW442" s="11"/>
    </row>
    <row r="443" spans="1:75" ht="30" x14ac:dyDescent="0.25">
      <c r="A443" s="2">
        <v>6200441</v>
      </c>
      <c r="B443" s="10">
        <v>46303.805902777778</v>
      </c>
      <c r="C443" s="11" t="s">
        <v>82</v>
      </c>
      <c r="D443" s="11"/>
      <c r="E443" s="11" t="s">
        <v>83</v>
      </c>
      <c r="F443" s="11"/>
      <c r="G443" s="11" t="s">
        <v>89</v>
      </c>
      <c r="H443" s="3"/>
      <c r="I443" s="11" t="s">
        <v>90</v>
      </c>
      <c r="J443" s="11"/>
      <c r="K443" s="11"/>
      <c r="L443" s="11"/>
      <c r="M443" s="11"/>
      <c r="N443" s="2">
        <v>1.25</v>
      </c>
      <c r="O443" s="2"/>
      <c r="P443" s="2"/>
      <c r="Q443" s="2"/>
      <c r="R443" s="11"/>
      <c r="S443" s="11" t="s">
        <v>533</v>
      </c>
      <c r="T443" s="11" t="s">
        <v>85</v>
      </c>
      <c r="U443" s="11"/>
      <c r="V443" s="11"/>
      <c r="W443" s="11"/>
      <c r="X443" s="11"/>
      <c r="Y443" s="11"/>
      <c r="Z443" s="11"/>
      <c r="AA443" s="11"/>
      <c r="AB443" s="9"/>
      <c r="AC443" s="2"/>
      <c r="AD443" s="9"/>
      <c r="AE443" s="2"/>
      <c r="AF443" s="9"/>
      <c r="AG443" s="10"/>
      <c r="AH443" s="11"/>
      <c r="AI443" s="11" t="s">
        <v>86</v>
      </c>
      <c r="AJ443" s="11"/>
      <c r="AK443" s="2"/>
      <c r="AL443" s="11"/>
      <c r="AM443" s="11"/>
      <c r="AN443" s="11"/>
      <c r="AO443" s="2"/>
      <c r="AP443" s="3"/>
      <c r="AQ443" s="11"/>
      <c r="AR443" s="3"/>
      <c r="AS443" s="2"/>
      <c r="AT443" s="11"/>
      <c r="AU443" s="2"/>
      <c r="AV443" s="2"/>
      <c r="AW443" s="2"/>
      <c r="AX443" s="11"/>
      <c r="AY443" s="11"/>
      <c r="AZ443" s="9"/>
      <c r="BA443" s="2">
        <v>1875</v>
      </c>
      <c r="BB443" s="11"/>
      <c r="BC443" s="11"/>
      <c r="BD443" s="11"/>
      <c r="BE443" s="11"/>
      <c r="BF443" s="11"/>
      <c r="BG443" s="11"/>
      <c r="BH443" s="11"/>
      <c r="BI443" s="11"/>
      <c r="BJ443" s="11" t="s">
        <v>87</v>
      </c>
      <c r="BK443" s="10">
        <v>46303.805902777778</v>
      </c>
      <c r="BL443" s="11"/>
      <c r="BM443" s="11"/>
      <c r="BN443" s="10">
        <v>46303.625</v>
      </c>
      <c r="BO443" s="11"/>
      <c r="BP443" s="11"/>
      <c r="BQ443" s="11"/>
      <c r="BR443" s="11"/>
      <c r="BS443" s="11"/>
      <c r="BT443" s="11"/>
      <c r="BU443" s="11"/>
      <c r="BV443" s="2"/>
      <c r="BW443" s="11"/>
    </row>
    <row r="444" spans="1:75" ht="30" x14ac:dyDescent="0.25">
      <c r="A444" s="2">
        <v>6200442</v>
      </c>
      <c r="B444" s="10">
        <v>46303.805902777778</v>
      </c>
      <c r="C444" s="11" t="s">
        <v>82</v>
      </c>
      <c r="D444" s="11"/>
      <c r="E444" s="11" t="s">
        <v>88</v>
      </c>
      <c r="F444" s="11"/>
      <c r="G444" s="2">
        <v>470123456</v>
      </c>
      <c r="H444" s="3"/>
      <c r="I444" s="11" t="s">
        <v>75</v>
      </c>
      <c r="J444" s="11"/>
      <c r="K444" s="11"/>
      <c r="L444" s="11"/>
      <c r="M444" s="11"/>
      <c r="N444" s="2">
        <v>1.25</v>
      </c>
      <c r="O444" s="2"/>
      <c r="P444" s="2"/>
      <c r="Q444" s="2"/>
      <c r="R444" s="11"/>
      <c r="S444" s="11" t="s">
        <v>534</v>
      </c>
      <c r="T444" s="11" t="s">
        <v>85</v>
      </c>
      <c r="U444" s="11"/>
      <c r="V444" s="11"/>
      <c r="W444" s="11"/>
      <c r="X444" s="11"/>
      <c r="Y444" s="11"/>
      <c r="Z444" s="11"/>
      <c r="AA444" s="11"/>
      <c r="AB444" s="9"/>
      <c r="AC444" s="2"/>
      <c r="AD444" s="9"/>
      <c r="AE444" s="2"/>
      <c r="AF444" s="9"/>
      <c r="AG444" s="10"/>
      <c r="AH444" s="11"/>
      <c r="AI444" s="11" t="s">
        <v>86</v>
      </c>
      <c r="AJ444" s="11"/>
      <c r="AK444" s="2"/>
      <c r="AL444" s="11"/>
      <c r="AM444" s="11"/>
      <c r="AN444" s="11"/>
      <c r="AO444" s="2"/>
      <c r="AP444" s="3"/>
      <c r="AQ444" s="11"/>
      <c r="AR444" s="3"/>
      <c r="AS444" s="2"/>
      <c r="AT444" s="11"/>
      <c r="AU444" s="2"/>
      <c r="AV444" s="2"/>
      <c r="AW444" s="2"/>
      <c r="AX444" s="11"/>
      <c r="AY444" s="11"/>
      <c r="AZ444" s="9"/>
      <c r="BA444" s="2">
        <v>1875</v>
      </c>
      <c r="BB444" s="11"/>
      <c r="BC444" s="11"/>
      <c r="BD444" s="11"/>
      <c r="BE444" s="11"/>
      <c r="BF444" s="11"/>
      <c r="BG444" s="11"/>
      <c r="BH444" s="11"/>
      <c r="BI444" s="11"/>
      <c r="BJ444" s="11" t="s">
        <v>87</v>
      </c>
      <c r="BK444" s="10">
        <v>46303.805902777778</v>
      </c>
      <c r="BL444" s="11"/>
      <c r="BM444" s="11"/>
      <c r="BN444" s="10">
        <v>46303.625</v>
      </c>
      <c r="BO444" s="11"/>
      <c r="BP444" s="11"/>
      <c r="BQ444" s="11"/>
      <c r="BR444" s="11"/>
      <c r="BS444" s="11"/>
      <c r="BT444" s="11"/>
      <c r="BU444" s="11"/>
      <c r="BV444" s="2"/>
      <c r="BW444" s="11"/>
    </row>
    <row r="445" spans="1:75" ht="30" x14ac:dyDescent="0.25">
      <c r="A445" s="2">
        <v>6200443</v>
      </c>
      <c r="B445" s="10">
        <v>46303.805902777778</v>
      </c>
      <c r="C445" s="11" t="s">
        <v>82</v>
      </c>
      <c r="D445" s="11"/>
      <c r="E445" s="11" t="s">
        <v>92</v>
      </c>
      <c r="F445" s="11"/>
      <c r="G445" s="11" t="s">
        <v>94</v>
      </c>
      <c r="H445" s="3"/>
      <c r="I445" s="11" t="s">
        <v>90</v>
      </c>
      <c r="J445" s="11"/>
      <c r="K445" s="11"/>
      <c r="L445" s="11"/>
      <c r="M445" s="11"/>
      <c r="N445" s="2">
        <v>1.25</v>
      </c>
      <c r="O445" s="2"/>
      <c r="P445" s="2"/>
      <c r="Q445" s="2"/>
      <c r="R445" s="11"/>
      <c r="S445" s="11" t="s">
        <v>535</v>
      </c>
      <c r="T445" s="11" t="s">
        <v>85</v>
      </c>
      <c r="U445" s="11"/>
      <c r="V445" s="11"/>
      <c r="W445" s="11"/>
      <c r="X445" s="11"/>
      <c r="Y445" s="11"/>
      <c r="Z445" s="11"/>
      <c r="AA445" s="11"/>
      <c r="AB445" s="9"/>
      <c r="AC445" s="2"/>
      <c r="AD445" s="9"/>
      <c r="AE445" s="2"/>
      <c r="AF445" s="9"/>
      <c r="AG445" s="10"/>
      <c r="AH445" s="11"/>
      <c r="AI445" s="11" t="s">
        <v>86</v>
      </c>
      <c r="AJ445" s="11"/>
      <c r="AK445" s="2"/>
      <c r="AL445" s="11"/>
      <c r="AM445" s="11"/>
      <c r="AN445" s="11"/>
      <c r="AO445" s="2"/>
      <c r="AP445" s="3"/>
      <c r="AQ445" s="11"/>
      <c r="AR445" s="3"/>
      <c r="AS445" s="2"/>
      <c r="AT445" s="11"/>
      <c r="AU445" s="2"/>
      <c r="AV445" s="2"/>
      <c r="AW445" s="2"/>
      <c r="AX445" s="11"/>
      <c r="AY445" s="11"/>
      <c r="AZ445" s="9"/>
      <c r="BA445" s="2">
        <v>1875</v>
      </c>
      <c r="BB445" s="11"/>
      <c r="BC445" s="11"/>
      <c r="BD445" s="11"/>
      <c r="BE445" s="11"/>
      <c r="BF445" s="11"/>
      <c r="BG445" s="11"/>
      <c r="BH445" s="11"/>
      <c r="BI445" s="11"/>
      <c r="BJ445" s="11" t="s">
        <v>87</v>
      </c>
      <c r="BK445" s="10">
        <v>46303.805902777778</v>
      </c>
      <c r="BL445" s="11"/>
      <c r="BM445" s="11"/>
      <c r="BN445" s="10">
        <v>46303.625</v>
      </c>
      <c r="BO445" s="11"/>
      <c r="BP445" s="11"/>
      <c r="BQ445" s="11"/>
      <c r="BR445" s="11"/>
      <c r="BS445" s="11"/>
      <c r="BT445" s="11"/>
      <c r="BU445" s="11"/>
      <c r="BV445" s="2"/>
      <c r="BW445" s="11"/>
    </row>
    <row r="446" spans="1:75" ht="30" x14ac:dyDescent="0.25">
      <c r="A446" s="2">
        <v>6200444</v>
      </c>
      <c r="B446" s="10">
        <v>46303.805902777778</v>
      </c>
      <c r="C446" s="11" t="s">
        <v>82</v>
      </c>
      <c r="D446" s="11"/>
      <c r="E446" s="11" t="s">
        <v>83</v>
      </c>
      <c r="F446" s="11"/>
      <c r="G446" s="11" t="s">
        <v>593</v>
      </c>
      <c r="H446" s="3"/>
      <c r="I446" s="11" t="s">
        <v>75</v>
      </c>
      <c r="J446" s="11"/>
      <c r="K446" s="11"/>
      <c r="L446" s="11"/>
      <c r="M446" s="11"/>
      <c r="N446" s="2">
        <v>1.25</v>
      </c>
      <c r="O446" s="2"/>
      <c r="P446" s="2"/>
      <c r="Q446" s="2"/>
      <c r="R446" s="11"/>
      <c r="S446" s="11" t="s">
        <v>536</v>
      </c>
      <c r="T446" s="11" t="s">
        <v>85</v>
      </c>
      <c r="U446" s="11"/>
      <c r="V446" s="11"/>
      <c r="W446" s="11"/>
      <c r="X446" s="11"/>
      <c r="Y446" s="11"/>
      <c r="Z446" s="11"/>
      <c r="AA446" s="11"/>
      <c r="AB446" s="9"/>
      <c r="AC446" s="2"/>
      <c r="AD446" s="9"/>
      <c r="AE446" s="2"/>
      <c r="AF446" s="9"/>
      <c r="AG446" s="10"/>
      <c r="AH446" s="11"/>
      <c r="AI446" s="11" t="s">
        <v>86</v>
      </c>
      <c r="AJ446" s="11"/>
      <c r="AK446" s="2"/>
      <c r="AL446" s="11"/>
      <c r="AM446" s="11"/>
      <c r="AN446" s="11"/>
      <c r="AO446" s="2"/>
      <c r="AP446" s="3"/>
      <c r="AQ446" s="11"/>
      <c r="AR446" s="3"/>
      <c r="AS446" s="2"/>
      <c r="AT446" s="11"/>
      <c r="AU446" s="2"/>
      <c r="AV446" s="2"/>
      <c r="AW446" s="2"/>
      <c r="AX446" s="11"/>
      <c r="AY446" s="11"/>
      <c r="AZ446" s="9"/>
      <c r="BA446" s="2">
        <v>1875</v>
      </c>
      <c r="BB446" s="11"/>
      <c r="BC446" s="11"/>
      <c r="BD446" s="11"/>
      <c r="BE446" s="11"/>
      <c r="BF446" s="11"/>
      <c r="BG446" s="11"/>
      <c r="BH446" s="11"/>
      <c r="BI446" s="11"/>
      <c r="BJ446" s="11" t="s">
        <v>87</v>
      </c>
      <c r="BK446" s="10">
        <v>46303.805902777778</v>
      </c>
      <c r="BL446" s="11"/>
      <c r="BM446" s="11"/>
      <c r="BN446" s="10">
        <v>46303.625</v>
      </c>
      <c r="BO446" s="11"/>
      <c r="BP446" s="11"/>
      <c r="BQ446" s="11"/>
      <c r="BR446" s="11"/>
      <c r="BS446" s="11"/>
      <c r="BT446" s="11"/>
      <c r="BU446" s="11"/>
      <c r="BV446" s="2"/>
      <c r="BW446" s="11"/>
    </row>
    <row r="447" spans="1:75" ht="30" x14ac:dyDescent="0.25">
      <c r="A447" s="2">
        <v>6200445</v>
      </c>
      <c r="B447" s="10">
        <v>46303.805902777778</v>
      </c>
      <c r="C447" s="11" t="s">
        <v>82</v>
      </c>
      <c r="D447" s="11"/>
      <c r="E447" s="11" t="s">
        <v>88</v>
      </c>
      <c r="F447" s="11"/>
      <c r="G447" s="11" t="s">
        <v>592</v>
      </c>
      <c r="H447" s="3"/>
      <c r="I447" s="11" t="s">
        <v>75</v>
      </c>
      <c r="J447" s="11"/>
      <c r="K447" s="11"/>
      <c r="L447" s="11"/>
      <c r="M447" s="11"/>
      <c r="N447" s="2">
        <v>1.25</v>
      </c>
      <c r="O447" s="2"/>
      <c r="P447" s="2"/>
      <c r="Q447" s="2"/>
      <c r="R447" s="11"/>
      <c r="S447" s="11" t="s">
        <v>537</v>
      </c>
      <c r="T447" s="11" t="s">
        <v>85</v>
      </c>
      <c r="U447" s="11"/>
      <c r="V447" s="11"/>
      <c r="W447" s="11"/>
      <c r="X447" s="11"/>
      <c r="Y447" s="11"/>
      <c r="Z447" s="11"/>
      <c r="AA447" s="11"/>
      <c r="AB447" s="9"/>
      <c r="AC447" s="2"/>
      <c r="AD447" s="9"/>
      <c r="AE447" s="2"/>
      <c r="AF447" s="9"/>
      <c r="AG447" s="10"/>
      <c r="AH447" s="11"/>
      <c r="AI447" s="11" t="s">
        <v>86</v>
      </c>
      <c r="AJ447" s="11"/>
      <c r="AK447" s="2"/>
      <c r="AL447" s="11"/>
      <c r="AM447" s="11"/>
      <c r="AN447" s="11"/>
      <c r="AO447" s="2"/>
      <c r="AP447" s="3"/>
      <c r="AQ447" s="11"/>
      <c r="AR447" s="3"/>
      <c r="AS447" s="2"/>
      <c r="AT447" s="11"/>
      <c r="AU447" s="2"/>
      <c r="AV447" s="2"/>
      <c r="AW447" s="2"/>
      <c r="AX447" s="11"/>
      <c r="AY447" s="11"/>
      <c r="AZ447" s="9"/>
      <c r="BA447" s="2">
        <v>1875</v>
      </c>
      <c r="BB447" s="11"/>
      <c r="BC447" s="11"/>
      <c r="BD447" s="11"/>
      <c r="BE447" s="11"/>
      <c r="BF447" s="11"/>
      <c r="BG447" s="11"/>
      <c r="BH447" s="11"/>
      <c r="BI447" s="11"/>
      <c r="BJ447" s="11" t="s">
        <v>87</v>
      </c>
      <c r="BK447" s="10">
        <v>46303.805902777778</v>
      </c>
      <c r="BL447" s="11"/>
      <c r="BM447" s="11"/>
      <c r="BN447" s="10">
        <v>46303.625</v>
      </c>
      <c r="BO447" s="11"/>
      <c r="BP447" s="11"/>
      <c r="BQ447" s="11"/>
      <c r="BR447" s="11"/>
      <c r="BS447" s="11"/>
      <c r="BT447" s="11"/>
      <c r="BU447" s="11"/>
      <c r="BV447" s="2"/>
      <c r="BW447" s="11"/>
    </row>
    <row r="448" spans="1:75" ht="30" x14ac:dyDescent="0.25">
      <c r="A448" s="2">
        <v>6200446</v>
      </c>
      <c r="B448" s="10">
        <v>46303.805902777778</v>
      </c>
      <c r="C448" s="11" t="s">
        <v>82</v>
      </c>
      <c r="D448" s="11"/>
      <c r="E448" s="11" t="s">
        <v>92</v>
      </c>
      <c r="F448" s="11"/>
      <c r="G448" s="11" t="s">
        <v>89</v>
      </c>
      <c r="H448" s="3"/>
      <c r="I448" s="11" t="s">
        <v>90</v>
      </c>
      <c r="J448" s="11"/>
      <c r="K448" s="11"/>
      <c r="L448" s="11"/>
      <c r="M448" s="11"/>
      <c r="N448" s="2">
        <v>1.25</v>
      </c>
      <c r="O448" s="2"/>
      <c r="P448" s="2"/>
      <c r="Q448" s="2"/>
      <c r="R448" s="11"/>
      <c r="S448" s="11" t="s">
        <v>538</v>
      </c>
      <c r="T448" s="11" t="s">
        <v>85</v>
      </c>
      <c r="U448" s="11"/>
      <c r="V448" s="11"/>
      <c r="W448" s="11"/>
      <c r="X448" s="11"/>
      <c r="Y448" s="11"/>
      <c r="Z448" s="11"/>
      <c r="AA448" s="11"/>
      <c r="AB448" s="9"/>
      <c r="AC448" s="2"/>
      <c r="AD448" s="9"/>
      <c r="AE448" s="2"/>
      <c r="AF448" s="9"/>
      <c r="AG448" s="10"/>
      <c r="AH448" s="11"/>
      <c r="AI448" s="11" t="s">
        <v>86</v>
      </c>
      <c r="AJ448" s="11"/>
      <c r="AK448" s="2"/>
      <c r="AL448" s="11"/>
      <c r="AM448" s="11"/>
      <c r="AN448" s="11"/>
      <c r="AO448" s="2"/>
      <c r="AP448" s="3"/>
      <c r="AQ448" s="11"/>
      <c r="AR448" s="3"/>
      <c r="AS448" s="2"/>
      <c r="AT448" s="11"/>
      <c r="AU448" s="2"/>
      <c r="AV448" s="2"/>
      <c r="AW448" s="2"/>
      <c r="AX448" s="11"/>
      <c r="AY448" s="11"/>
      <c r="AZ448" s="9"/>
      <c r="BA448" s="2">
        <v>1875</v>
      </c>
      <c r="BB448" s="11"/>
      <c r="BC448" s="11"/>
      <c r="BD448" s="11"/>
      <c r="BE448" s="11"/>
      <c r="BF448" s="11"/>
      <c r="BG448" s="11"/>
      <c r="BH448" s="11"/>
      <c r="BI448" s="11"/>
      <c r="BJ448" s="11" t="s">
        <v>87</v>
      </c>
      <c r="BK448" s="10">
        <v>46303.805902777778</v>
      </c>
      <c r="BL448" s="11"/>
      <c r="BM448" s="11"/>
      <c r="BN448" s="10">
        <v>46303.625</v>
      </c>
      <c r="BO448" s="11"/>
      <c r="BP448" s="11"/>
      <c r="BQ448" s="11"/>
      <c r="BR448" s="11"/>
      <c r="BS448" s="11"/>
      <c r="BT448" s="11"/>
      <c r="BU448" s="11"/>
      <c r="BV448" s="2"/>
      <c r="BW448" s="11"/>
    </row>
    <row r="449" spans="1:75" ht="30" x14ac:dyDescent="0.25">
      <c r="A449" s="2">
        <v>6200447</v>
      </c>
      <c r="B449" s="10">
        <v>46303.805902777778</v>
      </c>
      <c r="C449" s="11" t="s">
        <v>82</v>
      </c>
      <c r="D449" s="11"/>
      <c r="E449" s="11" t="s">
        <v>83</v>
      </c>
      <c r="F449" s="11"/>
      <c r="G449" s="2">
        <v>470123456</v>
      </c>
      <c r="H449" s="3"/>
      <c r="I449" s="11" t="s">
        <v>75</v>
      </c>
      <c r="J449" s="11"/>
      <c r="K449" s="11"/>
      <c r="L449" s="11"/>
      <c r="M449" s="11"/>
      <c r="N449" s="2">
        <v>1.25</v>
      </c>
      <c r="O449" s="2"/>
      <c r="P449" s="2"/>
      <c r="Q449" s="2"/>
      <c r="R449" s="11"/>
      <c r="S449" s="11" t="s">
        <v>539</v>
      </c>
      <c r="T449" s="11" t="s">
        <v>85</v>
      </c>
      <c r="U449" s="11"/>
      <c r="V449" s="11"/>
      <c r="W449" s="11"/>
      <c r="X449" s="11"/>
      <c r="Y449" s="11"/>
      <c r="Z449" s="11"/>
      <c r="AA449" s="11"/>
      <c r="AB449" s="9"/>
      <c r="AC449" s="2"/>
      <c r="AD449" s="9"/>
      <c r="AE449" s="2"/>
      <c r="AF449" s="9"/>
      <c r="AG449" s="10"/>
      <c r="AH449" s="11"/>
      <c r="AI449" s="11" t="s">
        <v>86</v>
      </c>
      <c r="AJ449" s="11"/>
      <c r="AK449" s="2"/>
      <c r="AL449" s="11"/>
      <c r="AM449" s="11"/>
      <c r="AN449" s="11"/>
      <c r="AO449" s="2"/>
      <c r="AP449" s="3"/>
      <c r="AQ449" s="11"/>
      <c r="AR449" s="3"/>
      <c r="AS449" s="2"/>
      <c r="AT449" s="11"/>
      <c r="AU449" s="2"/>
      <c r="AV449" s="2"/>
      <c r="AW449" s="2"/>
      <c r="AX449" s="11"/>
      <c r="AY449" s="11"/>
      <c r="AZ449" s="9"/>
      <c r="BA449" s="2">
        <v>1875</v>
      </c>
      <c r="BB449" s="11"/>
      <c r="BC449" s="11"/>
      <c r="BD449" s="11"/>
      <c r="BE449" s="11"/>
      <c r="BF449" s="11"/>
      <c r="BG449" s="11"/>
      <c r="BH449" s="11"/>
      <c r="BI449" s="11"/>
      <c r="BJ449" s="11" t="s">
        <v>87</v>
      </c>
      <c r="BK449" s="10">
        <v>46303.805902777778</v>
      </c>
      <c r="BL449" s="11"/>
      <c r="BM449" s="11"/>
      <c r="BN449" s="10">
        <v>46303.625</v>
      </c>
      <c r="BO449" s="11"/>
      <c r="BP449" s="11"/>
      <c r="BQ449" s="11"/>
      <c r="BR449" s="11"/>
      <c r="BS449" s="11"/>
      <c r="BT449" s="11"/>
      <c r="BU449" s="11"/>
      <c r="BV449" s="2"/>
      <c r="BW449" s="11"/>
    </row>
    <row r="450" spans="1:75" ht="30" x14ac:dyDescent="0.25">
      <c r="A450" s="2">
        <v>6200448</v>
      </c>
      <c r="B450" s="10">
        <v>46303.805902777778</v>
      </c>
      <c r="C450" s="11" t="s">
        <v>82</v>
      </c>
      <c r="D450" s="11"/>
      <c r="E450" s="11" t="s">
        <v>88</v>
      </c>
      <c r="F450" s="11"/>
      <c r="G450" s="11" t="s">
        <v>94</v>
      </c>
      <c r="H450" s="3"/>
      <c r="I450" s="11" t="s">
        <v>90</v>
      </c>
      <c r="J450" s="11"/>
      <c r="K450" s="11"/>
      <c r="L450" s="11"/>
      <c r="M450" s="11"/>
      <c r="N450" s="2">
        <v>1.25</v>
      </c>
      <c r="O450" s="2"/>
      <c r="P450" s="2"/>
      <c r="Q450" s="2"/>
      <c r="R450" s="11"/>
      <c r="S450" s="11" t="s">
        <v>540</v>
      </c>
      <c r="T450" s="11" t="s">
        <v>85</v>
      </c>
      <c r="U450" s="11"/>
      <c r="V450" s="11"/>
      <c r="W450" s="11"/>
      <c r="X450" s="11"/>
      <c r="Y450" s="11"/>
      <c r="Z450" s="11"/>
      <c r="AA450" s="11"/>
      <c r="AB450" s="9"/>
      <c r="AC450" s="2"/>
      <c r="AD450" s="9"/>
      <c r="AE450" s="2"/>
      <c r="AF450" s="9"/>
      <c r="AG450" s="10"/>
      <c r="AH450" s="11"/>
      <c r="AI450" s="11" t="s">
        <v>86</v>
      </c>
      <c r="AJ450" s="11"/>
      <c r="AK450" s="2"/>
      <c r="AL450" s="11"/>
      <c r="AM450" s="11"/>
      <c r="AN450" s="11"/>
      <c r="AO450" s="2"/>
      <c r="AP450" s="3"/>
      <c r="AQ450" s="11"/>
      <c r="AR450" s="3"/>
      <c r="AS450" s="2"/>
      <c r="AT450" s="11"/>
      <c r="AU450" s="2"/>
      <c r="AV450" s="2"/>
      <c r="AW450" s="2"/>
      <c r="AX450" s="11"/>
      <c r="AY450" s="11"/>
      <c r="AZ450" s="9"/>
      <c r="BA450" s="2">
        <v>1875</v>
      </c>
      <c r="BB450" s="11"/>
      <c r="BC450" s="11"/>
      <c r="BD450" s="11"/>
      <c r="BE450" s="11"/>
      <c r="BF450" s="11"/>
      <c r="BG450" s="11"/>
      <c r="BH450" s="11"/>
      <c r="BI450" s="11"/>
      <c r="BJ450" s="11" t="s">
        <v>87</v>
      </c>
      <c r="BK450" s="10">
        <v>46303.805902777778</v>
      </c>
      <c r="BL450" s="11"/>
      <c r="BM450" s="11"/>
      <c r="BN450" s="10">
        <v>46303.625</v>
      </c>
      <c r="BO450" s="11"/>
      <c r="BP450" s="11"/>
      <c r="BQ450" s="11"/>
      <c r="BR450" s="11"/>
      <c r="BS450" s="11"/>
      <c r="BT450" s="11"/>
      <c r="BU450" s="11"/>
      <c r="BV450" s="2"/>
      <c r="BW450" s="11"/>
    </row>
    <row r="451" spans="1:75" ht="30" x14ac:dyDescent="0.25">
      <c r="A451" s="2">
        <v>6200449</v>
      </c>
      <c r="B451" s="10">
        <v>46303.805902777778</v>
      </c>
      <c r="C451" s="11" t="s">
        <v>82</v>
      </c>
      <c r="D451" s="11"/>
      <c r="E451" s="11" t="s">
        <v>92</v>
      </c>
      <c r="F451" s="11"/>
      <c r="G451" s="11" t="s">
        <v>593</v>
      </c>
      <c r="H451" s="3"/>
      <c r="I451" s="11" t="s">
        <v>75</v>
      </c>
      <c r="J451" s="11"/>
      <c r="K451" s="11"/>
      <c r="L451" s="11"/>
      <c r="M451" s="11"/>
      <c r="N451" s="2">
        <v>1.25</v>
      </c>
      <c r="O451" s="2"/>
      <c r="P451" s="2"/>
      <c r="Q451" s="2"/>
      <c r="R451" s="11"/>
      <c r="S451" s="11" t="s">
        <v>541</v>
      </c>
      <c r="T451" s="11" t="s">
        <v>85</v>
      </c>
      <c r="U451" s="11"/>
      <c r="V451" s="11"/>
      <c r="W451" s="11"/>
      <c r="X451" s="11"/>
      <c r="Y451" s="11"/>
      <c r="Z451" s="11"/>
      <c r="AA451" s="11"/>
      <c r="AB451" s="9"/>
      <c r="AC451" s="2"/>
      <c r="AD451" s="9"/>
      <c r="AE451" s="2"/>
      <c r="AF451" s="9"/>
      <c r="AG451" s="10"/>
      <c r="AH451" s="11"/>
      <c r="AI451" s="11" t="s">
        <v>86</v>
      </c>
      <c r="AJ451" s="11"/>
      <c r="AK451" s="2"/>
      <c r="AL451" s="11"/>
      <c r="AM451" s="11"/>
      <c r="AN451" s="11"/>
      <c r="AO451" s="2"/>
      <c r="AP451" s="3"/>
      <c r="AQ451" s="11"/>
      <c r="AR451" s="3"/>
      <c r="AS451" s="2"/>
      <c r="AT451" s="11"/>
      <c r="AU451" s="2"/>
      <c r="AV451" s="2"/>
      <c r="AW451" s="2"/>
      <c r="AX451" s="11"/>
      <c r="AY451" s="11"/>
      <c r="AZ451" s="9"/>
      <c r="BA451" s="2">
        <v>1875</v>
      </c>
      <c r="BB451" s="11"/>
      <c r="BC451" s="11"/>
      <c r="BD451" s="11"/>
      <c r="BE451" s="11"/>
      <c r="BF451" s="11"/>
      <c r="BG451" s="11"/>
      <c r="BH451" s="11"/>
      <c r="BI451" s="11"/>
      <c r="BJ451" s="11" t="s">
        <v>87</v>
      </c>
      <c r="BK451" s="10">
        <v>46303.805902777778</v>
      </c>
      <c r="BL451" s="11"/>
      <c r="BM451" s="11"/>
      <c r="BN451" s="10">
        <v>46303.625</v>
      </c>
      <c r="BO451" s="11"/>
      <c r="BP451" s="11"/>
      <c r="BQ451" s="11"/>
      <c r="BR451" s="11"/>
      <c r="BS451" s="11"/>
      <c r="BT451" s="11"/>
      <c r="BU451" s="11"/>
      <c r="BV451" s="2"/>
      <c r="BW451" s="11"/>
    </row>
    <row r="452" spans="1:75" ht="30" x14ac:dyDescent="0.25">
      <c r="A452" s="2">
        <v>6200450</v>
      </c>
      <c r="B452" s="10">
        <v>46303.805902777778</v>
      </c>
      <c r="C452" s="11" t="s">
        <v>82</v>
      </c>
      <c r="D452" s="11"/>
      <c r="E452" s="11" t="s">
        <v>83</v>
      </c>
      <c r="F452" s="11"/>
      <c r="G452" s="11" t="s">
        <v>592</v>
      </c>
      <c r="H452" s="3"/>
      <c r="I452" s="11" t="s">
        <v>75</v>
      </c>
      <c r="J452" s="11"/>
      <c r="K452" s="11"/>
      <c r="L452" s="11"/>
      <c r="M452" s="11"/>
      <c r="N452" s="2">
        <v>1.25</v>
      </c>
      <c r="O452" s="2"/>
      <c r="P452" s="2"/>
      <c r="Q452" s="2"/>
      <c r="R452" s="11"/>
      <c r="S452" s="11" t="s">
        <v>542</v>
      </c>
      <c r="T452" s="11" t="s">
        <v>85</v>
      </c>
      <c r="U452" s="11"/>
      <c r="V452" s="11"/>
      <c r="W452" s="11"/>
      <c r="X452" s="11"/>
      <c r="Y452" s="11"/>
      <c r="Z452" s="11"/>
      <c r="AA452" s="11"/>
      <c r="AB452" s="9"/>
      <c r="AC452" s="2"/>
      <c r="AD452" s="9"/>
      <c r="AE452" s="2"/>
      <c r="AF452" s="9"/>
      <c r="AG452" s="10"/>
      <c r="AH452" s="11"/>
      <c r="AI452" s="11" t="s">
        <v>86</v>
      </c>
      <c r="AJ452" s="11"/>
      <c r="AK452" s="2"/>
      <c r="AL452" s="11"/>
      <c r="AM452" s="11"/>
      <c r="AN452" s="11"/>
      <c r="AO452" s="2"/>
      <c r="AP452" s="3"/>
      <c r="AQ452" s="11"/>
      <c r="AR452" s="3"/>
      <c r="AS452" s="2"/>
      <c r="AT452" s="11"/>
      <c r="AU452" s="2"/>
      <c r="AV452" s="2"/>
      <c r="AW452" s="2"/>
      <c r="AX452" s="11"/>
      <c r="AY452" s="11"/>
      <c r="AZ452" s="9"/>
      <c r="BA452" s="2">
        <v>1875</v>
      </c>
      <c r="BB452" s="11"/>
      <c r="BC452" s="11"/>
      <c r="BD452" s="11"/>
      <c r="BE452" s="11"/>
      <c r="BF452" s="11"/>
      <c r="BG452" s="11"/>
      <c r="BH452" s="11"/>
      <c r="BI452" s="11"/>
      <c r="BJ452" s="11" t="s">
        <v>87</v>
      </c>
      <c r="BK452" s="10">
        <v>46303.805902777778</v>
      </c>
      <c r="BL452" s="11"/>
      <c r="BM452" s="11"/>
      <c r="BN452" s="10">
        <v>46303.625</v>
      </c>
      <c r="BO452" s="11"/>
      <c r="BP452" s="11"/>
      <c r="BQ452" s="11"/>
      <c r="BR452" s="11"/>
      <c r="BS452" s="11"/>
      <c r="BT452" s="11"/>
      <c r="BU452" s="11"/>
      <c r="BV452" s="2"/>
      <c r="BW452" s="11"/>
    </row>
    <row r="453" spans="1:75" ht="30" x14ac:dyDescent="0.25">
      <c r="A453" s="2">
        <v>6200451</v>
      </c>
      <c r="B453" s="10">
        <v>46303.805902777778</v>
      </c>
      <c r="C453" s="11" t="s">
        <v>82</v>
      </c>
      <c r="D453" s="11"/>
      <c r="E453" s="11" t="s">
        <v>88</v>
      </c>
      <c r="F453" s="11"/>
      <c r="G453" s="11" t="s">
        <v>89</v>
      </c>
      <c r="H453" s="3"/>
      <c r="I453" s="11" t="s">
        <v>90</v>
      </c>
      <c r="J453" s="11"/>
      <c r="K453" s="11"/>
      <c r="L453" s="11"/>
      <c r="M453" s="11"/>
      <c r="N453" s="2">
        <v>1.25</v>
      </c>
      <c r="O453" s="2"/>
      <c r="P453" s="2"/>
      <c r="Q453" s="2"/>
      <c r="R453" s="11"/>
      <c r="S453" s="11" t="s">
        <v>543</v>
      </c>
      <c r="T453" s="11" t="s">
        <v>85</v>
      </c>
      <c r="U453" s="11"/>
      <c r="V453" s="11"/>
      <c r="W453" s="11"/>
      <c r="X453" s="11"/>
      <c r="Y453" s="11"/>
      <c r="Z453" s="11"/>
      <c r="AA453" s="11"/>
      <c r="AB453" s="9"/>
      <c r="AC453" s="2"/>
      <c r="AD453" s="9"/>
      <c r="AE453" s="2"/>
      <c r="AF453" s="9"/>
      <c r="AG453" s="10"/>
      <c r="AH453" s="11"/>
      <c r="AI453" s="11" t="s">
        <v>86</v>
      </c>
      <c r="AJ453" s="11"/>
      <c r="AK453" s="2"/>
      <c r="AL453" s="11"/>
      <c r="AM453" s="11"/>
      <c r="AN453" s="11"/>
      <c r="AO453" s="2"/>
      <c r="AP453" s="3"/>
      <c r="AQ453" s="11"/>
      <c r="AR453" s="3"/>
      <c r="AS453" s="2"/>
      <c r="AT453" s="11"/>
      <c r="AU453" s="2"/>
      <c r="AV453" s="2"/>
      <c r="AW453" s="2"/>
      <c r="AX453" s="11"/>
      <c r="AY453" s="11"/>
      <c r="AZ453" s="9"/>
      <c r="BA453" s="2">
        <v>1875</v>
      </c>
      <c r="BB453" s="11"/>
      <c r="BC453" s="11"/>
      <c r="BD453" s="11"/>
      <c r="BE453" s="11"/>
      <c r="BF453" s="11"/>
      <c r="BG453" s="11"/>
      <c r="BH453" s="11"/>
      <c r="BI453" s="11"/>
      <c r="BJ453" s="11" t="s">
        <v>87</v>
      </c>
      <c r="BK453" s="10">
        <v>46303.805902777778</v>
      </c>
      <c r="BL453" s="11"/>
      <c r="BM453" s="11"/>
      <c r="BN453" s="10">
        <v>46303.625</v>
      </c>
      <c r="BO453" s="11"/>
      <c r="BP453" s="11"/>
      <c r="BQ453" s="11"/>
      <c r="BR453" s="11"/>
      <c r="BS453" s="11"/>
      <c r="BT453" s="11"/>
      <c r="BU453" s="11"/>
      <c r="BV453" s="2"/>
      <c r="BW453" s="11"/>
    </row>
    <row r="454" spans="1:75" ht="30" x14ac:dyDescent="0.25">
      <c r="A454" s="2">
        <v>6200452</v>
      </c>
      <c r="B454" s="10">
        <v>46303.805902777778</v>
      </c>
      <c r="C454" s="11" t="s">
        <v>82</v>
      </c>
      <c r="D454" s="11"/>
      <c r="E454" s="11" t="s">
        <v>92</v>
      </c>
      <c r="F454" s="11"/>
      <c r="G454" s="2">
        <v>470123456</v>
      </c>
      <c r="H454" s="3"/>
      <c r="I454" s="11" t="s">
        <v>75</v>
      </c>
      <c r="J454" s="11"/>
      <c r="K454" s="11"/>
      <c r="L454" s="11"/>
      <c r="M454" s="11"/>
      <c r="N454" s="2">
        <v>1.25</v>
      </c>
      <c r="O454" s="2"/>
      <c r="P454" s="2"/>
      <c r="Q454" s="2"/>
      <c r="R454" s="11"/>
      <c r="S454" s="11" t="s">
        <v>544</v>
      </c>
      <c r="T454" s="11" t="s">
        <v>85</v>
      </c>
      <c r="U454" s="11"/>
      <c r="V454" s="11"/>
      <c r="W454" s="11"/>
      <c r="X454" s="11"/>
      <c r="Y454" s="11"/>
      <c r="Z454" s="11"/>
      <c r="AA454" s="11"/>
      <c r="AB454" s="9"/>
      <c r="AC454" s="2"/>
      <c r="AD454" s="9"/>
      <c r="AE454" s="2"/>
      <c r="AF454" s="9"/>
      <c r="AG454" s="10"/>
      <c r="AH454" s="11"/>
      <c r="AI454" s="11" t="s">
        <v>86</v>
      </c>
      <c r="AJ454" s="11"/>
      <c r="AK454" s="2"/>
      <c r="AL454" s="11"/>
      <c r="AM454" s="11"/>
      <c r="AN454" s="11"/>
      <c r="AO454" s="2"/>
      <c r="AP454" s="3"/>
      <c r="AQ454" s="11"/>
      <c r="AR454" s="3"/>
      <c r="AS454" s="2"/>
      <c r="AT454" s="11"/>
      <c r="AU454" s="2"/>
      <c r="AV454" s="2"/>
      <c r="AW454" s="2"/>
      <c r="AX454" s="11"/>
      <c r="AY454" s="11"/>
      <c r="AZ454" s="9"/>
      <c r="BA454" s="2">
        <v>1875</v>
      </c>
      <c r="BB454" s="11"/>
      <c r="BC454" s="11"/>
      <c r="BD454" s="11"/>
      <c r="BE454" s="11"/>
      <c r="BF454" s="11"/>
      <c r="BG454" s="11"/>
      <c r="BH454" s="11"/>
      <c r="BI454" s="11"/>
      <c r="BJ454" s="11" t="s">
        <v>87</v>
      </c>
      <c r="BK454" s="10">
        <v>46303.805902777778</v>
      </c>
      <c r="BL454" s="11"/>
      <c r="BM454" s="11"/>
      <c r="BN454" s="10">
        <v>46303.625</v>
      </c>
      <c r="BO454" s="11"/>
      <c r="BP454" s="11"/>
      <c r="BQ454" s="11"/>
      <c r="BR454" s="11"/>
      <c r="BS454" s="11"/>
      <c r="BT454" s="11"/>
      <c r="BU454" s="11"/>
      <c r="BV454" s="2"/>
      <c r="BW454" s="11"/>
    </row>
    <row r="455" spans="1:75" ht="30" x14ac:dyDescent="0.25">
      <c r="A455" s="2">
        <v>6200453</v>
      </c>
      <c r="B455" s="10">
        <v>46303.805902777778</v>
      </c>
      <c r="C455" s="11" t="s">
        <v>82</v>
      </c>
      <c r="D455" s="11"/>
      <c r="E455" s="11" t="s">
        <v>83</v>
      </c>
      <c r="F455" s="11"/>
      <c r="G455" s="11" t="s">
        <v>94</v>
      </c>
      <c r="H455" s="3"/>
      <c r="I455" s="11" t="s">
        <v>90</v>
      </c>
      <c r="J455" s="11"/>
      <c r="K455" s="11"/>
      <c r="L455" s="11"/>
      <c r="M455" s="11"/>
      <c r="N455" s="2">
        <v>1.25</v>
      </c>
      <c r="O455" s="2"/>
      <c r="P455" s="2"/>
      <c r="Q455" s="2"/>
      <c r="R455" s="11"/>
      <c r="S455" s="11" t="s">
        <v>545</v>
      </c>
      <c r="T455" s="11" t="s">
        <v>85</v>
      </c>
      <c r="U455" s="11"/>
      <c r="V455" s="11"/>
      <c r="W455" s="11"/>
      <c r="X455" s="11"/>
      <c r="Y455" s="11"/>
      <c r="Z455" s="11"/>
      <c r="AA455" s="11"/>
      <c r="AB455" s="9"/>
      <c r="AC455" s="2"/>
      <c r="AD455" s="9"/>
      <c r="AE455" s="2"/>
      <c r="AF455" s="9"/>
      <c r="AG455" s="10"/>
      <c r="AH455" s="11"/>
      <c r="AI455" s="11" t="s">
        <v>86</v>
      </c>
      <c r="AJ455" s="11"/>
      <c r="AK455" s="2"/>
      <c r="AL455" s="11"/>
      <c r="AM455" s="11"/>
      <c r="AN455" s="11"/>
      <c r="AO455" s="2"/>
      <c r="AP455" s="3"/>
      <c r="AQ455" s="11"/>
      <c r="AR455" s="3"/>
      <c r="AS455" s="2"/>
      <c r="AT455" s="11"/>
      <c r="AU455" s="2"/>
      <c r="AV455" s="2"/>
      <c r="AW455" s="2"/>
      <c r="AX455" s="11"/>
      <c r="AY455" s="11"/>
      <c r="AZ455" s="9"/>
      <c r="BA455" s="2">
        <v>1875</v>
      </c>
      <c r="BB455" s="11"/>
      <c r="BC455" s="11"/>
      <c r="BD455" s="11"/>
      <c r="BE455" s="11"/>
      <c r="BF455" s="11"/>
      <c r="BG455" s="11"/>
      <c r="BH455" s="11"/>
      <c r="BI455" s="11"/>
      <c r="BJ455" s="11" t="s">
        <v>87</v>
      </c>
      <c r="BK455" s="10">
        <v>46303.805902777778</v>
      </c>
      <c r="BL455" s="11"/>
      <c r="BM455" s="11"/>
      <c r="BN455" s="10">
        <v>46303.625</v>
      </c>
      <c r="BO455" s="11"/>
      <c r="BP455" s="11"/>
      <c r="BQ455" s="11"/>
      <c r="BR455" s="11"/>
      <c r="BS455" s="11"/>
      <c r="BT455" s="11"/>
      <c r="BU455" s="11"/>
      <c r="BV455" s="2"/>
      <c r="BW455" s="11"/>
    </row>
    <row r="456" spans="1:75" ht="30" x14ac:dyDescent="0.25">
      <c r="A456" s="2">
        <v>6200454</v>
      </c>
      <c r="B456" s="10">
        <v>46303.805902777778</v>
      </c>
      <c r="C456" s="11" t="s">
        <v>82</v>
      </c>
      <c r="D456" s="11"/>
      <c r="E456" s="11" t="s">
        <v>88</v>
      </c>
      <c r="F456" s="11"/>
      <c r="G456" s="11" t="s">
        <v>593</v>
      </c>
      <c r="H456" s="3"/>
      <c r="I456" s="11" t="s">
        <v>75</v>
      </c>
      <c r="J456" s="11"/>
      <c r="K456" s="11"/>
      <c r="L456" s="11"/>
      <c r="M456" s="11"/>
      <c r="N456" s="2">
        <v>1.25</v>
      </c>
      <c r="O456" s="2"/>
      <c r="P456" s="2"/>
      <c r="Q456" s="2"/>
      <c r="R456" s="11"/>
      <c r="S456" s="11" t="s">
        <v>546</v>
      </c>
      <c r="T456" s="11" t="s">
        <v>85</v>
      </c>
      <c r="U456" s="11"/>
      <c r="V456" s="11"/>
      <c r="W456" s="11"/>
      <c r="X456" s="11"/>
      <c r="Y456" s="11"/>
      <c r="Z456" s="11"/>
      <c r="AA456" s="11"/>
      <c r="AB456" s="9"/>
      <c r="AC456" s="2"/>
      <c r="AD456" s="9"/>
      <c r="AE456" s="2"/>
      <c r="AF456" s="9"/>
      <c r="AG456" s="10"/>
      <c r="AH456" s="11"/>
      <c r="AI456" s="11" t="s">
        <v>86</v>
      </c>
      <c r="AJ456" s="11"/>
      <c r="AK456" s="2"/>
      <c r="AL456" s="11"/>
      <c r="AM456" s="11"/>
      <c r="AN456" s="11"/>
      <c r="AO456" s="2"/>
      <c r="AP456" s="3"/>
      <c r="AQ456" s="11"/>
      <c r="AR456" s="3"/>
      <c r="AS456" s="2"/>
      <c r="AT456" s="11"/>
      <c r="AU456" s="2"/>
      <c r="AV456" s="2"/>
      <c r="AW456" s="2"/>
      <c r="AX456" s="11"/>
      <c r="AY456" s="11"/>
      <c r="AZ456" s="9"/>
      <c r="BA456" s="2">
        <v>1875</v>
      </c>
      <c r="BB456" s="11"/>
      <c r="BC456" s="11"/>
      <c r="BD456" s="11"/>
      <c r="BE456" s="11"/>
      <c r="BF456" s="11"/>
      <c r="BG456" s="11"/>
      <c r="BH456" s="11"/>
      <c r="BI456" s="11"/>
      <c r="BJ456" s="11" t="s">
        <v>87</v>
      </c>
      <c r="BK456" s="10">
        <v>46303.805902777778</v>
      </c>
      <c r="BL456" s="11"/>
      <c r="BM456" s="11"/>
      <c r="BN456" s="10">
        <v>46303.625</v>
      </c>
      <c r="BO456" s="11"/>
      <c r="BP456" s="11"/>
      <c r="BQ456" s="11"/>
      <c r="BR456" s="11"/>
      <c r="BS456" s="11"/>
      <c r="BT456" s="11"/>
      <c r="BU456" s="11"/>
      <c r="BV456" s="2"/>
      <c r="BW456" s="11"/>
    </row>
    <row r="457" spans="1:75" ht="30" x14ac:dyDescent="0.25">
      <c r="A457" s="2">
        <v>6200455</v>
      </c>
      <c r="B457" s="10">
        <v>46303.805902777778</v>
      </c>
      <c r="C457" s="11" t="s">
        <v>82</v>
      </c>
      <c r="D457" s="11"/>
      <c r="E457" s="11" t="s">
        <v>92</v>
      </c>
      <c r="F457" s="11"/>
      <c r="G457" s="11" t="s">
        <v>592</v>
      </c>
      <c r="H457" s="3"/>
      <c r="I457" s="11" t="s">
        <v>75</v>
      </c>
      <c r="J457" s="11"/>
      <c r="K457" s="11"/>
      <c r="L457" s="11"/>
      <c r="M457" s="11"/>
      <c r="N457" s="2">
        <v>1.25</v>
      </c>
      <c r="O457" s="2"/>
      <c r="P457" s="2"/>
      <c r="Q457" s="2"/>
      <c r="R457" s="11"/>
      <c r="S457" s="11" t="s">
        <v>547</v>
      </c>
      <c r="T457" s="11" t="s">
        <v>85</v>
      </c>
      <c r="U457" s="11"/>
      <c r="V457" s="11"/>
      <c r="W457" s="11"/>
      <c r="X457" s="11"/>
      <c r="Y457" s="11"/>
      <c r="Z457" s="11"/>
      <c r="AA457" s="11"/>
      <c r="AB457" s="9"/>
      <c r="AC457" s="2"/>
      <c r="AD457" s="9"/>
      <c r="AE457" s="2"/>
      <c r="AF457" s="9"/>
      <c r="AG457" s="10"/>
      <c r="AH457" s="11"/>
      <c r="AI457" s="11" t="s">
        <v>86</v>
      </c>
      <c r="AJ457" s="11"/>
      <c r="AK457" s="2"/>
      <c r="AL457" s="11"/>
      <c r="AM457" s="11"/>
      <c r="AN457" s="11"/>
      <c r="AO457" s="2"/>
      <c r="AP457" s="3"/>
      <c r="AQ457" s="11"/>
      <c r="AR457" s="3"/>
      <c r="AS457" s="2"/>
      <c r="AT457" s="11"/>
      <c r="AU457" s="2"/>
      <c r="AV457" s="2"/>
      <c r="AW457" s="2"/>
      <c r="AX457" s="11"/>
      <c r="AY457" s="11"/>
      <c r="AZ457" s="9"/>
      <c r="BA457" s="2">
        <v>1875</v>
      </c>
      <c r="BB457" s="11"/>
      <c r="BC457" s="11"/>
      <c r="BD457" s="11"/>
      <c r="BE457" s="11"/>
      <c r="BF457" s="11"/>
      <c r="BG457" s="11"/>
      <c r="BH457" s="11"/>
      <c r="BI457" s="11"/>
      <c r="BJ457" s="11" t="s">
        <v>87</v>
      </c>
      <c r="BK457" s="10">
        <v>46303.805902777778</v>
      </c>
      <c r="BL457" s="11"/>
      <c r="BM457" s="11"/>
      <c r="BN457" s="10">
        <v>46303.625</v>
      </c>
      <c r="BO457" s="11"/>
      <c r="BP457" s="11"/>
      <c r="BQ457" s="11"/>
      <c r="BR457" s="11"/>
      <c r="BS457" s="11"/>
      <c r="BT457" s="11"/>
      <c r="BU457" s="11"/>
      <c r="BV457" s="2"/>
      <c r="BW457" s="11"/>
    </row>
    <row r="458" spans="1:75" ht="30" x14ac:dyDescent="0.25">
      <c r="A458" s="2">
        <v>6200456</v>
      </c>
      <c r="B458" s="10">
        <v>46303.805902777778</v>
      </c>
      <c r="C458" s="11" t="s">
        <v>82</v>
      </c>
      <c r="D458" s="11"/>
      <c r="E458" s="11" t="s">
        <v>83</v>
      </c>
      <c r="F458" s="11"/>
      <c r="G458" s="11" t="s">
        <v>89</v>
      </c>
      <c r="H458" s="3"/>
      <c r="I458" s="11" t="s">
        <v>90</v>
      </c>
      <c r="J458" s="11"/>
      <c r="K458" s="11"/>
      <c r="L458" s="11"/>
      <c r="M458" s="11"/>
      <c r="N458" s="2">
        <v>1.25</v>
      </c>
      <c r="O458" s="2"/>
      <c r="P458" s="2"/>
      <c r="Q458" s="2"/>
      <c r="R458" s="11"/>
      <c r="S458" s="11" t="s">
        <v>548</v>
      </c>
      <c r="T458" s="11" t="s">
        <v>85</v>
      </c>
      <c r="U458" s="11"/>
      <c r="V458" s="11"/>
      <c r="W458" s="11"/>
      <c r="X458" s="11"/>
      <c r="Y458" s="11"/>
      <c r="Z458" s="11"/>
      <c r="AA458" s="11"/>
      <c r="AB458" s="9"/>
      <c r="AC458" s="2"/>
      <c r="AD458" s="9"/>
      <c r="AE458" s="2"/>
      <c r="AF458" s="9"/>
      <c r="AG458" s="10"/>
      <c r="AH458" s="11"/>
      <c r="AI458" s="11" t="s">
        <v>86</v>
      </c>
      <c r="AJ458" s="11"/>
      <c r="AK458" s="2"/>
      <c r="AL458" s="11"/>
      <c r="AM458" s="11"/>
      <c r="AN458" s="11"/>
      <c r="AO458" s="2"/>
      <c r="AP458" s="3"/>
      <c r="AQ458" s="11"/>
      <c r="AR458" s="3"/>
      <c r="AS458" s="2"/>
      <c r="AT458" s="11"/>
      <c r="AU458" s="2"/>
      <c r="AV458" s="2"/>
      <c r="AW458" s="2"/>
      <c r="AX458" s="11"/>
      <c r="AY458" s="11"/>
      <c r="AZ458" s="9"/>
      <c r="BA458" s="2">
        <v>1875</v>
      </c>
      <c r="BB458" s="11"/>
      <c r="BC458" s="11"/>
      <c r="BD458" s="11"/>
      <c r="BE458" s="11"/>
      <c r="BF458" s="11"/>
      <c r="BG458" s="11"/>
      <c r="BH458" s="11"/>
      <c r="BI458" s="11"/>
      <c r="BJ458" s="11" t="s">
        <v>87</v>
      </c>
      <c r="BK458" s="10">
        <v>46303.805902777778</v>
      </c>
      <c r="BL458" s="11"/>
      <c r="BM458" s="11"/>
      <c r="BN458" s="10">
        <v>46303.625</v>
      </c>
      <c r="BO458" s="11"/>
      <c r="BP458" s="11"/>
      <c r="BQ458" s="11"/>
      <c r="BR458" s="11"/>
      <c r="BS458" s="11"/>
      <c r="BT458" s="11"/>
      <c r="BU458" s="11"/>
      <c r="BV458" s="2"/>
      <c r="BW458" s="11"/>
    </row>
    <row r="459" spans="1:75" ht="30" x14ac:dyDescent="0.25">
      <c r="A459" s="2">
        <v>6200457</v>
      </c>
      <c r="B459" s="10">
        <v>46303.805902777778</v>
      </c>
      <c r="C459" s="11" t="s">
        <v>82</v>
      </c>
      <c r="D459" s="11"/>
      <c r="E459" s="11" t="s">
        <v>88</v>
      </c>
      <c r="F459" s="11"/>
      <c r="G459" s="2">
        <v>470123456</v>
      </c>
      <c r="H459" s="3"/>
      <c r="I459" s="11" t="s">
        <v>75</v>
      </c>
      <c r="J459" s="11"/>
      <c r="K459" s="11"/>
      <c r="L459" s="11"/>
      <c r="M459" s="11"/>
      <c r="N459" s="2">
        <v>1.25</v>
      </c>
      <c r="O459" s="2"/>
      <c r="P459" s="2"/>
      <c r="Q459" s="2"/>
      <c r="R459" s="11"/>
      <c r="S459" s="11" t="s">
        <v>549</v>
      </c>
      <c r="T459" s="11" t="s">
        <v>85</v>
      </c>
      <c r="U459" s="11"/>
      <c r="V459" s="11"/>
      <c r="W459" s="11"/>
      <c r="X459" s="11"/>
      <c r="Y459" s="11"/>
      <c r="Z459" s="11"/>
      <c r="AA459" s="11"/>
      <c r="AB459" s="9"/>
      <c r="AC459" s="2"/>
      <c r="AD459" s="9"/>
      <c r="AE459" s="2"/>
      <c r="AF459" s="9"/>
      <c r="AG459" s="10"/>
      <c r="AH459" s="11"/>
      <c r="AI459" s="11" t="s">
        <v>86</v>
      </c>
      <c r="AJ459" s="11"/>
      <c r="AK459" s="2"/>
      <c r="AL459" s="11"/>
      <c r="AM459" s="11"/>
      <c r="AN459" s="11"/>
      <c r="AO459" s="2"/>
      <c r="AP459" s="3"/>
      <c r="AQ459" s="11"/>
      <c r="AR459" s="3"/>
      <c r="AS459" s="2"/>
      <c r="AT459" s="11"/>
      <c r="AU459" s="2"/>
      <c r="AV459" s="2"/>
      <c r="AW459" s="2"/>
      <c r="AX459" s="11"/>
      <c r="AY459" s="11"/>
      <c r="AZ459" s="9"/>
      <c r="BA459" s="2">
        <v>1875</v>
      </c>
      <c r="BB459" s="11"/>
      <c r="BC459" s="11"/>
      <c r="BD459" s="11"/>
      <c r="BE459" s="11"/>
      <c r="BF459" s="11"/>
      <c r="BG459" s="11"/>
      <c r="BH459" s="11"/>
      <c r="BI459" s="11"/>
      <c r="BJ459" s="11" t="s">
        <v>87</v>
      </c>
      <c r="BK459" s="10">
        <v>46303.805902777778</v>
      </c>
      <c r="BL459" s="11"/>
      <c r="BM459" s="11"/>
      <c r="BN459" s="10">
        <v>46303.625</v>
      </c>
      <c r="BO459" s="11"/>
      <c r="BP459" s="11"/>
      <c r="BQ459" s="11"/>
      <c r="BR459" s="11"/>
      <c r="BS459" s="11"/>
      <c r="BT459" s="11"/>
      <c r="BU459" s="11"/>
      <c r="BV459" s="2"/>
      <c r="BW459" s="11"/>
    </row>
    <row r="460" spans="1:75" ht="30" x14ac:dyDescent="0.25">
      <c r="A460" s="2">
        <v>6200458</v>
      </c>
      <c r="B460" s="10">
        <v>46303.805902777778</v>
      </c>
      <c r="C460" s="11" t="s">
        <v>82</v>
      </c>
      <c r="D460" s="11"/>
      <c r="E460" s="11" t="s">
        <v>92</v>
      </c>
      <c r="F460" s="11"/>
      <c r="G460" s="11" t="s">
        <v>94</v>
      </c>
      <c r="H460" s="3"/>
      <c r="I460" s="11" t="s">
        <v>90</v>
      </c>
      <c r="J460" s="11"/>
      <c r="K460" s="11"/>
      <c r="L460" s="11"/>
      <c r="M460" s="11"/>
      <c r="N460" s="2">
        <v>1.25</v>
      </c>
      <c r="O460" s="2"/>
      <c r="P460" s="2"/>
      <c r="Q460" s="2"/>
      <c r="R460" s="11"/>
      <c r="S460" s="11" t="s">
        <v>550</v>
      </c>
      <c r="T460" s="11" t="s">
        <v>85</v>
      </c>
      <c r="U460" s="11"/>
      <c r="V460" s="11"/>
      <c r="W460" s="11"/>
      <c r="X460" s="11"/>
      <c r="Y460" s="11"/>
      <c r="Z460" s="11"/>
      <c r="AA460" s="11"/>
      <c r="AB460" s="9"/>
      <c r="AC460" s="2"/>
      <c r="AD460" s="9"/>
      <c r="AE460" s="2"/>
      <c r="AF460" s="9"/>
      <c r="AG460" s="10"/>
      <c r="AH460" s="11"/>
      <c r="AI460" s="11" t="s">
        <v>86</v>
      </c>
      <c r="AJ460" s="11"/>
      <c r="AK460" s="2"/>
      <c r="AL460" s="11"/>
      <c r="AM460" s="11"/>
      <c r="AN460" s="11"/>
      <c r="AO460" s="2"/>
      <c r="AP460" s="3"/>
      <c r="AQ460" s="11"/>
      <c r="AR460" s="3"/>
      <c r="AS460" s="2"/>
      <c r="AT460" s="11"/>
      <c r="AU460" s="2"/>
      <c r="AV460" s="2"/>
      <c r="AW460" s="2"/>
      <c r="AX460" s="11"/>
      <c r="AY460" s="11"/>
      <c r="AZ460" s="9"/>
      <c r="BA460" s="2">
        <v>1875</v>
      </c>
      <c r="BB460" s="11"/>
      <c r="BC460" s="11"/>
      <c r="BD460" s="11"/>
      <c r="BE460" s="11"/>
      <c r="BF460" s="11"/>
      <c r="BG460" s="11"/>
      <c r="BH460" s="11"/>
      <c r="BI460" s="11"/>
      <c r="BJ460" s="11" t="s">
        <v>87</v>
      </c>
      <c r="BK460" s="10">
        <v>46303.805902777778</v>
      </c>
      <c r="BL460" s="11"/>
      <c r="BM460" s="11"/>
      <c r="BN460" s="10">
        <v>46303.625</v>
      </c>
      <c r="BO460" s="11"/>
      <c r="BP460" s="11"/>
      <c r="BQ460" s="11"/>
      <c r="BR460" s="11"/>
      <c r="BS460" s="11"/>
      <c r="BT460" s="11"/>
      <c r="BU460" s="11"/>
      <c r="BV460" s="2"/>
      <c r="BW460" s="11"/>
    </row>
    <row r="461" spans="1:75" ht="30" x14ac:dyDescent="0.25">
      <c r="A461" s="2">
        <v>6200459</v>
      </c>
      <c r="B461" s="10">
        <v>46303.805902777778</v>
      </c>
      <c r="C461" s="11" t="s">
        <v>82</v>
      </c>
      <c r="D461" s="11"/>
      <c r="E461" s="11" t="s">
        <v>83</v>
      </c>
      <c r="F461" s="11"/>
      <c r="G461" s="11" t="s">
        <v>593</v>
      </c>
      <c r="H461" s="3"/>
      <c r="I461" s="11" t="s">
        <v>75</v>
      </c>
      <c r="J461" s="11"/>
      <c r="K461" s="11"/>
      <c r="L461" s="11"/>
      <c r="M461" s="11"/>
      <c r="N461" s="2">
        <v>1.25</v>
      </c>
      <c r="O461" s="2"/>
      <c r="P461" s="2"/>
      <c r="Q461" s="2"/>
      <c r="R461" s="11"/>
      <c r="S461" s="11" t="s">
        <v>551</v>
      </c>
      <c r="T461" s="11" t="s">
        <v>85</v>
      </c>
      <c r="U461" s="11"/>
      <c r="V461" s="11"/>
      <c r="W461" s="11"/>
      <c r="X461" s="11"/>
      <c r="Y461" s="11"/>
      <c r="Z461" s="11"/>
      <c r="AA461" s="11"/>
      <c r="AB461" s="9"/>
      <c r="AC461" s="2"/>
      <c r="AD461" s="9"/>
      <c r="AE461" s="2"/>
      <c r="AF461" s="9"/>
      <c r="AG461" s="10"/>
      <c r="AH461" s="11"/>
      <c r="AI461" s="11" t="s">
        <v>86</v>
      </c>
      <c r="AJ461" s="11"/>
      <c r="AK461" s="2"/>
      <c r="AL461" s="11"/>
      <c r="AM461" s="11"/>
      <c r="AN461" s="11"/>
      <c r="AO461" s="2"/>
      <c r="AP461" s="3"/>
      <c r="AQ461" s="11"/>
      <c r="AR461" s="3"/>
      <c r="AS461" s="2"/>
      <c r="AT461" s="11"/>
      <c r="AU461" s="2"/>
      <c r="AV461" s="2"/>
      <c r="AW461" s="2"/>
      <c r="AX461" s="11"/>
      <c r="AY461" s="11"/>
      <c r="AZ461" s="9"/>
      <c r="BA461" s="2">
        <v>1875</v>
      </c>
      <c r="BB461" s="11"/>
      <c r="BC461" s="11"/>
      <c r="BD461" s="11"/>
      <c r="BE461" s="11"/>
      <c r="BF461" s="11"/>
      <c r="BG461" s="11"/>
      <c r="BH461" s="11"/>
      <c r="BI461" s="11"/>
      <c r="BJ461" s="11" t="s">
        <v>87</v>
      </c>
      <c r="BK461" s="10">
        <v>46303.805902777778</v>
      </c>
      <c r="BL461" s="11"/>
      <c r="BM461" s="11"/>
      <c r="BN461" s="10">
        <v>46303.625</v>
      </c>
      <c r="BO461" s="11"/>
      <c r="BP461" s="11"/>
      <c r="BQ461" s="11"/>
      <c r="BR461" s="11"/>
      <c r="BS461" s="11"/>
      <c r="BT461" s="11"/>
      <c r="BU461" s="11"/>
      <c r="BV461" s="2"/>
      <c r="BW461" s="11"/>
    </row>
    <row r="462" spans="1:75" ht="30" x14ac:dyDescent="0.25">
      <c r="A462" s="2">
        <v>6200460</v>
      </c>
      <c r="B462" s="10">
        <v>46303.805902777778</v>
      </c>
      <c r="C462" s="11" t="s">
        <v>82</v>
      </c>
      <c r="D462" s="11"/>
      <c r="E462" s="11" t="s">
        <v>88</v>
      </c>
      <c r="F462" s="11"/>
      <c r="G462" s="11" t="s">
        <v>592</v>
      </c>
      <c r="H462" s="3"/>
      <c r="I462" s="11" t="s">
        <v>75</v>
      </c>
      <c r="J462" s="11"/>
      <c r="K462" s="11"/>
      <c r="L462" s="11"/>
      <c r="M462" s="11"/>
      <c r="N462" s="2">
        <v>1.25</v>
      </c>
      <c r="O462" s="2"/>
      <c r="P462" s="2"/>
      <c r="Q462" s="2"/>
      <c r="R462" s="11"/>
      <c r="S462" s="11" t="s">
        <v>552</v>
      </c>
      <c r="T462" s="11" t="s">
        <v>85</v>
      </c>
      <c r="U462" s="11"/>
      <c r="V462" s="11"/>
      <c r="W462" s="11"/>
      <c r="X462" s="11"/>
      <c r="Y462" s="11"/>
      <c r="Z462" s="11"/>
      <c r="AA462" s="11"/>
      <c r="AB462" s="9"/>
      <c r="AC462" s="2"/>
      <c r="AD462" s="9"/>
      <c r="AE462" s="2"/>
      <c r="AF462" s="9"/>
      <c r="AG462" s="10"/>
      <c r="AH462" s="11"/>
      <c r="AI462" s="11" t="s">
        <v>86</v>
      </c>
      <c r="AJ462" s="11"/>
      <c r="AK462" s="2"/>
      <c r="AL462" s="11"/>
      <c r="AM462" s="11"/>
      <c r="AN462" s="11"/>
      <c r="AO462" s="2"/>
      <c r="AP462" s="3"/>
      <c r="AQ462" s="11"/>
      <c r="AR462" s="3"/>
      <c r="AS462" s="2"/>
      <c r="AT462" s="11"/>
      <c r="AU462" s="2"/>
      <c r="AV462" s="2"/>
      <c r="AW462" s="2"/>
      <c r="AX462" s="11"/>
      <c r="AY462" s="11"/>
      <c r="AZ462" s="9"/>
      <c r="BA462" s="2">
        <v>1875</v>
      </c>
      <c r="BB462" s="11"/>
      <c r="BC462" s="11"/>
      <c r="BD462" s="11"/>
      <c r="BE462" s="11"/>
      <c r="BF462" s="11"/>
      <c r="BG462" s="11"/>
      <c r="BH462" s="11"/>
      <c r="BI462" s="11"/>
      <c r="BJ462" s="11" t="s">
        <v>87</v>
      </c>
      <c r="BK462" s="10">
        <v>46303.805902777778</v>
      </c>
      <c r="BL462" s="11"/>
      <c r="BM462" s="11"/>
      <c r="BN462" s="10">
        <v>46303.625</v>
      </c>
      <c r="BO462" s="11"/>
      <c r="BP462" s="11"/>
      <c r="BQ462" s="11"/>
      <c r="BR462" s="11"/>
      <c r="BS462" s="11"/>
      <c r="BT462" s="11"/>
      <c r="BU462" s="11"/>
      <c r="BV462" s="2"/>
      <c r="BW462" s="11"/>
    </row>
    <row r="463" spans="1:75" ht="30" x14ac:dyDescent="0.25">
      <c r="A463" s="2">
        <v>6200461</v>
      </c>
      <c r="B463" s="10">
        <v>46303.805902777778</v>
      </c>
      <c r="C463" s="11" t="s">
        <v>82</v>
      </c>
      <c r="D463" s="11"/>
      <c r="E463" s="11" t="s">
        <v>92</v>
      </c>
      <c r="F463" s="11"/>
      <c r="G463" s="11" t="s">
        <v>89</v>
      </c>
      <c r="H463" s="3"/>
      <c r="I463" s="11" t="s">
        <v>90</v>
      </c>
      <c r="J463" s="11"/>
      <c r="K463" s="11"/>
      <c r="L463" s="11"/>
      <c r="M463" s="11"/>
      <c r="N463" s="2">
        <v>1.25</v>
      </c>
      <c r="O463" s="2"/>
      <c r="P463" s="2"/>
      <c r="Q463" s="2"/>
      <c r="R463" s="11"/>
      <c r="S463" s="11" t="s">
        <v>553</v>
      </c>
      <c r="T463" s="11" t="s">
        <v>85</v>
      </c>
      <c r="U463" s="11"/>
      <c r="V463" s="11"/>
      <c r="W463" s="11"/>
      <c r="X463" s="11"/>
      <c r="Y463" s="11"/>
      <c r="Z463" s="11"/>
      <c r="AA463" s="11"/>
      <c r="AB463" s="9"/>
      <c r="AC463" s="2"/>
      <c r="AD463" s="9"/>
      <c r="AE463" s="2"/>
      <c r="AF463" s="9"/>
      <c r="AG463" s="10"/>
      <c r="AH463" s="11"/>
      <c r="AI463" s="11" t="s">
        <v>86</v>
      </c>
      <c r="AJ463" s="11"/>
      <c r="AK463" s="2"/>
      <c r="AL463" s="11"/>
      <c r="AM463" s="11"/>
      <c r="AN463" s="11"/>
      <c r="AO463" s="2"/>
      <c r="AP463" s="3"/>
      <c r="AQ463" s="11"/>
      <c r="AR463" s="3"/>
      <c r="AS463" s="2"/>
      <c r="AT463" s="11"/>
      <c r="AU463" s="2"/>
      <c r="AV463" s="2"/>
      <c r="AW463" s="2"/>
      <c r="AX463" s="11"/>
      <c r="AY463" s="11"/>
      <c r="AZ463" s="9"/>
      <c r="BA463" s="2">
        <v>1875</v>
      </c>
      <c r="BB463" s="11"/>
      <c r="BC463" s="11"/>
      <c r="BD463" s="11"/>
      <c r="BE463" s="11"/>
      <c r="BF463" s="11"/>
      <c r="BG463" s="11"/>
      <c r="BH463" s="11"/>
      <c r="BI463" s="11"/>
      <c r="BJ463" s="11" t="s">
        <v>87</v>
      </c>
      <c r="BK463" s="10">
        <v>46303.805902777778</v>
      </c>
      <c r="BL463" s="11"/>
      <c r="BM463" s="11"/>
      <c r="BN463" s="10">
        <v>46303.625</v>
      </c>
      <c r="BO463" s="11"/>
      <c r="BP463" s="11"/>
      <c r="BQ463" s="11"/>
      <c r="BR463" s="11"/>
      <c r="BS463" s="11"/>
      <c r="BT463" s="11"/>
      <c r="BU463" s="11"/>
      <c r="BV463" s="2"/>
      <c r="BW463" s="11"/>
    </row>
    <row r="464" spans="1:75" ht="30" x14ac:dyDescent="0.25">
      <c r="A464" s="2">
        <v>6200462</v>
      </c>
      <c r="B464" s="10">
        <v>46303.805902777778</v>
      </c>
      <c r="C464" s="11" t="s">
        <v>82</v>
      </c>
      <c r="D464" s="11"/>
      <c r="E464" s="11" t="s">
        <v>83</v>
      </c>
      <c r="F464" s="11"/>
      <c r="G464" s="2">
        <v>470123456</v>
      </c>
      <c r="H464" s="3"/>
      <c r="I464" s="11" t="s">
        <v>75</v>
      </c>
      <c r="J464" s="11"/>
      <c r="K464" s="11"/>
      <c r="L464" s="11"/>
      <c r="M464" s="11"/>
      <c r="N464" s="2">
        <v>1.25</v>
      </c>
      <c r="O464" s="2"/>
      <c r="P464" s="2"/>
      <c r="Q464" s="2"/>
      <c r="R464" s="11"/>
      <c r="S464" s="11" t="s">
        <v>554</v>
      </c>
      <c r="T464" s="11" t="s">
        <v>85</v>
      </c>
      <c r="U464" s="11"/>
      <c r="V464" s="11"/>
      <c r="W464" s="11"/>
      <c r="X464" s="11"/>
      <c r="Y464" s="11"/>
      <c r="Z464" s="11"/>
      <c r="AA464" s="11"/>
      <c r="AB464" s="9"/>
      <c r="AC464" s="2"/>
      <c r="AD464" s="9"/>
      <c r="AE464" s="2"/>
      <c r="AF464" s="9"/>
      <c r="AG464" s="10"/>
      <c r="AH464" s="11"/>
      <c r="AI464" s="11" t="s">
        <v>86</v>
      </c>
      <c r="AJ464" s="11"/>
      <c r="AK464" s="2"/>
      <c r="AL464" s="11"/>
      <c r="AM464" s="11"/>
      <c r="AN464" s="11"/>
      <c r="AO464" s="2"/>
      <c r="AP464" s="3"/>
      <c r="AQ464" s="11"/>
      <c r="AR464" s="3"/>
      <c r="AS464" s="2"/>
      <c r="AT464" s="11"/>
      <c r="AU464" s="2"/>
      <c r="AV464" s="2"/>
      <c r="AW464" s="2"/>
      <c r="AX464" s="11"/>
      <c r="AY464" s="11"/>
      <c r="AZ464" s="9"/>
      <c r="BA464" s="2">
        <v>1875</v>
      </c>
      <c r="BB464" s="11"/>
      <c r="BC464" s="11"/>
      <c r="BD464" s="11"/>
      <c r="BE464" s="11"/>
      <c r="BF464" s="11"/>
      <c r="BG464" s="11"/>
      <c r="BH464" s="11"/>
      <c r="BI464" s="11"/>
      <c r="BJ464" s="11" t="s">
        <v>87</v>
      </c>
      <c r="BK464" s="10">
        <v>46303.805902777778</v>
      </c>
      <c r="BL464" s="11"/>
      <c r="BM464" s="11"/>
      <c r="BN464" s="10">
        <v>46303.625</v>
      </c>
      <c r="BO464" s="11"/>
      <c r="BP464" s="11"/>
      <c r="BQ464" s="11"/>
      <c r="BR464" s="11"/>
      <c r="BS464" s="11"/>
      <c r="BT464" s="11"/>
      <c r="BU464" s="11"/>
      <c r="BV464" s="2"/>
      <c r="BW464" s="11"/>
    </row>
    <row r="465" spans="1:75" ht="30" x14ac:dyDescent="0.25">
      <c r="A465" s="2">
        <v>6200463</v>
      </c>
      <c r="B465" s="10">
        <v>46303.805902777778</v>
      </c>
      <c r="C465" s="11" t="s">
        <v>82</v>
      </c>
      <c r="D465" s="11"/>
      <c r="E465" s="11" t="s">
        <v>88</v>
      </c>
      <c r="F465" s="11"/>
      <c r="G465" s="11" t="s">
        <v>94</v>
      </c>
      <c r="H465" s="3"/>
      <c r="I465" s="11" t="s">
        <v>90</v>
      </c>
      <c r="J465" s="11"/>
      <c r="K465" s="11"/>
      <c r="L465" s="11"/>
      <c r="M465" s="11"/>
      <c r="N465" s="2">
        <v>1.25</v>
      </c>
      <c r="O465" s="2"/>
      <c r="P465" s="2"/>
      <c r="Q465" s="2"/>
      <c r="R465" s="11"/>
      <c r="S465" s="11" t="s">
        <v>555</v>
      </c>
      <c r="T465" s="11" t="s">
        <v>85</v>
      </c>
      <c r="U465" s="11"/>
      <c r="V465" s="11"/>
      <c r="W465" s="11"/>
      <c r="X465" s="11"/>
      <c r="Y465" s="11"/>
      <c r="Z465" s="11"/>
      <c r="AA465" s="11"/>
      <c r="AB465" s="9"/>
      <c r="AC465" s="2"/>
      <c r="AD465" s="9"/>
      <c r="AE465" s="2"/>
      <c r="AF465" s="9"/>
      <c r="AG465" s="10"/>
      <c r="AH465" s="11"/>
      <c r="AI465" s="11" t="s">
        <v>86</v>
      </c>
      <c r="AJ465" s="11"/>
      <c r="AK465" s="2"/>
      <c r="AL465" s="11"/>
      <c r="AM465" s="11"/>
      <c r="AN465" s="11"/>
      <c r="AO465" s="2"/>
      <c r="AP465" s="3"/>
      <c r="AQ465" s="11"/>
      <c r="AR465" s="3"/>
      <c r="AS465" s="2"/>
      <c r="AT465" s="11"/>
      <c r="AU465" s="2"/>
      <c r="AV465" s="2"/>
      <c r="AW465" s="2"/>
      <c r="AX465" s="11"/>
      <c r="AY465" s="11"/>
      <c r="AZ465" s="9"/>
      <c r="BA465" s="2">
        <v>1875</v>
      </c>
      <c r="BB465" s="11"/>
      <c r="BC465" s="11"/>
      <c r="BD465" s="11"/>
      <c r="BE465" s="11"/>
      <c r="BF465" s="11"/>
      <c r="BG465" s="11"/>
      <c r="BH465" s="11"/>
      <c r="BI465" s="11"/>
      <c r="BJ465" s="11" t="s">
        <v>87</v>
      </c>
      <c r="BK465" s="10">
        <v>46303.805902777778</v>
      </c>
      <c r="BL465" s="11"/>
      <c r="BM465" s="11"/>
      <c r="BN465" s="10">
        <v>46303.625</v>
      </c>
      <c r="BO465" s="11"/>
      <c r="BP465" s="11"/>
      <c r="BQ465" s="11"/>
      <c r="BR465" s="11"/>
      <c r="BS465" s="11"/>
      <c r="BT465" s="11"/>
      <c r="BU465" s="11"/>
      <c r="BV465" s="2"/>
      <c r="BW465" s="11"/>
    </row>
    <row r="466" spans="1:75" ht="30" x14ac:dyDescent="0.25">
      <c r="A466" s="2">
        <v>6200464</v>
      </c>
      <c r="B466" s="10">
        <v>46303.805902777778</v>
      </c>
      <c r="C466" s="11" t="s">
        <v>82</v>
      </c>
      <c r="D466" s="11"/>
      <c r="E466" s="11" t="s">
        <v>92</v>
      </c>
      <c r="F466" s="11"/>
      <c r="G466" s="11" t="s">
        <v>593</v>
      </c>
      <c r="H466" s="3"/>
      <c r="I466" s="11" t="s">
        <v>75</v>
      </c>
      <c r="J466" s="11"/>
      <c r="K466" s="11"/>
      <c r="L466" s="11"/>
      <c r="M466" s="11"/>
      <c r="N466" s="2">
        <v>1.25</v>
      </c>
      <c r="O466" s="2"/>
      <c r="P466" s="2"/>
      <c r="Q466" s="2"/>
      <c r="R466" s="11"/>
      <c r="S466" s="11" t="s">
        <v>556</v>
      </c>
      <c r="T466" s="11" t="s">
        <v>85</v>
      </c>
      <c r="U466" s="11"/>
      <c r="V466" s="11"/>
      <c r="W466" s="11"/>
      <c r="X466" s="11"/>
      <c r="Y466" s="11"/>
      <c r="Z466" s="11"/>
      <c r="AA466" s="11"/>
      <c r="AB466" s="9"/>
      <c r="AC466" s="2"/>
      <c r="AD466" s="9"/>
      <c r="AE466" s="2"/>
      <c r="AF466" s="9"/>
      <c r="AG466" s="10"/>
      <c r="AH466" s="11"/>
      <c r="AI466" s="11" t="s">
        <v>86</v>
      </c>
      <c r="AJ466" s="11"/>
      <c r="AK466" s="2"/>
      <c r="AL466" s="11"/>
      <c r="AM466" s="11"/>
      <c r="AN466" s="11"/>
      <c r="AO466" s="2"/>
      <c r="AP466" s="3"/>
      <c r="AQ466" s="11"/>
      <c r="AR466" s="3"/>
      <c r="AS466" s="2"/>
      <c r="AT466" s="11"/>
      <c r="AU466" s="2"/>
      <c r="AV466" s="2"/>
      <c r="AW466" s="2"/>
      <c r="AX466" s="11"/>
      <c r="AY466" s="11"/>
      <c r="AZ466" s="9"/>
      <c r="BA466" s="2">
        <v>1875</v>
      </c>
      <c r="BB466" s="11"/>
      <c r="BC466" s="11"/>
      <c r="BD466" s="11"/>
      <c r="BE466" s="11"/>
      <c r="BF466" s="11"/>
      <c r="BG466" s="11"/>
      <c r="BH466" s="11"/>
      <c r="BI466" s="11"/>
      <c r="BJ466" s="11" t="s">
        <v>87</v>
      </c>
      <c r="BK466" s="10">
        <v>46303.805902777778</v>
      </c>
      <c r="BL466" s="11"/>
      <c r="BM466" s="11"/>
      <c r="BN466" s="10">
        <v>46303.625</v>
      </c>
      <c r="BO466" s="11"/>
      <c r="BP466" s="11"/>
      <c r="BQ466" s="11"/>
      <c r="BR466" s="11"/>
      <c r="BS466" s="11"/>
      <c r="BT466" s="11"/>
      <c r="BU466" s="11"/>
      <c r="BV466" s="2"/>
      <c r="BW466" s="11"/>
    </row>
    <row r="467" spans="1:75" ht="30" x14ac:dyDescent="0.25">
      <c r="A467" s="2">
        <v>6200465</v>
      </c>
      <c r="B467" s="10">
        <v>46303.805902777778</v>
      </c>
      <c r="C467" s="11" t="s">
        <v>82</v>
      </c>
      <c r="D467" s="11"/>
      <c r="E467" s="11" t="s">
        <v>83</v>
      </c>
      <c r="F467" s="11"/>
      <c r="G467" s="11" t="s">
        <v>592</v>
      </c>
      <c r="H467" s="3"/>
      <c r="I467" s="11" t="s">
        <v>75</v>
      </c>
      <c r="J467" s="11"/>
      <c r="K467" s="11"/>
      <c r="L467" s="11"/>
      <c r="M467" s="11"/>
      <c r="N467" s="2">
        <v>1.25</v>
      </c>
      <c r="O467" s="2"/>
      <c r="P467" s="2"/>
      <c r="Q467" s="2"/>
      <c r="R467" s="11"/>
      <c r="S467" s="11" t="s">
        <v>557</v>
      </c>
      <c r="T467" s="11" t="s">
        <v>85</v>
      </c>
      <c r="U467" s="11"/>
      <c r="V467" s="11"/>
      <c r="W467" s="11"/>
      <c r="X467" s="11"/>
      <c r="Y467" s="11"/>
      <c r="Z467" s="11"/>
      <c r="AA467" s="11"/>
      <c r="AB467" s="9"/>
      <c r="AC467" s="2"/>
      <c r="AD467" s="9"/>
      <c r="AE467" s="2"/>
      <c r="AF467" s="9"/>
      <c r="AG467" s="10"/>
      <c r="AH467" s="11"/>
      <c r="AI467" s="11" t="s">
        <v>86</v>
      </c>
      <c r="AJ467" s="11"/>
      <c r="AK467" s="2"/>
      <c r="AL467" s="11"/>
      <c r="AM467" s="11"/>
      <c r="AN467" s="11"/>
      <c r="AO467" s="2"/>
      <c r="AP467" s="3"/>
      <c r="AQ467" s="11"/>
      <c r="AR467" s="3"/>
      <c r="AS467" s="2"/>
      <c r="AT467" s="11"/>
      <c r="AU467" s="2"/>
      <c r="AV467" s="2"/>
      <c r="AW467" s="2"/>
      <c r="AX467" s="11"/>
      <c r="AY467" s="11"/>
      <c r="AZ467" s="9"/>
      <c r="BA467" s="2">
        <v>1875</v>
      </c>
      <c r="BB467" s="11"/>
      <c r="BC467" s="11"/>
      <c r="BD467" s="11"/>
      <c r="BE467" s="11"/>
      <c r="BF467" s="11"/>
      <c r="BG467" s="11"/>
      <c r="BH467" s="11"/>
      <c r="BI467" s="11"/>
      <c r="BJ467" s="11" t="s">
        <v>87</v>
      </c>
      <c r="BK467" s="10">
        <v>46303.805902777778</v>
      </c>
      <c r="BL467" s="11"/>
      <c r="BM467" s="11"/>
      <c r="BN467" s="10">
        <v>46303.625</v>
      </c>
      <c r="BO467" s="11"/>
      <c r="BP467" s="11"/>
      <c r="BQ467" s="11"/>
      <c r="BR467" s="11"/>
      <c r="BS467" s="11"/>
      <c r="BT467" s="11"/>
      <c r="BU467" s="11"/>
      <c r="BV467" s="2"/>
      <c r="BW467" s="11"/>
    </row>
    <row r="468" spans="1:75" ht="30" x14ac:dyDescent="0.25">
      <c r="A468" s="2">
        <v>6200466</v>
      </c>
      <c r="B468" s="10">
        <v>46303.805902777778</v>
      </c>
      <c r="C468" s="11" t="s">
        <v>82</v>
      </c>
      <c r="D468" s="11"/>
      <c r="E468" s="11" t="s">
        <v>88</v>
      </c>
      <c r="F468" s="11"/>
      <c r="G468" s="11" t="s">
        <v>89</v>
      </c>
      <c r="H468" s="3"/>
      <c r="I468" s="11" t="s">
        <v>90</v>
      </c>
      <c r="J468" s="11"/>
      <c r="K468" s="11"/>
      <c r="L468" s="11"/>
      <c r="M468" s="11"/>
      <c r="N468" s="2">
        <v>1.25</v>
      </c>
      <c r="O468" s="2"/>
      <c r="P468" s="2"/>
      <c r="Q468" s="2"/>
      <c r="R468" s="11"/>
      <c r="S468" s="11" t="s">
        <v>558</v>
      </c>
      <c r="T468" s="11" t="s">
        <v>85</v>
      </c>
      <c r="U468" s="11"/>
      <c r="V468" s="11"/>
      <c r="W468" s="11"/>
      <c r="X468" s="11"/>
      <c r="Y468" s="11"/>
      <c r="Z468" s="11"/>
      <c r="AA468" s="11"/>
      <c r="AB468" s="9"/>
      <c r="AC468" s="2"/>
      <c r="AD468" s="9"/>
      <c r="AE468" s="2"/>
      <c r="AF468" s="9"/>
      <c r="AG468" s="10"/>
      <c r="AH468" s="11"/>
      <c r="AI468" s="11" t="s">
        <v>86</v>
      </c>
      <c r="AJ468" s="11"/>
      <c r="AK468" s="2"/>
      <c r="AL468" s="11"/>
      <c r="AM468" s="11"/>
      <c r="AN468" s="11"/>
      <c r="AO468" s="2"/>
      <c r="AP468" s="3"/>
      <c r="AQ468" s="11"/>
      <c r="AR468" s="3"/>
      <c r="AS468" s="2"/>
      <c r="AT468" s="11"/>
      <c r="AU468" s="2"/>
      <c r="AV468" s="2"/>
      <c r="AW468" s="2"/>
      <c r="AX468" s="11"/>
      <c r="AY468" s="11"/>
      <c r="AZ468" s="9"/>
      <c r="BA468" s="2">
        <v>1875</v>
      </c>
      <c r="BB468" s="11"/>
      <c r="BC468" s="11"/>
      <c r="BD468" s="11"/>
      <c r="BE468" s="11"/>
      <c r="BF468" s="11"/>
      <c r="BG468" s="11"/>
      <c r="BH468" s="11"/>
      <c r="BI468" s="11"/>
      <c r="BJ468" s="11" t="s">
        <v>87</v>
      </c>
      <c r="BK468" s="10">
        <v>46303.805902777778</v>
      </c>
      <c r="BL468" s="11"/>
      <c r="BM468" s="11"/>
      <c r="BN468" s="10">
        <v>46303.625</v>
      </c>
      <c r="BO468" s="11"/>
      <c r="BP468" s="11"/>
      <c r="BQ468" s="11"/>
      <c r="BR468" s="11"/>
      <c r="BS468" s="11"/>
      <c r="BT468" s="11"/>
      <c r="BU468" s="11"/>
      <c r="BV468" s="2"/>
      <c r="BW468" s="11"/>
    </row>
    <row r="469" spans="1:75" ht="30" x14ac:dyDescent="0.25">
      <c r="A469" s="2">
        <v>6200467</v>
      </c>
      <c r="B469" s="10">
        <v>46303.805902777778</v>
      </c>
      <c r="C469" s="11" t="s">
        <v>82</v>
      </c>
      <c r="D469" s="11"/>
      <c r="E469" s="11" t="s">
        <v>92</v>
      </c>
      <c r="F469" s="11"/>
      <c r="G469" s="2">
        <v>470123456</v>
      </c>
      <c r="H469" s="3"/>
      <c r="I469" s="11" t="s">
        <v>75</v>
      </c>
      <c r="J469" s="11"/>
      <c r="K469" s="11"/>
      <c r="L469" s="11"/>
      <c r="M469" s="11"/>
      <c r="N469" s="2">
        <v>1.25</v>
      </c>
      <c r="O469" s="2"/>
      <c r="P469" s="2"/>
      <c r="Q469" s="2"/>
      <c r="R469" s="11"/>
      <c r="S469" s="11" t="s">
        <v>559</v>
      </c>
      <c r="T469" s="11" t="s">
        <v>85</v>
      </c>
      <c r="U469" s="11"/>
      <c r="V469" s="11"/>
      <c r="W469" s="11"/>
      <c r="X469" s="11"/>
      <c r="Y469" s="11"/>
      <c r="Z469" s="11"/>
      <c r="AA469" s="11"/>
      <c r="AB469" s="9"/>
      <c r="AC469" s="2"/>
      <c r="AD469" s="9"/>
      <c r="AE469" s="2"/>
      <c r="AF469" s="9"/>
      <c r="AG469" s="10"/>
      <c r="AH469" s="11"/>
      <c r="AI469" s="11" t="s">
        <v>86</v>
      </c>
      <c r="AJ469" s="11"/>
      <c r="AK469" s="2"/>
      <c r="AL469" s="11"/>
      <c r="AM469" s="11"/>
      <c r="AN469" s="11"/>
      <c r="AO469" s="2"/>
      <c r="AP469" s="3"/>
      <c r="AQ469" s="11"/>
      <c r="AR469" s="3"/>
      <c r="AS469" s="2"/>
      <c r="AT469" s="11"/>
      <c r="AU469" s="2"/>
      <c r="AV469" s="2"/>
      <c r="AW469" s="2"/>
      <c r="AX469" s="11"/>
      <c r="AY469" s="11"/>
      <c r="AZ469" s="9"/>
      <c r="BA469" s="2">
        <v>1875</v>
      </c>
      <c r="BB469" s="11"/>
      <c r="BC469" s="11"/>
      <c r="BD469" s="11"/>
      <c r="BE469" s="11"/>
      <c r="BF469" s="11"/>
      <c r="BG469" s="11"/>
      <c r="BH469" s="11"/>
      <c r="BI469" s="11"/>
      <c r="BJ469" s="11" t="s">
        <v>87</v>
      </c>
      <c r="BK469" s="10">
        <v>46303.805902777778</v>
      </c>
      <c r="BL469" s="11"/>
      <c r="BM469" s="11"/>
      <c r="BN469" s="10">
        <v>46303.625</v>
      </c>
      <c r="BO469" s="11"/>
      <c r="BP469" s="11"/>
      <c r="BQ469" s="11"/>
      <c r="BR469" s="11"/>
      <c r="BS469" s="11"/>
      <c r="BT469" s="11"/>
      <c r="BU469" s="11"/>
      <c r="BV469" s="2"/>
      <c r="BW469" s="11"/>
    </row>
    <row r="470" spans="1:75" ht="30" x14ac:dyDescent="0.25">
      <c r="A470" s="2">
        <v>6200468</v>
      </c>
      <c r="B470" s="10">
        <v>46303.805902777778</v>
      </c>
      <c r="C470" s="11" t="s">
        <v>82</v>
      </c>
      <c r="D470" s="11"/>
      <c r="E470" s="11" t="s">
        <v>83</v>
      </c>
      <c r="F470" s="11"/>
      <c r="G470" s="11" t="s">
        <v>94</v>
      </c>
      <c r="H470" s="3"/>
      <c r="I470" s="11" t="s">
        <v>90</v>
      </c>
      <c r="J470" s="11"/>
      <c r="K470" s="11"/>
      <c r="L470" s="11"/>
      <c r="M470" s="11"/>
      <c r="N470" s="2">
        <v>1.25</v>
      </c>
      <c r="O470" s="2"/>
      <c r="P470" s="2"/>
      <c r="Q470" s="2"/>
      <c r="R470" s="11"/>
      <c r="S470" s="11" t="s">
        <v>560</v>
      </c>
      <c r="T470" s="11" t="s">
        <v>85</v>
      </c>
      <c r="U470" s="11"/>
      <c r="V470" s="11"/>
      <c r="W470" s="11"/>
      <c r="X470" s="11"/>
      <c r="Y470" s="11"/>
      <c r="Z470" s="11"/>
      <c r="AA470" s="11"/>
      <c r="AB470" s="9"/>
      <c r="AC470" s="2"/>
      <c r="AD470" s="9"/>
      <c r="AE470" s="2"/>
      <c r="AF470" s="9"/>
      <c r="AG470" s="10"/>
      <c r="AH470" s="11"/>
      <c r="AI470" s="11" t="s">
        <v>86</v>
      </c>
      <c r="AJ470" s="11"/>
      <c r="AK470" s="2"/>
      <c r="AL470" s="11"/>
      <c r="AM470" s="11"/>
      <c r="AN470" s="11"/>
      <c r="AO470" s="2"/>
      <c r="AP470" s="3"/>
      <c r="AQ470" s="11"/>
      <c r="AR470" s="3"/>
      <c r="AS470" s="2"/>
      <c r="AT470" s="11"/>
      <c r="AU470" s="2"/>
      <c r="AV470" s="2"/>
      <c r="AW470" s="2"/>
      <c r="AX470" s="11"/>
      <c r="AY470" s="11"/>
      <c r="AZ470" s="9"/>
      <c r="BA470" s="2">
        <v>1875</v>
      </c>
      <c r="BB470" s="11"/>
      <c r="BC470" s="11"/>
      <c r="BD470" s="11"/>
      <c r="BE470" s="11"/>
      <c r="BF470" s="11"/>
      <c r="BG470" s="11"/>
      <c r="BH470" s="11"/>
      <c r="BI470" s="11"/>
      <c r="BJ470" s="11" t="s">
        <v>87</v>
      </c>
      <c r="BK470" s="10">
        <v>46303.805902777778</v>
      </c>
      <c r="BL470" s="11"/>
      <c r="BM470" s="11"/>
      <c r="BN470" s="10">
        <v>46303.625</v>
      </c>
      <c r="BO470" s="11"/>
      <c r="BP470" s="11"/>
      <c r="BQ470" s="11"/>
      <c r="BR470" s="11"/>
      <c r="BS470" s="11"/>
      <c r="BT470" s="11"/>
      <c r="BU470" s="11"/>
      <c r="BV470" s="2"/>
      <c r="BW470" s="11"/>
    </row>
    <row r="471" spans="1:75" ht="30" x14ac:dyDescent="0.25">
      <c r="A471" s="2">
        <v>6200469</v>
      </c>
      <c r="B471" s="10">
        <v>46303.805902777778</v>
      </c>
      <c r="C471" s="11" t="s">
        <v>82</v>
      </c>
      <c r="D471" s="11"/>
      <c r="E471" s="11" t="s">
        <v>88</v>
      </c>
      <c r="F471" s="11"/>
      <c r="G471" s="11" t="s">
        <v>593</v>
      </c>
      <c r="H471" s="3"/>
      <c r="I471" s="11" t="s">
        <v>75</v>
      </c>
      <c r="J471" s="11"/>
      <c r="K471" s="11"/>
      <c r="L471" s="11"/>
      <c r="M471" s="11"/>
      <c r="N471" s="2">
        <v>1.25</v>
      </c>
      <c r="O471" s="2"/>
      <c r="P471" s="2"/>
      <c r="Q471" s="2"/>
      <c r="R471" s="11"/>
      <c r="S471" s="11" t="s">
        <v>561</v>
      </c>
      <c r="T471" s="11" t="s">
        <v>85</v>
      </c>
      <c r="U471" s="11"/>
      <c r="V471" s="11"/>
      <c r="W471" s="11"/>
      <c r="X471" s="11"/>
      <c r="Y471" s="11"/>
      <c r="Z471" s="11"/>
      <c r="AA471" s="11"/>
      <c r="AB471" s="9"/>
      <c r="AC471" s="2"/>
      <c r="AD471" s="9"/>
      <c r="AE471" s="2"/>
      <c r="AF471" s="9"/>
      <c r="AG471" s="10"/>
      <c r="AH471" s="11"/>
      <c r="AI471" s="11" t="s">
        <v>86</v>
      </c>
      <c r="AJ471" s="11"/>
      <c r="AK471" s="2"/>
      <c r="AL471" s="11"/>
      <c r="AM471" s="11"/>
      <c r="AN471" s="11"/>
      <c r="AO471" s="2"/>
      <c r="AP471" s="3"/>
      <c r="AQ471" s="11"/>
      <c r="AR471" s="3"/>
      <c r="AS471" s="2"/>
      <c r="AT471" s="11"/>
      <c r="AU471" s="2"/>
      <c r="AV471" s="2"/>
      <c r="AW471" s="2"/>
      <c r="AX471" s="11"/>
      <c r="AY471" s="11"/>
      <c r="AZ471" s="9"/>
      <c r="BA471" s="2">
        <v>1875</v>
      </c>
      <c r="BB471" s="11"/>
      <c r="BC471" s="11"/>
      <c r="BD471" s="11"/>
      <c r="BE471" s="11"/>
      <c r="BF471" s="11"/>
      <c r="BG471" s="11"/>
      <c r="BH471" s="11"/>
      <c r="BI471" s="11"/>
      <c r="BJ471" s="11" t="s">
        <v>87</v>
      </c>
      <c r="BK471" s="10">
        <v>46303.805902777778</v>
      </c>
      <c r="BL471" s="11"/>
      <c r="BM471" s="11"/>
      <c r="BN471" s="10">
        <v>46303.625</v>
      </c>
      <c r="BO471" s="11"/>
      <c r="BP471" s="11"/>
      <c r="BQ471" s="11"/>
      <c r="BR471" s="11"/>
      <c r="BS471" s="11"/>
      <c r="BT471" s="11"/>
      <c r="BU471" s="11"/>
      <c r="BV471" s="2"/>
      <c r="BW471" s="11"/>
    </row>
    <row r="472" spans="1:75" ht="30" x14ac:dyDescent="0.25">
      <c r="A472" s="2">
        <v>6200470</v>
      </c>
      <c r="B472" s="10">
        <v>46303.805902777778</v>
      </c>
      <c r="C472" s="11" t="s">
        <v>82</v>
      </c>
      <c r="D472" s="11"/>
      <c r="E472" s="11" t="s">
        <v>92</v>
      </c>
      <c r="F472" s="11"/>
      <c r="G472" s="11" t="s">
        <v>592</v>
      </c>
      <c r="H472" s="3"/>
      <c r="I472" s="11" t="s">
        <v>75</v>
      </c>
      <c r="J472" s="11"/>
      <c r="K472" s="11"/>
      <c r="L472" s="11"/>
      <c r="M472" s="11"/>
      <c r="N472" s="2">
        <v>1.25</v>
      </c>
      <c r="O472" s="2"/>
      <c r="P472" s="2"/>
      <c r="Q472" s="2"/>
      <c r="R472" s="11"/>
      <c r="S472" s="11" t="s">
        <v>562</v>
      </c>
      <c r="T472" s="11" t="s">
        <v>85</v>
      </c>
      <c r="U472" s="11"/>
      <c r="V472" s="11"/>
      <c r="W472" s="11"/>
      <c r="X472" s="11"/>
      <c r="Y472" s="11"/>
      <c r="Z472" s="11"/>
      <c r="AA472" s="11"/>
      <c r="AB472" s="9"/>
      <c r="AC472" s="2"/>
      <c r="AD472" s="9"/>
      <c r="AE472" s="2"/>
      <c r="AF472" s="9"/>
      <c r="AG472" s="10"/>
      <c r="AH472" s="11"/>
      <c r="AI472" s="11" t="s">
        <v>86</v>
      </c>
      <c r="AJ472" s="11"/>
      <c r="AK472" s="2"/>
      <c r="AL472" s="11"/>
      <c r="AM472" s="11"/>
      <c r="AN472" s="11"/>
      <c r="AO472" s="2"/>
      <c r="AP472" s="3"/>
      <c r="AQ472" s="11"/>
      <c r="AR472" s="3"/>
      <c r="AS472" s="2"/>
      <c r="AT472" s="11"/>
      <c r="AU472" s="2"/>
      <c r="AV472" s="2"/>
      <c r="AW472" s="2"/>
      <c r="AX472" s="11"/>
      <c r="AY472" s="11"/>
      <c r="AZ472" s="9"/>
      <c r="BA472" s="2">
        <v>1875</v>
      </c>
      <c r="BB472" s="11"/>
      <c r="BC472" s="11"/>
      <c r="BD472" s="11"/>
      <c r="BE472" s="11"/>
      <c r="BF472" s="11"/>
      <c r="BG472" s="11"/>
      <c r="BH472" s="11"/>
      <c r="BI472" s="11"/>
      <c r="BJ472" s="11" t="s">
        <v>87</v>
      </c>
      <c r="BK472" s="10">
        <v>46303.805902777778</v>
      </c>
      <c r="BL472" s="11"/>
      <c r="BM472" s="11"/>
      <c r="BN472" s="10">
        <v>46303.625</v>
      </c>
      <c r="BO472" s="11"/>
      <c r="BP472" s="11"/>
      <c r="BQ472" s="11"/>
      <c r="BR472" s="11"/>
      <c r="BS472" s="11"/>
      <c r="BT472" s="11"/>
      <c r="BU472" s="11"/>
      <c r="BV472" s="2"/>
      <c r="BW472" s="11"/>
    </row>
    <row r="473" spans="1:75" ht="30" x14ac:dyDescent="0.25">
      <c r="A473" s="2">
        <v>6200471</v>
      </c>
      <c r="B473" s="10">
        <v>46303.805902777778</v>
      </c>
      <c r="C473" s="11" t="s">
        <v>82</v>
      </c>
      <c r="D473" s="11"/>
      <c r="E473" s="11" t="s">
        <v>83</v>
      </c>
      <c r="F473" s="11"/>
      <c r="G473" s="11" t="s">
        <v>89</v>
      </c>
      <c r="H473" s="3"/>
      <c r="I473" s="11" t="s">
        <v>90</v>
      </c>
      <c r="J473" s="11"/>
      <c r="K473" s="11"/>
      <c r="L473" s="11"/>
      <c r="M473" s="11"/>
      <c r="N473" s="2">
        <v>1.25</v>
      </c>
      <c r="O473" s="2"/>
      <c r="P473" s="2"/>
      <c r="Q473" s="2"/>
      <c r="R473" s="11"/>
      <c r="S473" s="11" t="s">
        <v>563</v>
      </c>
      <c r="T473" s="11" t="s">
        <v>85</v>
      </c>
      <c r="U473" s="11"/>
      <c r="V473" s="11"/>
      <c r="W473" s="11"/>
      <c r="X473" s="11"/>
      <c r="Y473" s="11"/>
      <c r="Z473" s="11"/>
      <c r="AA473" s="11"/>
      <c r="AB473" s="9"/>
      <c r="AC473" s="2"/>
      <c r="AD473" s="9"/>
      <c r="AE473" s="2"/>
      <c r="AF473" s="9"/>
      <c r="AG473" s="10"/>
      <c r="AH473" s="11"/>
      <c r="AI473" s="11" t="s">
        <v>86</v>
      </c>
      <c r="AJ473" s="11"/>
      <c r="AK473" s="2"/>
      <c r="AL473" s="11"/>
      <c r="AM473" s="11"/>
      <c r="AN473" s="11"/>
      <c r="AO473" s="2"/>
      <c r="AP473" s="3"/>
      <c r="AQ473" s="11"/>
      <c r="AR473" s="3"/>
      <c r="AS473" s="2"/>
      <c r="AT473" s="11"/>
      <c r="AU473" s="2"/>
      <c r="AV473" s="2"/>
      <c r="AW473" s="2"/>
      <c r="AX473" s="11"/>
      <c r="AY473" s="11"/>
      <c r="AZ473" s="9"/>
      <c r="BA473" s="2">
        <v>1875</v>
      </c>
      <c r="BB473" s="11"/>
      <c r="BC473" s="11"/>
      <c r="BD473" s="11"/>
      <c r="BE473" s="11"/>
      <c r="BF473" s="11"/>
      <c r="BG473" s="11"/>
      <c r="BH473" s="11"/>
      <c r="BI473" s="11"/>
      <c r="BJ473" s="11" t="s">
        <v>87</v>
      </c>
      <c r="BK473" s="10">
        <v>46303.805902777778</v>
      </c>
      <c r="BL473" s="11"/>
      <c r="BM473" s="11"/>
      <c r="BN473" s="10">
        <v>46303.625</v>
      </c>
      <c r="BO473" s="11"/>
      <c r="BP473" s="11"/>
      <c r="BQ473" s="11"/>
      <c r="BR473" s="11"/>
      <c r="BS473" s="11"/>
      <c r="BT473" s="11"/>
      <c r="BU473" s="11"/>
      <c r="BV473" s="2"/>
      <c r="BW473" s="11"/>
    </row>
    <row r="474" spans="1:75" ht="30" x14ac:dyDescent="0.25">
      <c r="A474" s="2">
        <v>6200472</v>
      </c>
      <c r="B474" s="10">
        <v>46303.805902777778</v>
      </c>
      <c r="C474" s="11" t="s">
        <v>82</v>
      </c>
      <c r="D474" s="11"/>
      <c r="E474" s="11" t="s">
        <v>88</v>
      </c>
      <c r="F474" s="11"/>
      <c r="G474" s="2">
        <v>470123456</v>
      </c>
      <c r="H474" s="3"/>
      <c r="I474" s="11" t="s">
        <v>75</v>
      </c>
      <c r="J474" s="11"/>
      <c r="K474" s="11"/>
      <c r="L474" s="11"/>
      <c r="M474" s="11"/>
      <c r="N474" s="2">
        <v>1.25</v>
      </c>
      <c r="O474" s="2"/>
      <c r="P474" s="2"/>
      <c r="Q474" s="2"/>
      <c r="R474" s="11"/>
      <c r="S474" s="11" t="s">
        <v>564</v>
      </c>
      <c r="T474" s="11" t="s">
        <v>85</v>
      </c>
      <c r="U474" s="11"/>
      <c r="V474" s="11"/>
      <c r="W474" s="11"/>
      <c r="X474" s="11"/>
      <c r="Y474" s="11"/>
      <c r="Z474" s="11"/>
      <c r="AA474" s="11"/>
      <c r="AB474" s="9"/>
      <c r="AC474" s="2"/>
      <c r="AD474" s="9"/>
      <c r="AE474" s="2"/>
      <c r="AF474" s="9"/>
      <c r="AG474" s="10"/>
      <c r="AH474" s="11"/>
      <c r="AI474" s="11" t="s">
        <v>86</v>
      </c>
      <c r="AJ474" s="11"/>
      <c r="AK474" s="2"/>
      <c r="AL474" s="11"/>
      <c r="AM474" s="11"/>
      <c r="AN474" s="11"/>
      <c r="AO474" s="2"/>
      <c r="AP474" s="3"/>
      <c r="AQ474" s="11"/>
      <c r="AR474" s="3"/>
      <c r="AS474" s="2"/>
      <c r="AT474" s="11"/>
      <c r="AU474" s="2"/>
      <c r="AV474" s="2"/>
      <c r="AW474" s="2"/>
      <c r="AX474" s="11"/>
      <c r="AY474" s="11"/>
      <c r="AZ474" s="9"/>
      <c r="BA474" s="2">
        <v>1875</v>
      </c>
      <c r="BB474" s="11"/>
      <c r="BC474" s="11"/>
      <c r="BD474" s="11"/>
      <c r="BE474" s="11"/>
      <c r="BF474" s="11"/>
      <c r="BG474" s="11"/>
      <c r="BH474" s="11"/>
      <c r="BI474" s="11"/>
      <c r="BJ474" s="11" t="s">
        <v>87</v>
      </c>
      <c r="BK474" s="10">
        <v>46303.805902777778</v>
      </c>
      <c r="BL474" s="11"/>
      <c r="BM474" s="11"/>
      <c r="BN474" s="10">
        <v>46303.625</v>
      </c>
      <c r="BO474" s="11"/>
      <c r="BP474" s="11"/>
      <c r="BQ474" s="11"/>
      <c r="BR474" s="11"/>
      <c r="BS474" s="11"/>
      <c r="BT474" s="11"/>
      <c r="BU474" s="11"/>
      <c r="BV474" s="2"/>
      <c r="BW474" s="11"/>
    </row>
    <row r="475" spans="1:75" ht="30" x14ac:dyDescent="0.25">
      <c r="A475" s="2">
        <v>6200473</v>
      </c>
      <c r="B475" s="10">
        <v>46303.805902777778</v>
      </c>
      <c r="C475" s="11" t="s">
        <v>82</v>
      </c>
      <c r="D475" s="11"/>
      <c r="E475" s="11" t="s">
        <v>92</v>
      </c>
      <c r="F475" s="11"/>
      <c r="G475" s="11" t="s">
        <v>94</v>
      </c>
      <c r="H475" s="3"/>
      <c r="I475" s="11" t="s">
        <v>90</v>
      </c>
      <c r="J475" s="11"/>
      <c r="K475" s="11"/>
      <c r="L475" s="11"/>
      <c r="M475" s="11"/>
      <c r="N475" s="2">
        <v>1.25</v>
      </c>
      <c r="O475" s="2"/>
      <c r="P475" s="2"/>
      <c r="Q475" s="2"/>
      <c r="R475" s="11"/>
      <c r="S475" s="11" t="s">
        <v>565</v>
      </c>
      <c r="T475" s="11" t="s">
        <v>85</v>
      </c>
      <c r="U475" s="11"/>
      <c r="V475" s="11"/>
      <c r="W475" s="11"/>
      <c r="X475" s="11"/>
      <c r="Y475" s="11"/>
      <c r="Z475" s="11"/>
      <c r="AA475" s="11"/>
      <c r="AB475" s="9"/>
      <c r="AC475" s="2"/>
      <c r="AD475" s="9"/>
      <c r="AE475" s="2"/>
      <c r="AF475" s="9"/>
      <c r="AG475" s="10"/>
      <c r="AH475" s="11"/>
      <c r="AI475" s="11" t="s">
        <v>86</v>
      </c>
      <c r="AJ475" s="11"/>
      <c r="AK475" s="2"/>
      <c r="AL475" s="11"/>
      <c r="AM475" s="11"/>
      <c r="AN475" s="11"/>
      <c r="AO475" s="2"/>
      <c r="AP475" s="3"/>
      <c r="AQ475" s="11"/>
      <c r="AR475" s="3"/>
      <c r="AS475" s="2"/>
      <c r="AT475" s="11"/>
      <c r="AU475" s="2"/>
      <c r="AV475" s="2"/>
      <c r="AW475" s="2"/>
      <c r="AX475" s="11"/>
      <c r="AY475" s="11"/>
      <c r="AZ475" s="9"/>
      <c r="BA475" s="2">
        <v>1875</v>
      </c>
      <c r="BB475" s="11"/>
      <c r="BC475" s="11"/>
      <c r="BD475" s="11"/>
      <c r="BE475" s="11"/>
      <c r="BF475" s="11"/>
      <c r="BG475" s="11"/>
      <c r="BH475" s="11"/>
      <c r="BI475" s="11"/>
      <c r="BJ475" s="11" t="s">
        <v>87</v>
      </c>
      <c r="BK475" s="10">
        <v>46303.805902777778</v>
      </c>
      <c r="BL475" s="11"/>
      <c r="BM475" s="11"/>
      <c r="BN475" s="10">
        <v>46303.625</v>
      </c>
      <c r="BO475" s="11"/>
      <c r="BP475" s="11"/>
      <c r="BQ475" s="11"/>
      <c r="BR475" s="11"/>
      <c r="BS475" s="11"/>
      <c r="BT475" s="11"/>
      <c r="BU475" s="11"/>
      <c r="BV475" s="2"/>
      <c r="BW475" s="11"/>
    </row>
    <row r="476" spans="1:75" ht="30" x14ac:dyDescent="0.25">
      <c r="A476" s="2">
        <v>6200474</v>
      </c>
      <c r="B476" s="10">
        <v>46303.805902777778</v>
      </c>
      <c r="C476" s="11" t="s">
        <v>82</v>
      </c>
      <c r="D476" s="11"/>
      <c r="E476" s="11" t="s">
        <v>83</v>
      </c>
      <c r="F476" s="11"/>
      <c r="G476" s="11" t="s">
        <v>593</v>
      </c>
      <c r="H476" s="3"/>
      <c r="I476" s="11" t="s">
        <v>75</v>
      </c>
      <c r="J476" s="11"/>
      <c r="K476" s="11"/>
      <c r="L476" s="11"/>
      <c r="M476" s="11"/>
      <c r="N476" s="2">
        <v>1.25</v>
      </c>
      <c r="O476" s="2"/>
      <c r="P476" s="2"/>
      <c r="Q476" s="2"/>
      <c r="R476" s="11"/>
      <c r="S476" s="11" t="s">
        <v>566</v>
      </c>
      <c r="T476" s="11" t="s">
        <v>85</v>
      </c>
      <c r="U476" s="11"/>
      <c r="V476" s="11"/>
      <c r="W476" s="11"/>
      <c r="X476" s="11"/>
      <c r="Y476" s="11"/>
      <c r="Z476" s="11"/>
      <c r="AA476" s="11"/>
      <c r="AB476" s="9"/>
      <c r="AC476" s="2"/>
      <c r="AD476" s="9"/>
      <c r="AE476" s="2"/>
      <c r="AF476" s="9"/>
      <c r="AG476" s="10"/>
      <c r="AH476" s="11"/>
      <c r="AI476" s="11" t="s">
        <v>86</v>
      </c>
      <c r="AJ476" s="11"/>
      <c r="AK476" s="2"/>
      <c r="AL476" s="11"/>
      <c r="AM476" s="11"/>
      <c r="AN476" s="11"/>
      <c r="AO476" s="2"/>
      <c r="AP476" s="3"/>
      <c r="AQ476" s="11"/>
      <c r="AR476" s="3"/>
      <c r="AS476" s="2"/>
      <c r="AT476" s="11"/>
      <c r="AU476" s="2"/>
      <c r="AV476" s="2"/>
      <c r="AW476" s="2"/>
      <c r="AX476" s="11"/>
      <c r="AY476" s="11"/>
      <c r="AZ476" s="9"/>
      <c r="BA476" s="2">
        <v>1875</v>
      </c>
      <c r="BB476" s="11"/>
      <c r="BC476" s="11"/>
      <c r="BD476" s="11"/>
      <c r="BE476" s="11"/>
      <c r="BF476" s="11"/>
      <c r="BG476" s="11"/>
      <c r="BH476" s="11"/>
      <c r="BI476" s="11"/>
      <c r="BJ476" s="11" t="s">
        <v>87</v>
      </c>
      <c r="BK476" s="10">
        <v>46303.805902777778</v>
      </c>
      <c r="BL476" s="11"/>
      <c r="BM476" s="11"/>
      <c r="BN476" s="10">
        <v>46303.625</v>
      </c>
      <c r="BO476" s="11"/>
      <c r="BP476" s="11"/>
      <c r="BQ476" s="11"/>
      <c r="BR476" s="11"/>
      <c r="BS476" s="11"/>
      <c r="BT476" s="11"/>
      <c r="BU476" s="11"/>
      <c r="BV476" s="2"/>
      <c r="BW476" s="11"/>
    </row>
    <row r="477" spans="1:75" ht="30" x14ac:dyDescent="0.25">
      <c r="A477" s="2">
        <v>6200475</v>
      </c>
      <c r="B477" s="10">
        <v>46303.805902777778</v>
      </c>
      <c r="C477" s="11" t="s">
        <v>82</v>
      </c>
      <c r="D477" s="11"/>
      <c r="E477" s="11" t="s">
        <v>88</v>
      </c>
      <c r="F477" s="11"/>
      <c r="G477" s="11" t="s">
        <v>592</v>
      </c>
      <c r="H477" s="3"/>
      <c r="I477" s="11" t="s">
        <v>75</v>
      </c>
      <c r="J477" s="11"/>
      <c r="K477" s="11"/>
      <c r="L477" s="11"/>
      <c r="M477" s="11"/>
      <c r="N477" s="2">
        <v>1.25</v>
      </c>
      <c r="O477" s="2"/>
      <c r="P477" s="2"/>
      <c r="Q477" s="2"/>
      <c r="R477" s="11"/>
      <c r="S477" s="11" t="s">
        <v>567</v>
      </c>
      <c r="T477" s="11" t="s">
        <v>85</v>
      </c>
      <c r="U477" s="11"/>
      <c r="V477" s="11"/>
      <c r="W477" s="11"/>
      <c r="X477" s="11"/>
      <c r="Y477" s="11"/>
      <c r="Z477" s="11"/>
      <c r="AA477" s="11"/>
      <c r="AB477" s="9"/>
      <c r="AC477" s="2"/>
      <c r="AD477" s="9"/>
      <c r="AE477" s="2"/>
      <c r="AF477" s="9"/>
      <c r="AG477" s="10"/>
      <c r="AH477" s="11"/>
      <c r="AI477" s="11" t="s">
        <v>86</v>
      </c>
      <c r="AJ477" s="11"/>
      <c r="AK477" s="2"/>
      <c r="AL477" s="11"/>
      <c r="AM477" s="11"/>
      <c r="AN477" s="11"/>
      <c r="AO477" s="2"/>
      <c r="AP477" s="3"/>
      <c r="AQ477" s="11"/>
      <c r="AR477" s="3"/>
      <c r="AS477" s="2"/>
      <c r="AT477" s="11"/>
      <c r="AU477" s="2"/>
      <c r="AV477" s="2"/>
      <c r="AW477" s="2"/>
      <c r="AX477" s="11"/>
      <c r="AY477" s="11"/>
      <c r="AZ477" s="9"/>
      <c r="BA477" s="2">
        <v>1875</v>
      </c>
      <c r="BB477" s="11"/>
      <c r="BC477" s="11"/>
      <c r="BD477" s="11"/>
      <c r="BE477" s="11"/>
      <c r="BF477" s="11"/>
      <c r="BG477" s="11"/>
      <c r="BH477" s="11"/>
      <c r="BI477" s="11"/>
      <c r="BJ477" s="11" t="s">
        <v>87</v>
      </c>
      <c r="BK477" s="10">
        <v>46303.805902777778</v>
      </c>
      <c r="BL477" s="11"/>
      <c r="BM477" s="11"/>
      <c r="BN477" s="10">
        <v>46303.625</v>
      </c>
      <c r="BO477" s="11"/>
      <c r="BP477" s="11"/>
      <c r="BQ477" s="11"/>
      <c r="BR477" s="11"/>
      <c r="BS477" s="11"/>
      <c r="BT477" s="11"/>
      <c r="BU477" s="11"/>
      <c r="BV477" s="2"/>
      <c r="BW477" s="11"/>
    </row>
    <row r="478" spans="1:75" ht="30" x14ac:dyDescent="0.25">
      <c r="A478" s="2">
        <v>6200476</v>
      </c>
      <c r="B478" s="10">
        <v>46303.805902777778</v>
      </c>
      <c r="C478" s="11" t="s">
        <v>82</v>
      </c>
      <c r="D478" s="11"/>
      <c r="E478" s="11" t="s">
        <v>92</v>
      </c>
      <c r="F478" s="11"/>
      <c r="G478" s="11" t="s">
        <v>89</v>
      </c>
      <c r="H478" s="3"/>
      <c r="I478" s="11" t="s">
        <v>90</v>
      </c>
      <c r="J478" s="11"/>
      <c r="K478" s="11"/>
      <c r="L478" s="11"/>
      <c r="M478" s="11"/>
      <c r="N478" s="2">
        <v>1.25</v>
      </c>
      <c r="O478" s="2"/>
      <c r="P478" s="2"/>
      <c r="Q478" s="2"/>
      <c r="R478" s="11"/>
      <c r="S478" s="11" t="s">
        <v>568</v>
      </c>
      <c r="T478" s="11" t="s">
        <v>85</v>
      </c>
      <c r="U478" s="11"/>
      <c r="V478" s="11"/>
      <c r="W478" s="11"/>
      <c r="X478" s="11"/>
      <c r="Y478" s="11"/>
      <c r="Z478" s="11"/>
      <c r="AA478" s="11"/>
      <c r="AB478" s="9"/>
      <c r="AC478" s="2"/>
      <c r="AD478" s="9"/>
      <c r="AE478" s="2"/>
      <c r="AF478" s="9"/>
      <c r="AG478" s="10"/>
      <c r="AH478" s="11"/>
      <c r="AI478" s="11" t="s">
        <v>86</v>
      </c>
      <c r="AJ478" s="11"/>
      <c r="AK478" s="2"/>
      <c r="AL478" s="11"/>
      <c r="AM478" s="11"/>
      <c r="AN478" s="11"/>
      <c r="AO478" s="2"/>
      <c r="AP478" s="3"/>
      <c r="AQ478" s="11"/>
      <c r="AR478" s="3"/>
      <c r="AS478" s="2"/>
      <c r="AT478" s="11"/>
      <c r="AU478" s="2"/>
      <c r="AV478" s="2"/>
      <c r="AW478" s="2"/>
      <c r="AX478" s="11"/>
      <c r="AY478" s="11"/>
      <c r="AZ478" s="9"/>
      <c r="BA478" s="2">
        <v>1875</v>
      </c>
      <c r="BB478" s="11"/>
      <c r="BC478" s="11"/>
      <c r="BD478" s="11"/>
      <c r="BE478" s="11"/>
      <c r="BF478" s="11"/>
      <c r="BG478" s="11"/>
      <c r="BH478" s="11"/>
      <c r="BI478" s="11"/>
      <c r="BJ478" s="11" t="s">
        <v>87</v>
      </c>
      <c r="BK478" s="10">
        <v>46303.805902777778</v>
      </c>
      <c r="BL478" s="11"/>
      <c r="BM478" s="11"/>
      <c r="BN478" s="10">
        <v>46303.625</v>
      </c>
      <c r="BO478" s="11"/>
      <c r="BP478" s="11"/>
      <c r="BQ478" s="11"/>
      <c r="BR478" s="11"/>
      <c r="BS478" s="11"/>
      <c r="BT478" s="11"/>
      <c r="BU478" s="11"/>
      <c r="BV478" s="2"/>
      <c r="BW478" s="11"/>
    </row>
    <row r="479" spans="1:75" ht="30" x14ac:dyDescent="0.25">
      <c r="A479" s="2">
        <v>6200477</v>
      </c>
      <c r="B479" s="10">
        <v>46303.805902777778</v>
      </c>
      <c r="C479" s="11" t="s">
        <v>82</v>
      </c>
      <c r="D479" s="11"/>
      <c r="E479" s="11" t="s">
        <v>83</v>
      </c>
      <c r="F479" s="11"/>
      <c r="G479" s="2">
        <v>470123456</v>
      </c>
      <c r="H479" s="3"/>
      <c r="I479" s="11" t="s">
        <v>75</v>
      </c>
      <c r="J479" s="11"/>
      <c r="K479" s="11"/>
      <c r="L479" s="11"/>
      <c r="M479" s="11"/>
      <c r="N479" s="2">
        <v>1.25</v>
      </c>
      <c r="O479" s="2"/>
      <c r="P479" s="2"/>
      <c r="Q479" s="2"/>
      <c r="R479" s="11"/>
      <c r="S479" s="11" t="s">
        <v>569</v>
      </c>
      <c r="T479" s="11" t="s">
        <v>85</v>
      </c>
      <c r="U479" s="11"/>
      <c r="V479" s="11"/>
      <c r="W479" s="11"/>
      <c r="X479" s="11"/>
      <c r="Y479" s="11"/>
      <c r="Z479" s="11"/>
      <c r="AA479" s="11"/>
      <c r="AB479" s="9"/>
      <c r="AC479" s="2"/>
      <c r="AD479" s="9"/>
      <c r="AE479" s="2"/>
      <c r="AF479" s="9"/>
      <c r="AG479" s="10"/>
      <c r="AH479" s="11"/>
      <c r="AI479" s="11" t="s">
        <v>86</v>
      </c>
      <c r="AJ479" s="11"/>
      <c r="AK479" s="2"/>
      <c r="AL479" s="11"/>
      <c r="AM479" s="11"/>
      <c r="AN479" s="11"/>
      <c r="AO479" s="2"/>
      <c r="AP479" s="3"/>
      <c r="AQ479" s="11"/>
      <c r="AR479" s="3"/>
      <c r="AS479" s="2"/>
      <c r="AT479" s="11"/>
      <c r="AU479" s="2"/>
      <c r="AV479" s="2"/>
      <c r="AW479" s="2"/>
      <c r="AX479" s="11"/>
      <c r="AY479" s="11"/>
      <c r="AZ479" s="9"/>
      <c r="BA479" s="2">
        <v>1875</v>
      </c>
      <c r="BB479" s="11"/>
      <c r="BC479" s="11"/>
      <c r="BD479" s="11"/>
      <c r="BE479" s="11"/>
      <c r="BF479" s="11"/>
      <c r="BG479" s="11"/>
      <c r="BH479" s="11"/>
      <c r="BI479" s="11"/>
      <c r="BJ479" s="11" t="s">
        <v>87</v>
      </c>
      <c r="BK479" s="10">
        <v>46303.805902777778</v>
      </c>
      <c r="BL479" s="11"/>
      <c r="BM479" s="11"/>
      <c r="BN479" s="10">
        <v>46303.625</v>
      </c>
      <c r="BO479" s="11"/>
      <c r="BP479" s="11"/>
      <c r="BQ479" s="11"/>
      <c r="BR479" s="11"/>
      <c r="BS479" s="11"/>
      <c r="BT479" s="11"/>
      <c r="BU479" s="11"/>
      <c r="BV479" s="2"/>
      <c r="BW479" s="11"/>
    </row>
    <row r="480" spans="1:75" ht="30" x14ac:dyDescent="0.25">
      <c r="A480" s="2">
        <v>6200478</v>
      </c>
      <c r="B480" s="10">
        <v>46303.805902777778</v>
      </c>
      <c r="C480" s="11" t="s">
        <v>82</v>
      </c>
      <c r="D480" s="11"/>
      <c r="E480" s="11" t="s">
        <v>88</v>
      </c>
      <c r="F480" s="11"/>
      <c r="G480" s="11" t="s">
        <v>94</v>
      </c>
      <c r="H480" s="3"/>
      <c r="I480" s="11" t="s">
        <v>90</v>
      </c>
      <c r="J480" s="11"/>
      <c r="K480" s="11"/>
      <c r="L480" s="11"/>
      <c r="M480" s="11"/>
      <c r="N480" s="2">
        <v>1.25</v>
      </c>
      <c r="O480" s="2"/>
      <c r="P480" s="2"/>
      <c r="Q480" s="2"/>
      <c r="R480" s="11"/>
      <c r="S480" s="11" t="s">
        <v>570</v>
      </c>
      <c r="T480" s="11" t="s">
        <v>85</v>
      </c>
      <c r="U480" s="11"/>
      <c r="V480" s="11"/>
      <c r="W480" s="11"/>
      <c r="X480" s="11"/>
      <c r="Y480" s="11"/>
      <c r="Z480" s="11"/>
      <c r="AA480" s="11"/>
      <c r="AB480" s="9"/>
      <c r="AC480" s="2"/>
      <c r="AD480" s="9"/>
      <c r="AE480" s="2"/>
      <c r="AF480" s="9"/>
      <c r="AG480" s="10"/>
      <c r="AH480" s="11"/>
      <c r="AI480" s="11" t="s">
        <v>86</v>
      </c>
      <c r="AJ480" s="11"/>
      <c r="AK480" s="2"/>
      <c r="AL480" s="11"/>
      <c r="AM480" s="11"/>
      <c r="AN480" s="11"/>
      <c r="AO480" s="2"/>
      <c r="AP480" s="3"/>
      <c r="AQ480" s="11"/>
      <c r="AR480" s="3"/>
      <c r="AS480" s="2"/>
      <c r="AT480" s="11"/>
      <c r="AU480" s="2"/>
      <c r="AV480" s="2"/>
      <c r="AW480" s="2"/>
      <c r="AX480" s="11"/>
      <c r="AY480" s="11"/>
      <c r="AZ480" s="9"/>
      <c r="BA480" s="2">
        <v>1875</v>
      </c>
      <c r="BB480" s="11"/>
      <c r="BC480" s="11"/>
      <c r="BD480" s="11"/>
      <c r="BE480" s="11"/>
      <c r="BF480" s="11"/>
      <c r="BG480" s="11"/>
      <c r="BH480" s="11"/>
      <c r="BI480" s="11"/>
      <c r="BJ480" s="11" t="s">
        <v>87</v>
      </c>
      <c r="BK480" s="10">
        <v>46303.805902777778</v>
      </c>
      <c r="BL480" s="11"/>
      <c r="BM480" s="11"/>
      <c r="BN480" s="10">
        <v>46303.625</v>
      </c>
      <c r="BO480" s="11"/>
      <c r="BP480" s="11"/>
      <c r="BQ480" s="11"/>
      <c r="BR480" s="11"/>
      <c r="BS480" s="11"/>
      <c r="BT480" s="11"/>
      <c r="BU480" s="11"/>
      <c r="BV480" s="2"/>
      <c r="BW480" s="11"/>
    </row>
    <row r="481" spans="1:75" ht="30" x14ac:dyDescent="0.25">
      <c r="A481" s="2">
        <v>6200479</v>
      </c>
      <c r="B481" s="10">
        <v>46303.805902777778</v>
      </c>
      <c r="C481" s="11" t="s">
        <v>82</v>
      </c>
      <c r="D481" s="11"/>
      <c r="E481" s="11" t="s">
        <v>92</v>
      </c>
      <c r="F481" s="11"/>
      <c r="G481" s="11" t="s">
        <v>593</v>
      </c>
      <c r="H481" s="3"/>
      <c r="I481" s="11" t="s">
        <v>75</v>
      </c>
      <c r="J481" s="11"/>
      <c r="K481" s="11"/>
      <c r="L481" s="11"/>
      <c r="M481" s="11"/>
      <c r="N481" s="2">
        <v>1.25</v>
      </c>
      <c r="O481" s="2"/>
      <c r="P481" s="2"/>
      <c r="Q481" s="2"/>
      <c r="R481" s="11"/>
      <c r="S481" s="11" t="s">
        <v>571</v>
      </c>
      <c r="T481" s="11" t="s">
        <v>85</v>
      </c>
      <c r="U481" s="11"/>
      <c r="V481" s="11"/>
      <c r="W481" s="11"/>
      <c r="X481" s="11"/>
      <c r="Y481" s="11"/>
      <c r="Z481" s="11"/>
      <c r="AA481" s="11"/>
      <c r="AB481" s="9"/>
      <c r="AC481" s="2"/>
      <c r="AD481" s="9"/>
      <c r="AE481" s="2"/>
      <c r="AF481" s="9"/>
      <c r="AG481" s="10"/>
      <c r="AH481" s="11"/>
      <c r="AI481" s="11" t="s">
        <v>86</v>
      </c>
      <c r="AJ481" s="11"/>
      <c r="AK481" s="2"/>
      <c r="AL481" s="11"/>
      <c r="AM481" s="11"/>
      <c r="AN481" s="11"/>
      <c r="AO481" s="2"/>
      <c r="AP481" s="3"/>
      <c r="AQ481" s="11"/>
      <c r="AR481" s="3"/>
      <c r="AS481" s="2"/>
      <c r="AT481" s="11"/>
      <c r="AU481" s="2"/>
      <c r="AV481" s="2"/>
      <c r="AW481" s="2"/>
      <c r="AX481" s="11"/>
      <c r="AY481" s="11"/>
      <c r="AZ481" s="9"/>
      <c r="BA481" s="2">
        <v>1875</v>
      </c>
      <c r="BB481" s="11"/>
      <c r="BC481" s="11"/>
      <c r="BD481" s="11"/>
      <c r="BE481" s="11"/>
      <c r="BF481" s="11"/>
      <c r="BG481" s="11"/>
      <c r="BH481" s="11"/>
      <c r="BI481" s="11"/>
      <c r="BJ481" s="11" t="s">
        <v>87</v>
      </c>
      <c r="BK481" s="10">
        <v>46303.805902777778</v>
      </c>
      <c r="BL481" s="11"/>
      <c r="BM481" s="11"/>
      <c r="BN481" s="10">
        <v>46303.625</v>
      </c>
      <c r="BO481" s="11"/>
      <c r="BP481" s="11"/>
      <c r="BQ481" s="11"/>
      <c r="BR481" s="11"/>
      <c r="BS481" s="11"/>
      <c r="BT481" s="11"/>
      <c r="BU481" s="11"/>
      <c r="BV481" s="2"/>
      <c r="BW481" s="11"/>
    </row>
    <row r="482" spans="1:75" ht="30" x14ac:dyDescent="0.25">
      <c r="A482" s="2">
        <v>6200480</v>
      </c>
      <c r="B482" s="10">
        <v>46303.805902777778</v>
      </c>
      <c r="C482" s="11" t="s">
        <v>82</v>
      </c>
      <c r="D482" s="11"/>
      <c r="E482" s="11" t="s">
        <v>83</v>
      </c>
      <c r="F482" s="11"/>
      <c r="G482" s="11" t="s">
        <v>592</v>
      </c>
      <c r="H482" s="3"/>
      <c r="I482" s="11" t="s">
        <v>75</v>
      </c>
      <c r="J482" s="11"/>
      <c r="K482" s="11"/>
      <c r="L482" s="11"/>
      <c r="M482" s="11"/>
      <c r="N482" s="2">
        <v>1.25</v>
      </c>
      <c r="O482" s="2"/>
      <c r="P482" s="2"/>
      <c r="Q482" s="2"/>
      <c r="R482" s="11"/>
      <c r="S482" s="11" t="s">
        <v>572</v>
      </c>
      <c r="T482" s="11" t="s">
        <v>85</v>
      </c>
      <c r="U482" s="11"/>
      <c r="V482" s="11"/>
      <c r="W482" s="11"/>
      <c r="X482" s="11"/>
      <c r="Y482" s="11"/>
      <c r="Z482" s="11"/>
      <c r="AA482" s="11"/>
      <c r="AB482" s="9"/>
      <c r="AC482" s="2"/>
      <c r="AD482" s="9"/>
      <c r="AE482" s="2"/>
      <c r="AF482" s="9"/>
      <c r="AG482" s="10"/>
      <c r="AH482" s="11"/>
      <c r="AI482" s="11" t="s">
        <v>86</v>
      </c>
      <c r="AJ482" s="11"/>
      <c r="AK482" s="2"/>
      <c r="AL482" s="11"/>
      <c r="AM482" s="11"/>
      <c r="AN482" s="11"/>
      <c r="AO482" s="2"/>
      <c r="AP482" s="3"/>
      <c r="AQ482" s="11"/>
      <c r="AR482" s="3"/>
      <c r="AS482" s="2"/>
      <c r="AT482" s="11"/>
      <c r="AU482" s="2"/>
      <c r="AV482" s="2"/>
      <c r="AW482" s="2"/>
      <c r="AX482" s="11"/>
      <c r="AY482" s="11"/>
      <c r="AZ482" s="9"/>
      <c r="BA482" s="2">
        <v>1875</v>
      </c>
      <c r="BB482" s="11"/>
      <c r="BC482" s="11"/>
      <c r="BD482" s="11"/>
      <c r="BE482" s="11"/>
      <c r="BF482" s="11"/>
      <c r="BG482" s="11"/>
      <c r="BH482" s="11"/>
      <c r="BI482" s="11"/>
      <c r="BJ482" s="11" t="s">
        <v>87</v>
      </c>
      <c r="BK482" s="10">
        <v>46303.805902777778</v>
      </c>
      <c r="BL482" s="11"/>
      <c r="BM482" s="11"/>
      <c r="BN482" s="10">
        <v>46303.625</v>
      </c>
      <c r="BO482" s="11"/>
      <c r="BP482" s="11"/>
      <c r="BQ482" s="11"/>
      <c r="BR482" s="11"/>
      <c r="BS482" s="11"/>
      <c r="BT482" s="11"/>
      <c r="BU482" s="11"/>
      <c r="BV482" s="2"/>
      <c r="BW482" s="11"/>
    </row>
    <row r="483" spans="1:75" ht="30" x14ac:dyDescent="0.25">
      <c r="A483" s="2">
        <v>6200481</v>
      </c>
      <c r="B483" s="10">
        <v>46303.805902777778</v>
      </c>
      <c r="C483" s="11" t="s">
        <v>82</v>
      </c>
      <c r="D483" s="11"/>
      <c r="E483" s="11" t="s">
        <v>88</v>
      </c>
      <c r="F483" s="11"/>
      <c r="G483" s="11" t="s">
        <v>89</v>
      </c>
      <c r="H483" s="3"/>
      <c r="I483" s="11" t="s">
        <v>90</v>
      </c>
      <c r="J483" s="11"/>
      <c r="K483" s="11"/>
      <c r="L483" s="11"/>
      <c r="M483" s="11"/>
      <c r="N483" s="2">
        <v>1.25</v>
      </c>
      <c r="O483" s="2"/>
      <c r="P483" s="2"/>
      <c r="Q483" s="2"/>
      <c r="R483" s="11"/>
      <c r="S483" s="11" t="s">
        <v>573</v>
      </c>
      <c r="T483" s="11" t="s">
        <v>85</v>
      </c>
      <c r="U483" s="11"/>
      <c r="V483" s="11"/>
      <c r="W483" s="11"/>
      <c r="X483" s="11"/>
      <c r="Y483" s="11"/>
      <c r="Z483" s="11"/>
      <c r="AA483" s="11"/>
      <c r="AB483" s="9"/>
      <c r="AC483" s="2"/>
      <c r="AD483" s="9"/>
      <c r="AE483" s="2"/>
      <c r="AF483" s="9"/>
      <c r="AG483" s="10"/>
      <c r="AH483" s="11"/>
      <c r="AI483" s="11" t="s">
        <v>86</v>
      </c>
      <c r="AJ483" s="11"/>
      <c r="AK483" s="2"/>
      <c r="AL483" s="11"/>
      <c r="AM483" s="11"/>
      <c r="AN483" s="11"/>
      <c r="AO483" s="2"/>
      <c r="AP483" s="3"/>
      <c r="AQ483" s="11"/>
      <c r="AR483" s="3"/>
      <c r="AS483" s="2"/>
      <c r="AT483" s="11"/>
      <c r="AU483" s="2"/>
      <c r="AV483" s="2"/>
      <c r="AW483" s="2"/>
      <c r="AX483" s="11"/>
      <c r="AY483" s="11"/>
      <c r="AZ483" s="9"/>
      <c r="BA483" s="2">
        <v>1875</v>
      </c>
      <c r="BB483" s="11"/>
      <c r="BC483" s="11"/>
      <c r="BD483" s="11"/>
      <c r="BE483" s="11"/>
      <c r="BF483" s="11"/>
      <c r="BG483" s="11"/>
      <c r="BH483" s="11"/>
      <c r="BI483" s="11"/>
      <c r="BJ483" s="11" t="s">
        <v>87</v>
      </c>
      <c r="BK483" s="10">
        <v>46303.805902777778</v>
      </c>
      <c r="BL483" s="11"/>
      <c r="BM483" s="11"/>
      <c r="BN483" s="10">
        <v>46303.625</v>
      </c>
      <c r="BO483" s="11"/>
      <c r="BP483" s="11"/>
      <c r="BQ483" s="11"/>
      <c r="BR483" s="11"/>
      <c r="BS483" s="11"/>
      <c r="BT483" s="11"/>
      <c r="BU483" s="11"/>
      <c r="BV483" s="2"/>
      <c r="BW483" s="11"/>
    </row>
    <row r="484" spans="1:75" ht="30" x14ac:dyDescent="0.25">
      <c r="A484" s="2">
        <v>6200482</v>
      </c>
      <c r="B484" s="10">
        <v>46303.805902777778</v>
      </c>
      <c r="C484" s="11" t="s">
        <v>82</v>
      </c>
      <c r="D484" s="11"/>
      <c r="E484" s="11" t="s">
        <v>92</v>
      </c>
      <c r="F484" s="11"/>
      <c r="G484" s="2">
        <v>470123456</v>
      </c>
      <c r="H484" s="3"/>
      <c r="I484" s="11" t="s">
        <v>75</v>
      </c>
      <c r="J484" s="11"/>
      <c r="K484" s="11"/>
      <c r="L484" s="11"/>
      <c r="M484" s="11"/>
      <c r="N484" s="2">
        <v>1.25</v>
      </c>
      <c r="O484" s="2"/>
      <c r="P484" s="2"/>
      <c r="Q484" s="2"/>
      <c r="R484" s="11"/>
      <c r="S484" s="11" t="s">
        <v>574</v>
      </c>
      <c r="T484" s="11" t="s">
        <v>85</v>
      </c>
      <c r="U484" s="11"/>
      <c r="V484" s="11"/>
      <c r="W484" s="11"/>
      <c r="X484" s="11"/>
      <c r="Y484" s="11"/>
      <c r="Z484" s="11"/>
      <c r="AA484" s="11"/>
      <c r="AB484" s="9"/>
      <c r="AC484" s="2"/>
      <c r="AD484" s="9"/>
      <c r="AE484" s="2"/>
      <c r="AF484" s="9"/>
      <c r="AG484" s="10"/>
      <c r="AH484" s="11"/>
      <c r="AI484" s="11" t="s">
        <v>86</v>
      </c>
      <c r="AJ484" s="11"/>
      <c r="AK484" s="2"/>
      <c r="AL484" s="11"/>
      <c r="AM484" s="11"/>
      <c r="AN484" s="11"/>
      <c r="AO484" s="2"/>
      <c r="AP484" s="3"/>
      <c r="AQ484" s="11"/>
      <c r="AR484" s="3"/>
      <c r="AS484" s="2"/>
      <c r="AT484" s="11"/>
      <c r="AU484" s="2"/>
      <c r="AV484" s="2"/>
      <c r="AW484" s="2"/>
      <c r="AX484" s="11"/>
      <c r="AY484" s="11"/>
      <c r="AZ484" s="9"/>
      <c r="BA484" s="2">
        <v>1875</v>
      </c>
      <c r="BB484" s="11"/>
      <c r="BC484" s="11"/>
      <c r="BD484" s="11"/>
      <c r="BE484" s="11"/>
      <c r="BF484" s="11"/>
      <c r="BG484" s="11"/>
      <c r="BH484" s="11"/>
      <c r="BI484" s="11"/>
      <c r="BJ484" s="11" t="s">
        <v>87</v>
      </c>
      <c r="BK484" s="10">
        <v>46303.805902777778</v>
      </c>
      <c r="BL484" s="11"/>
      <c r="BM484" s="11"/>
      <c r="BN484" s="10">
        <v>46303.625</v>
      </c>
      <c r="BO484" s="11"/>
      <c r="BP484" s="11"/>
      <c r="BQ484" s="11"/>
      <c r="BR484" s="11"/>
      <c r="BS484" s="11"/>
      <c r="BT484" s="11"/>
      <c r="BU484" s="11"/>
      <c r="BV484" s="2"/>
      <c r="BW484" s="11"/>
    </row>
    <row r="485" spans="1:75" ht="30" x14ac:dyDescent="0.25">
      <c r="A485" s="2">
        <v>6200483</v>
      </c>
      <c r="B485" s="10">
        <v>46303.805902777778</v>
      </c>
      <c r="C485" s="11" t="s">
        <v>82</v>
      </c>
      <c r="D485" s="11"/>
      <c r="E485" s="11" t="s">
        <v>83</v>
      </c>
      <c r="F485" s="11"/>
      <c r="G485" s="11" t="s">
        <v>94</v>
      </c>
      <c r="H485" s="3"/>
      <c r="I485" s="11" t="s">
        <v>90</v>
      </c>
      <c r="J485" s="11"/>
      <c r="K485" s="11"/>
      <c r="L485" s="11"/>
      <c r="M485" s="11"/>
      <c r="N485" s="2">
        <v>1.25</v>
      </c>
      <c r="O485" s="2"/>
      <c r="P485" s="2"/>
      <c r="Q485" s="2"/>
      <c r="R485" s="11"/>
      <c r="S485" s="11" t="s">
        <v>575</v>
      </c>
      <c r="T485" s="11" t="s">
        <v>85</v>
      </c>
      <c r="U485" s="11"/>
      <c r="V485" s="11"/>
      <c r="W485" s="11"/>
      <c r="X485" s="11"/>
      <c r="Y485" s="11"/>
      <c r="Z485" s="11"/>
      <c r="AA485" s="11"/>
      <c r="AB485" s="9"/>
      <c r="AC485" s="2"/>
      <c r="AD485" s="9"/>
      <c r="AE485" s="2"/>
      <c r="AF485" s="9"/>
      <c r="AG485" s="10"/>
      <c r="AH485" s="11"/>
      <c r="AI485" s="11" t="s">
        <v>86</v>
      </c>
      <c r="AJ485" s="11"/>
      <c r="AK485" s="2"/>
      <c r="AL485" s="11"/>
      <c r="AM485" s="11"/>
      <c r="AN485" s="11"/>
      <c r="AO485" s="2"/>
      <c r="AP485" s="3"/>
      <c r="AQ485" s="11"/>
      <c r="AR485" s="3"/>
      <c r="AS485" s="2"/>
      <c r="AT485" s="11"/>
      <c r="AU485" s="2"/>
      <c r="AV485" s="2"/>
      <c r="AW485" s="2"/>
      <c r="AX485" s="11"/>
      <c r="AY485" s="11"/>
      <c r="AZ485" s="9"/>
      <c r="BA485" s="2">
        <v>1875</v>
      </c>
      <c r="BB485" s="11"/>
      <c r="BC485" s="11"/>
      <c r="BD485" s="11"/>
      <c r="BE485" s="11"/>
      <c r="BF485" s="11"/>
      <c r="BG485" s="11"/>
      <c r="BH485" s="11"/>
      <c r="BI485" s="11"/>
      <c r="BJ485" s="11" t="s">
        <v>87</v>
      </c>
      <c r="BK485" s="10">
        <v>46303.805902777778</v>
      </c>
      <c r="BL485" s="11"/>
      <c r="BM485" s="11"/>
      <c r="BN485" s="10">
        <v>46303.625</v>
      </c>
      <c r="BO485" s="11"/>
      <c r="BP485" s="11"/>
      <c r="BQ485" s="11"/>
      <c r="BR485" s="11"/>
      <c r="BS485" s="11"/>
      <c r="BT485" s="11"/>
      <c r="BU485" s="11"/>
      <c r="BV485" s="2"/>
      <c r="BW485" s="11"/>
    </row>
    <row r="486" spans="1:75" ht="30" x14ac:dyDescent="0.25">
      <c r="A486" s="2">
        <v>6200484</v>
      </c>
      <c r="B486" s="10">
        <v>46303.805902777778</v>
      </c>
      <c r="C486" s="11" t="s">
        <v>82</v>
      </c>
      <c r="D486" s="11"/>
      <c r="E486" s="11" t="s">
        <v>88</v>
      </c>
      <c r="F486" s="11"/>
      <c r="G486" s="11" t="s">
        <v>593</v>
      </c>
      <c r="H486" s="3"/>
      <c r="I486" s="11" t="s">
        <v>75</v>
      </c>
      <c r="J486" s="11"/>
      <c r="K486" s="11"/>
      <c r="L486" s="11"/>
      <c r="M486" s="11"/>
      <c r="N486" s="2">
        <v>1.25</v>
      </c>
      <c r="O486" s="2"/>
      <c r="P486" s="2"/>
      <c r="Q486" s="2"/>
      <c r="R486" s="11"/>
      <c r="S486" s="11" t="s">
        <v>576</v>
      </c>
      <c r="T486" s="11" t="s">
        <v>85</v>
      </c>
      <c r="U486" s="11"/>
      <c r="V486" s="11"/>
      <c r="W486" s="11"/>
      <c r="X486" s="11"/>
      <c r="Y486" s="11"/>
      <c r="Z486" s="11"/>
      <c r="AA486" s="11"/>
      <c r="AB486" s="9"/>
      <c r="AC486" s="2"/>
      <c r="AD486" s="9"/>
      <c r="AE486" s="2"/>
      <c r="AF486" s="9"/>
      <c r="AG486" s="10"/>
      <c r="AH486" s="11"/>
      <c r="AI486" s="11" t="s">
        <v>86</v>
      </c>
      <c r="AJ486" s="11"/>
      <c r="AK486" s="2"/>
      <c r="AL486" s="11"/>
      <c r="AM486" s="11"/>
      <c r="AN486" s="11"/>
      <c r="AO486" s="2"/>
      <c r="AP486" s="3"/>
      <c r="AQ486" s="11"/>
      <c r="AR486" s="3"/>
      <c r="AS486" s="2"/>
      <c r="AT486" s="11"/>
      <c r="AU486" s="2"/>
      <c r="AV486" s="2"/>
      <c r="AW486" s="2"/>
      <c r="AX486" s="11"/>
      <c r="AY486" s="11"/>
      <c r="AZ486" s="9"/>
      <c r="BA486" s="2">
        <v>1875</v>
      </c>
      <c r="BB486" s="11"/>
      <c r="BC486" s="11"/>
      <c r="BD486" s="11"/>
      <c r="BE486" s="11"/>
      <c r="BF486" s="11"/>
      <c r="BG486" s="11"/>
      <c r="BH486" s="11"/>
      <c r="BI486" s="11"/>
      <c r="BJ486" s="11" t="s">
        <v>87</v>
      </c>
      <c r="BK486" s="10">
        <v>46303.805902777778</v>
      </c>
      <c r="BL486" s="11"/>
      <c r="BM486" s="11"/>
      <c r="BN486" s="10">
        <v>46303.625</v>
      </c>
      <c r="BO486" s="11"/>
      <c r="BP486" s="11"/>
      <c r="BQ486" s="11"/>
      <c r="BR486" s="11"/>
      <c r="BS486" s="11"/>
      <c r="BT486" s="11"/>
      <c r="BU486" s="11"/>
      <c r="BV486" s="2"/>
      <c r="BW486" s="11"/>
    </row>
    <row r="487" spans="1:75" ht="30" x14ac:dyDescent="0.25">
      <c r="A487" s="2">
        <v>6200485</v>
      </c>
      <c r="B487" s="10">
        <v>46303.805902777778</v>
      </c>
      <c r="C487" s="11" t="s">
        <v>82</v>
      </c>
      <c r="D487" s="11"/>
      <c r="E487" s="11" t="s">
        <v>92</v>
      </c>
      <c r="F487" s="11"/>
      <c r="G487" s="11" t="s">
        <v>592</v>
      </c>
      <c r="H487" s="3"/>
      <c r="I487" s="11" t="s">
        <v>75</v>
      </c>
      <c r="J487" s="11"/>
      <c r="K487" s="11"/>
      <c r="L487" s="11"/>
      <c r="M487" s="11"/>
      <c r="N487" s="2">
        <v>1.25</v>
      </c>
      <c r="O487" s="2"/>
      <c r="P487" s="2"/>
      <c r="Q487" s="2"/>
      <c r="R487" s="11"/>
      <c r="S487" s="11" t="s">
        <v>577</v>
      </c>
      <c r="T487" s="11" t="s">
        <v>85</v>
      </c>
      <c r="U487" s="11"/>
      <c r="V487" s="11"/>
      <c r="W487" s="11"/>
      <c r="X487" s="11"/>
      <c r="Y487" s="11"/>
      <c r="Z487" s="11"/>
      <c r="AA487" s="11"/>
      <c r="AB487" s="9"/>
      <c r="AC487" s="2"/>
      <c r="AD487" s="9"/>
      <c r="AE487" s="2"/>
      <c r="AF487" s="9"/>
      <c r="AG487" s="10"/>
      <c r="AH487" s="11"/>
      <c r="AI487" s="11" t="s">
        <v>86</v>
      </c>
      <c r="AJ487" s="11"/>
      <c r="AK487" s="2"/>
      <c r="AL487" s="11"/>
      <c r="AM487" s="11"/>
      <c r="AN487" s="11"/>
      <c r="AO487" s="2"/>
      <c r="AP487" s="3"/>
      <c r="AQ487" s="11"/>
      <c r="AR487" s="3"/>
      <c r="AS487" s="2"/>
      <c r="AT487" s="11"/>
      <c r="AU487" s="2"/>
      <c r="AV487" s="2"/>
      <c r="AW487" s="2"/>
      <c r="AX487" s="11"/>
      <c r="AY487" s="11"/>
      <c r="AZ487" s="9"/>
      <c r="BA487" s="2">
        <v>1875</v>
      </c>
      <c r="BB487" s="11"/>
      <c r="BC487" s="11"/>
      <c r="BD487" s="11"/>
      <c r="BE487" s="11"/>
      <c r="BF487" s="11"/>
      <c r="BG487" s="11"/>
      <c r="BH487" s="11"/>
      <c r="BI487" s="11"/>
      <c r="BJ487" s="11" t="s">
        <v>87</v>
      </c>
      <c r="BK487" s="10">
        <v>46303.805902777778</v>
      </c>
      <c r="BL487" s="11"/>
      <c r="BM487" s="11"/>
      <c r="BN487" s="10">
        <v>46303.625</v>
      </c>
      <c r="BO487" s="11"/>
      <c r="BP487" s="11"/>
      <c r="BQ487" s="11"/>
      <c r="BR487" s="11"/>
      <c r="BS487" s="11"/>
      <c r="BT487" s="11"/>
      <c r="BU487" s="11"/>
      <c r="BV487" s="2"/>
      <c r="BW487" s="11"/>
    </row>
    <row r="488" spans="1:75" ht="30" x14ac:dyDescent="0.25">
      <c r="A488" s="2">
        <v>6200486</v>
      </c>
      <c r="B488" s="10">
        <v>46303.805902777778</v>
      </c>
      <c r="C488" s="11" t="s">
        <v>82</v>
      </c>
      <c r="D488" s="11"/>
      <c r="E488" s="11" t="s">
        <v>83</v>
      </c>
      <c r="F488" s="11"/>
      <c r="G488" s="11" t="s">
        <v>89</v>
      </c>
      <c r="H488" s="3"/>
      <c r="I488" s="11" t="s">
        <v>90</v>
      </c>
      <c r="J488" s="11"/>
      <c r="K488" s="11"/>
      <c r="L488" s="11"/>
      <c r="M488" s="11"/>
      <c r="N488" s="2">
        <v>1.25</v>
      </c>
      <c r="O488" s="2"/>
      <c r="P488" s="2"/>
      <c r="Q488" s="2"/>
      <c r="R488" s="11"/>
      <c r="S488" s="11" t="s">
        <v>578</v>
      </c>
      <c r="T488" s="11" t="s">
        <v>85</v>
      </c>
      <c r="U488" s="11"/>
      <c r="V488" s="11"/>
      <c r="W488" s="11"/>
      <c r="X488" s="11"/>
      <c r="Y488" s="11"/>
      <c r="Z488" s="11"/>
      <c r="AA488" s="11"/>
      <c r="AB488" s="9"/>
      <c r="AC488" s="2"/>
      <c r="AD488" s="9"/>
      <c r="AE488" s="2"/>
      <c r="AF488" s="9"/>
      <c r="AG488" s="10"/>
      <c r="AH488" s="11"/>
      <c r="AI488" s="11" t="s">
        <v>86</v>
      </c>
      <c r="AJ488" s="11"/>
      <c r="AK488" s="2"/>
      <c r="AL488" s="11"/>
      <c r="AM488" s="11"/>
      <c r="AN488" s="11"/>
      <c r="AO488" s="2"/>
      <c r="AP488" s="3"/>
      <c r="AQ488" s="11"/>
      <c r="AR488" s="3"/>
      <c r="AS488" s="2"/>
      <c r="AT488" s="11"/>
      <c r="AU488" s="2"/>
      <c r="AV488" s="2"/>
      <c r="AW488" s="2"/>
      <c r="AX488" s="11"/>
      <c r="AY488" s="11"/>
      <c r="AZ488" s="9"/>
      <c r="BA488" s="2">
        <v>1875</v>
      </c>
      <c r="BB488" s="11"/>
      <c r="BC488" s="11"/>
      <c r="BD488" s="11"/>
      <c r="BE488" s="11"/>
      <c r="BF488" s="11"/>
      <c r="BG488" s="11"/>
      <c r="BH488" s="11"/>
      <c r="BI488" s="11"/>
      <c r="BJ488" s="11" t="s">
        <v>87</v>
      </c>
      <c r="BK488" s="10">
        <v>46303.805902777778</v>
      </c>
      <c r="BL488" s="11"/>
      <c r="BM488" s="11"/>
      <c r="BN488" s="10">
        <v>46303.625</v>
      </c>
      <c r="BO488" s="11"/>
      <c r="BP488" s="11"/>
      <c r="BQ488" s="11"/>
      <c r="BR488" s="11"/>
      <c r="BS488" s="11"/>
      <c r="BT488" s="11"/>
      <c r="BU488" s="11"/>
      <c r="BV488" s="2"/>
      <c r="BW488" s="11"/>
    </row>
    <row r="489" spans="1:75" ht="30" x14ac:dyDescent="0.25">
      <c r="A489" s="2">
        <v>6200487</v>
      </c>
      <c r="B489" s="10">
        <v>46303.805902777778</v>
      </c>
      <c r="C489" s="11" t="s">
        <v>82</v>
      </c>
      <c r="D489" s="11"/>
      <c r="E489" s="11" t="s">
        <v>88</v>
      </c>
      <c r="F489" s="11"/>
      <c r="G489" s="2">
        <v>470123456</v>
      </c>
      <c r="H489" s="3"/>
      <c r="I489" s="11" t="s">
        <v>75</v>
      </c>
      <c r="J489" s="11"/>
      <c r="K489" s="11"/>
      <c r="L489" s="11"/>
      <c r="M489" s="11"/>
      <c r="N489" s="2">
        <v>1.25</v>
      </c>
      <c r="O489" s="2"/>
      <c r="P489" s="2"/>
      <c r="Q489" s="2"/>
      <c r="R489" s="11"/>
      <c r="S489" s="11" t="s">
        <v>579</v>
      </c>
      <c r="T489" s="11" t="s">
        <v>85</v>
      </c>
      <c r="U489" s="11"/>
      <c r="V489" s="11"/>
      <c r="W489" s="11"/>
      <c r="X489" s="11"/>
      <c r="Y489" s="11"/>
      <c r="Z489" s="11"/>
      <c r="AA489" s="11"/>
      <c r="AB489" s="9"/>
      <c r="AC489" s="2"/>
      <c r="AD489" s="9"/>
      <c r="AE489" s="2"/>
      <c r="AF489" s="9"/>
      <c r="AG489" s="10"/>
      <c r="AH489" s="11"/>
      <c r="AI489" s="11" t="s">
        <v>86</v>
      </c>
      <c r="AJ489" s="11"/>
      <c r="AK489" s="2"/>
      <c r="AL489" s="11"/>
      <c r="AM489" s="11"/>
      <c r="AN489" s="11"/>
      <c r="AO489" s="2"/>
      <c r="AP489" s="3"/>
      <c r="AQ489" s="11"/>
      <c r="AR489" s="3"/>
      <c r="AS489" s="2"/>
      <c r="AT489" s="11"/>
      <c r="AU489" s="2"/>
      <c r="AV489" s="2"/>
      <c r="AW489" s="2"/>
      <c r="AX489" s="11"/>
      <c r="AY489" s="11"/>
      <c r="AZ489" s="9"/>
      <c r="BA489" s="2">
        <v>1875</v>
      </c>
      <c r="BB489" s="11"/>
      <c r="BC489" s="11"/>
      <c r="BD489" s="11"/>
      <c r="BE489" s="11"/>
      <c r="BF489" s="11"/>
      <c r="BG489" s="11"/>
      <c r="BH489" s="11"/>
      <c r="BI489" s="11"/>
      <c r="BJ489" s="11" t="s">
        <v>87</v>
      </c>
      <c r="BK489" s="10">
        <v>46303.805902777778</v>
      </c>
      <c r="BL489" s="11"/>
      <c r="BM489" s="11"/>
      <c r="BN489" s="10">
        <v>46303.625</v>
      </c>
      <c r="BO489" s="11"/>
      <c r="BP489" s="11"/>
      <c r="BQ489" s="11"/>
      <c r="BR489" s="11"/>
      <c r="BS489" s="11"/>
      <c r="BT489" s="11"/>
      <c r="BU489" s="11"/>
      <c r="BV489" s="2"/>
      <c r="BW489" s="11"/>
    </row>
    <row r="490" spans="1:75" ht="30" x14ac:dyDescent="0.25">
      <c r="A490" s="2">
        <v>6200488</v>
      </c>
      <c r="B490" s="10">
        <v>46303.805902777778</v>
      </c>
      <c r="C490" s="11" t="s">
        <v>82</v>
      </c>
      <c r="D490" s="11"/>
      <c r="E490" s="11" t="s">
        <v>92</v>
      </c>
      <c r="F490" s="11"/>
      <c r="G490" s="11" t="s">
        <v>94</v>
      </c>
      <c r="H490" s="3"/>
      <c r="I490" s="11" t="s">
        <v>90</v>
      </c>
      <c r="J490" s="11"/>
      <c r="K490" s="11"/>
      <c r="L490" s="11"/>
      <c r="M490" s="11"/>
      <c r="N490" s="2">
        <v>1.25</v>
      </c>
      <c r="O490" s="2"/>
      <c r="P490" s="2"/>
      <c r="Q490" s="2"/>
      <c r="R490" s="11"/>
      <c r="S490" s="11" t="s">
        <v>580</v>
      </c>
      <c r="T490" s="11" t="s">
        <v>85</v>
      </c>
      <c r="U490" s="11"/>
      <c r="V490" s="11"/>
      <c r="W490" s="11"/>
      <c r="X490" s="11"/>
      <c r="Y490" s="11"/>
      <c r="Z490" s="11"/>
      <c r="AA490" s="11"/>
      <c r="AB490" s="9"/>
      <c r="AC490" s="2"/>
      <c r="AD490" s="9"/>
      <c r="AE490" s="2"/>
      <c r="AF490" s="9"/>
      <c r="AG490" s="10"/>
      <c r="AH490" s="11"/>
      <c r="AI490" s="11" t="s">
        <v>86</v>
      </c>
      <c r="AJ490" s="11"/>
      <c r="AK490" s="2"/>
      <c r="AL490" s="11"/>
      <c r="AM490" s="11"/>
      <c r="AN490" s="11"/>
      <c r="AO490" s="2"/>
      <c r="AP490" s="3"/>
      <c r="AQ490" s="11"/>
      <c r="AR490" s="3"/>
      <c r="AS490" s="2"/>
      <c r="AT490" s="11"/>
      <c r="AU490" s="2"/>
      <c r="AV490" s="2"/>
      <c r="AW490" s="2"/>
      <c r="AX490" s="11"/>
      <c r="AY490" s="11"/>
      <c r="AZ490" s="9"/>
      <c r="BA490" s="2">
        <v>1875</v>
      </c>
      <c r="BB490" s="11"/>
      <c r="BC490" s="11"/>
      <c r="BD490" s="11"/>
      <c r="BE490" s="11"/>
      <c r="BF490" s="11"/>
      <c r="BG490" s="11"/>
      <c r="BH490" s="11"/>
      <c r="BI490" s="11"/>
      <c r="BJ490" s="11" t="s">
        <v>87</v>
      </c>
      <c r="BK490" s="10">
        <v>46303.805902777778</v>
      </c>
      <c r="BL490" s="11"/>
      <c r="BM490" s="11"/>
      <c r="BN490" s="10">
        <v>46303.625</v>
      </c>
      <c r="BO490" s="11"/>
      <c r="BP490" s="11"/>
      <c r="BQ490" s="11"/>
      <c r="BR490" s="11"/>
      <c r="BS490" s="11"/>
      <c r="BT490" s="11"/>
      <c r="BU490" s="11"/>
      <c r="BV490" s="2"/>
      <c r="BW490" s="11"/>
    </row>
    <row r="491" spans="1:75" ht="30" x14ac:dyDescent="0.25">
      <c r="A491" s="2">
        <v>6200489</v>
      </c>
      <c r="B491" s="10">
        <v>46303.805902777778</v>
      </c>
      <c r="C491" s="11" t="s">
        <v>82</v>
      </c>
      <c r="D491" s="11"/>
      <c r="E491" s="11" t="s">
        <v>83</v>
      </c>
      <c r="F491" s="11"/>
      <c r="G491" s="11" t="s">
        <v>593</v>
      </c>
      <c r="H491" s="3"/>
      <c r="I491" s="11" t="s">
        <v>75</v>
      </c>
      <c r="J491" s="11"/>
      <c r="K491" s="11"/>
      <c r="L491" s="11"/>
      <c r="M491" s="11"/>
      <c r="N491" s="2">
        <v>1.25</v>
      </c>
      <c r="O491" s="2"/>
      <c r="P491" s="2"/>
      <c r="Q491" s="2"/>
      <c r="R491" s="11"/>
      <c r="S491" s="11" t="s">
        <v>581</v>
      </c>
      <c r="T491" s="11" t="s">
        <v>85</v>
      </c>
      <c r="U491" s="11"/>
      <c r="V491" s="11"/>
      <c r="W491" s="11"/>
      <c r="X491" s="11"/>
      <c r="Y491" s="11"/>
      <c r="Z491" s="11"/>
      <c r="AA491" s="11"/>
      <c r="AB491" s="9"/>
      <c r="AC491" s="2"/>
      <c r="AD491" s="9"/>
      <c r="AE491" s="2"/>
      <c r="AF491" s="9"/>
      <c r="AG491" s="10"/>
      <c r="AH491" s="11"/>
      <c r="AI491" s="11" t="s">
        <v>86</v>
      </c>
      <c r="AJ491" s="11"/>
      <c r="AK491" s="2"/>
      <c r="AL491" s="11"/>
      <c r="AM491" s="11"/>
      <c r="AN491" s="11"/>
      <c r="AO491" s="2"/>
      <c r="AP491" s="3"/>
      <c r="AQ491" s="11"/>
      <c r="AR491" s="3"/>
      <c r="AS491" s="2"/>
      <c r="AT491" s="11"/>
      <c r="AU491" s="2"/>
      <c r="AV491" s="2"/>
      <c r="AW491" s="2"/>
      <c r="AX491" s="11"/>
      <c r="AY491" s="11"/>
      <c r="AZ491" s="9"/>
      <c r="BA491" s="2">
        <v>1875</v>
      </c>
      <c r="BB491" s="11"/>
      <c r="BC491" s="11"/>
      <c r="BD491" s="11"/>
      <c r="BE491" s="11"/>
      <c r="BF491" s="11"/>
      <c r="BG491" s="11"/>
      <c r="BH491" s="11"/>
      <c r="BI491" s="11"/>
      <c r="BJ491" s="11" t="s">
        <v>87</v>
      </c>
      <c r="BK491" s="10">
        <v>46303.805902777778</v>
      </c>
      <c r="BL491" s="11"/>
      <c r="BM491" s="11"/>
      <c r="BN491" s="10">
        <v>46303.625</v>
      </c>
      <c r="BO491" s="11"/>
      <c r="BP491" s="11"/>
      <c r="BQ491" s="11"/>
      <c r="BR491" s="11"/>
      <c r="BS491" s="11"/>
      <c r="BT491" s="11"/>
      <c r="BU491" s="11"/>
      <c r="BV491" s="2"/>
      <c r="BW491" s="11"/>
    </row>
    <row r="492" spans="1:75" ht="30" x14ac:dyDescent="0.25">
      <c r="A492" s="2">
        <v>6200490</v>
      </c>
      <c r="B492" s="10">
        <v>46303.805902777778</v>
      </c>
      <c r="C492" s="11" t="s">
        <v>82</v>
      </c>
      <c r="D492" s="11"/>
      <c r="E492" s="11" t="s">
        <v>88</v>
      </c>
      <c r="F492" s="11"/>
      <c r="G492" s="11" t="s">
        <v>592</v>
      </c>
      <c r="H492" s="3"/>
      <c r="I492" s="11" t="s">
        <v>75</v>
      </c>
      <c r="J492" s="11"/>
      <c r="K492" s="11"/>
      <c r="L492" s="11"/>
      <c r="M492" s="11"/>
      <c r="N492" s="2">
        <v>1.25</v>
      </c>
      <c r="O492" s="2"/>
      <c r="P492" s="2"/>
      <c r="Q492" s="2"/>
      <c r="R492" s="11"/>
      <c r="S492" s="11" t="s">
        <v>582</v>
      </c>
      <c r="T492" s="11" t="s">
        <v>85</v>
      </c>
      <c r="U492" s="11"/>
      <c r="V492" s="11"/>
      <c r="W492" s="11"/>
      <c r="X492" s="11"/>
      <c r="Y492" s="11"/>
      <c r="Z492" s="11"/>
      <c r="AA492" s="11"/>
      <c r="AB492" s="9"/>
      <c r="AC492" s="2"/>
      <c r="AD492" s="9"/>
      <c r="AE492" s="2"/>
      <c r="AF492" s="9"/>
      <c r="AG492" s="10"/>
      <c r="AH492" s="11"/>
      <c r="AI492" s="11" t="s">
        <v>86</v>
      </c>
      <c r="AJ492" s="11"/>
      <c r="AK492" s="2"/>
      <c r="AL492" s="11"/>
      <c r="AM492" s="11"/>
      <c r="AN492" s="11"/>
      <c r="AO492" s="2"/>
      <c r="AP492" s="3"/>
      <c r="AQ492" s="11"/>
      <c r="AR492" s="3"/>
      <c r="AS492" s="2"/>
      <c r="AT492" s="11"/>
      <c r="AU492" s="2"/>
      <c r="AV492" s="2"/>
      <c r="AW492" s="2"/>
      <c r="AX492" s="11"/>
      <c r="AY492" s="11"/>
      <c r="AZ492" s="9"/>
      <c r="BA492" s="2">
        <v>1875</v>
      </c>
      <c r="BB492" s="11"/>
      <c r="BC492" s="11"/>
      <c r="BD492" s="11"/>
      <c r="BE492" s="11"/>
      <c r="BF492" s="11"/>
      <c r="BG492" s="11"/>
      <c r="BH492" s="11"/>
      <c r="BI492" s="11"/>
      <c r="BJ492" s="11" t="s">
        <v>87</v>
      </c>
      <c r="BK492" s="10">
        <v>46303.805902777778</v>
      </c>
      <c r="BL492" s="11"/>
      <c r="BM492" s="11"/>
      <c r="BN492" s="10">
        <v>46303.625</v>
      </c>
      <c r="BO492" s="11"/>
      <c r="BP492" s="11"/>
      <c r="BQ492" s="11"/>
      <c r="BR492" s="11"/>
      <c r="BS492" s="11"/>
      <c r="BT492" s="11"/>
      <c r="BU492" s="11"/>
      <c r="BV492" s="2"/>
      <c r="BW492" s="11"/>
    </row>
    <row r="493" spans="1:75" ht="30" x14ac:dyDescent="0.25">
      <c r="A493" s="2">
        <v>6200491</v>
      </c>
      <c r="B493" s="10">
        <v>46303.805902777778</v>
      </c>
      <c r="C493" s="11" t="s">
        <v>82</v>
      </c>
      <c r="D493" s="11"/>
      <c r="E493" s="11" t="s">
        <v>92</v>
      </c>
      <c r="F493" s="11"/>
      <c r="G493" s="11" t="s">
        <v>89</v>
      </c>
      <c r="H493" s="3"/>
      <c r="I493" s="11" t="s">
        <v>90</v>
      </c>
      <c r="J493" s="11"/>
      <c r="K493" s="11"/>
      <c r="L493" s="11"/>
      <c r="M493" s="11"/>
      <c r="N493" s="2">
        <v>1.25</v>
      </c>
      <c r="O493" s="2"/>
      <c r="P493" s="2"/>
      <c r="Q493" s="2"/>
      <c r="R493" s="11"/>
      <c r="S493" s="11" t="s">
        <v>583</v>
      </c>
      <c r="T493" s="11" t="s">
        <v>85</v>
      </c>
      <c r="U493" s="11"/>
      <c r="V493" s="11"/>
      <c r="W493" s="11"/>
      <c r="X493" s="11"/>
      <c r="Y493" s="11"/>
      <c r="Z493" s="11"/>
      <c r="AA493" s="11"/>
      <c r="AB493" s="9"/>
      <c r="AC493" s="2"/>
      <c r="AD493" s="9"/>
      <c r="AE493" s="2"/>
      <c r="AF493" s="9"/>
      <c r="AG493" s="10"/>
      <c r="AH493" s="11"/>
      <c r="AI493" s="11" t="s">
        <v>86</v>
      </c>
      <c r="AJ493" s="11"/>
      <c r="AK493" s="2"/>
      <c r="AL493" s="11"/>
      <c r="AM493" s="11"/>
      <c r="AN493" s="11"/>
      <c r="AO493" s="2"/>
      <c r="AP493" s="3"/>
      <c r="AQ493" s="11"/>
      <c r="AR493" s="3"/>
      <c r="AS493" s="2"/>
      <c r="AT493" s="11"/>
      <c r="AU493" s="2"/>
      <c r="AV493" s="2"/>
      <c r="AW493" s="2"/>
      <c r="AX493" s="11"/>
      <c r="AY493" s="11"/>
      <c r="AZ493" s="9"/>
      <c r="BA493" s="2">
        <v>1875</v>
      </c>
      <c r="BB493" s="11"/>
      <c r="BC493" s="11"/>
      <c r="BD493" s="11"/>
      <c r="BE493" s="11"/>
      <c r="BF493" s="11"/>
      <c r="BG493" s="11"/>
      <c r="BH493" s="11"/>
      <c r="BI493" s="11"/>
      <c r="BJ493" s="11" t="s">
        <v>87</v>
      </c>
      <c r="BK493" s="10">
        <v>46303.805902777778</v>
      </c>
      <c r="BL493" s="11"/>
      <c r="BM493" s="11"/>
      <c r="BN493" s="10">
        <v>46303.625</v>
      </c>
      <c r="BO493" s="11"/>
      <c r="BP493" s="11"/>
      <c r="BQ493" s="11"/>
      <c r="BR493" s="11"/>
      <c r="BS493" s="11"/>
      <c r="BT493" s="11"/>
      <c r="BU493" s="11"/>
      <c r="BV493" s="2"/>
      <c r="BW493" s="11"/>
    </row>
    <row r="494" spans="1:75" ht="30" x14ac:dyDescent="0.25">
      <c r="A494" s="2">
        <v>6200492</v>
      </c>
      <c r="B494" s="10">
        <v>46303.805902777778</v>
      </c>
      <c r="C494" s="11" t="s">
        <v>82</v>
      </c>
      <c r="D494" s="11"/>
      <c r="E494" s="11" t="s">
        <v>83</v>
      </c>
      <c r="F494" s="11"/>
      <c r="G494" s="2">
        <v>470123456</v>
      </c>
      <c r="H494" s="3"/>
      <c r="I494" s="11" t="s">
        <v>75</v>
      </c>
      <c r="J494" s="11"/>
      <c r="K494" s="11"/>
      <c r="L494" s="11"/>
      <c r="M494" s="11"/>
      <c r="N494" s="2">
        <v>1.25</v>
      </c>
      <c r="O494" s="2"/>
      <c r="P494" s="2"/>
      <c r="Q494" s="2"/>
      <c r="R494" s="11"/>
      <c r="S494" s="11" t="s">
        <v>584</v>
      </c>
      <c r="T494" s="11" t="s">
        <v>85</v>
      </c>
      <c r="U494" s="11"/>
      <c r="V494" s="11"/>
      <c r="W494" s="11"/>
      <c r="X494" s="11"/>
      <c r="Y494" s="11"/>
      <c r="Z494" s="11"/>
      <c r="AA494" s="11"/>
      <c r="AB494" s="9"/>
      <c r="AC494" s="2"/>
      <c r="AD494" s="9"/>
      <c r="AE494" s="2"/>
      <c r="AF494" s="9"/>
      <c r="AG494" s="10"/>
      <c r="AH494" s="11"/>
      <c r="AI494" s="11" t="s">
        <v>86</v>
      </c>
      <c r="AJ494" s="11"/>
      <c r="AK494" s="2"/>
      <c r="AL494" s="11"/>
      <c r="AM494" s="11"/>
      <c r="AN494" s="11"/>
      <c r="AO494" s="2"/>
      <c r="AP494" s="3"/>
      <c r="AQ494" s="11"/>
      <c r="AR494" s="3"/>
      <c r="AS494" s="2"/>
      <c r="AT494" s="11"/>
      <c r="AU494" s="2"/>
      <c r="AV494" s="2"/>
      <c r="AW494" s="2"/>
      <c r="AX494" s="11"/>
      <c r="AY494" s="11"/>
      <c r="AZ494" s="9"/>
      <c r="BA494" s="2">
        <v>1875</v>
      </c>
      <c r="BB494" s="11"/>
      <c r="BC494" s="11"/>
      <c r="BD494" s="11"/>
      <c r="BE494" s="11"/>
      <c r="BF494" s="11"/>
      <c r="BG494" s="11"/>
      <c r="BH494" s="11"/>
      <c r="BI494" s="11"/>
      <c r="BJ494" s="11" t="s">
        <v>87</v>
      </c>
      <c r="BK494" s="10">
        <v>46303.805902777778</v>
      </c>
      <c r="BL494" s="11"/>
      <c r="BM494" s="11"/>
      <c r="BN494" s="10">
        <v>46303.625</v>
      </c>
      <c r="BO494" s="11"/>
      <c r="BP494" s="11"/>
      <c r="BQ494" s="11"/>
      <c r="BR494" s="11"/>
      <c r="BS494" s="11"/>
      <c r="BT494" s="11"/>
      <c r="BU494" s="11"/>
      <c r="BV494" s="2"/>
      <c r="BW494" s="11"/>
    </row>
    <row r="495" spans="1:75" ht="30" x14ac:dyDescent="0.25">
      <c r="A495" s="2">
        <v>6200493</v>
      </c>
      <c r="B495" s="10">
        <v>46303.805902777778</v>
      </c>
      <c r="C495" s="11" t="s">
        <v>82</v>
      </c>
      <c r="D495" s="11"/>
      <c r="E495" s="11" t="s">
        <v>88</v>
      </c>
      <c r="F495" s="11"/>
      <c r="G495" s="11" t="s">
        <v>94</v>
      </c>
      <c r="H495" s="3"/>
      <c r="I495" s="11" t="s">
        <v>90</v>
      </c>
      <c r="J495" s="11"/>
      <c r="K495" s="11"/>
      <c r="L495" s="11"/>
      <c r="M495" s="11"/>
      <c r="N495" s="2">
        <v>1.25</v>
      </c>
      <c r="O495" s="2"/>
      <c r="P495" s="2"/>
      <c r="Q495" s="2"/>
      <c r="R495" s="11"/>
      <c r="S495" s="11" t="s">
        <v>585</v>
      </c>
      <c r="T495" s="11" t="s">
        <v>85</v>
      </c>
      <c r="U495" s="11"/>
      <c r="V495" s="11"/>
      <c r="W495" s="11"/>
      <c r="X495" s="11"/>
      <c r="Y495" s="11"/>
      <c r="Z495" s="11"/>
      <c r="AA495" s="11"/>
      <c r="AB495" s="9"/>
      <c r="AC495" s="2"/>
      <c r="AD495" s="9"/>
      <c r="AE495" s="2"/>
      <c r="AF495" s="9"/>
      <c r="AG495" s="10"/>
      <c r="AH495" s="11"/>
      <c r="AI495" s="11" t="s">
        <v>86</v>
      </c>
      <c r="AJ495" s="11"/>
      <c r="AK495" s="2"/>
      <c r="AL495" s="11"/>
      <c r="AM495" s="11"/>
      <c r="AN495" s="11"/>
      <c r="AO495" s="2"/>
      <c r="AP495" s="3"/>
      <c r="AQ495" s="11"/>
      <c r="AR495" s="3"/>
      <c r="AS495" s="2"/>
      <c r="AT495" s="11"/>
      <c r="AU495" s="2"/>
      <c r="AV495" s="2"/>
      <c r="AW495" s="2"/>
      <c r="AX495" s="11"/>
      <c r="AY495" s="11"/>
      <c r="AZ495" s="9"/>
      <c r="BA495" s="2">
        <v>1875</v>
      </c>
      <c r="BB495" s="11"/>
      <c r="BC495" s="11"/>
      <c r="BD495" s="11"/>
      <c r="BE495" s="11"/>
      <c r="BF495" s="11"/>
      <c r="BG495" s="11"/>
      <c r="BH495" s="11"/>
      <c r="BI495" s="11"/>
      <c r="BJ495" s="11" t="s">
        <v>87</v>
      </c>
      <c r="BK495" s="10">
        <v>46303.805902777778</v>
      </c>
      <c r="BL495" s="11"/>
      <c r="BM495" s="11"/>
      <c r="BN495" s="10">
        <v>46303.625</v>
      </c>
      <c r="BO495" s="11"/>
      <c r="BP495" s="11"/>
      <c r="BQ495" s="11"/>
      <c r="BR495" s="11"/>
      <c r="BS495" s="11"/>
      <c r="BT495" s="11"/>
      <c r="BU495" s="11"/>
      <c r="BV495" s="2"/>
      <c r="BW495" s="11"/>
    </row>
    <row r="496" spans="1:75" ht="30" x14ac:dyDescent="0.25">
      <c r="A496" s="2">
        <v>6200494</v>
      </c>
      <c r="B496" s="10">
        <v>46303.805902777778</v>
      </c>
      <c r="C496" s="11" t="s">
        <v>82</v>
      </c>
      <c r="D496" s="11"/>
      <c r="E496" s="11" t="s">
        <v>92</v>
      </c>
      <c r="F496" s="11"/>
      <c r="G496" s="11" t="s">
        <v>593</v>
      </c>
      <c r="H496" s="3"/>
      <c r="I496" s="11" t="s">
        <v>75</v>
      </c>
      <c r="J496" s="11"/>
      <c r="K496" s="11"/>
      <c r="L496" s="11"/>
      <c r="M496" s="11"/>
      <c r="N496" s="2">
        <v>1.25</v>
      </c>
      <c r="O496" s="2"/>
      <c r="P496" s="2"/>
      <c r="Q496" s="2"/>
      <c r="R496" s="11"/>
      <c r="S496" s="11" t="s">
        <v>586</v>
      </c>
      <c r="T496" s="11" t="s">
        <v>85</v>
      </c>
      <c r="U496" s="11"/>
      <c r="V496" s="11"/>
      <c r="W496" s="11"/>
      <c r="X496" s="11"/>
      <c r="Y496" s="11"/>
      <c r="Z496" s="11"/>
      <c r="AA496" s="11"/>
      <c r="AB496" s="9"/>
      <c r="AC496" s="2"/>
      <c r="AD496" s="9"/>
      <c r="AE496" s="2"/>
      <c r="AF496" s="9"/>
      <c r="AG496" s="10"/>
      <c r="AH496" s="11"/>
      <c r="AI496" s="11" t="s">
        <v>86</v>
      </c>
      <c r="AJ496" s="11"/>
      <c r="AK496" s="2"/>
      <c r="AL496" s="11"/>
      <c r="AM496" s="11"/>
      <c r="AN496" s="11"/>
      <c r="AO496" s="2"/>
      <c r="AP496" s="3"/>
      <c r="AQ496" s="11"/>
      <c r="AR496" s="3"/>
      <c r="AS496" s="2"/>
      <c r="AT496" s="11"/>
      <c r="AU496" s="2"/>
      <c r="AV496" s="2"/>
      <c r="AW496" s="2"/>
      <c r="AX496" s="11"/>
      <c r="AY496" s="11"/>
      <c r="AZ496" s="9"/>
      <c r="BA496" s="2">
        <v>1875</v>
      </c>
      <c r="BB496" s="11"/>
      <c r="BC496" s="11"/>
      <c r="BD496" s="11"/>
      <c r="BE496" s="11"/>
      <c r="BF496" s="11"/>
      <c r="BG496" s="11"/>
      <c r="BH496" s="11"/>
      <c r="BI496" s="11"/>
      <c r="BJ496" s="11" t="s">
        <v>87</v>
      </c>
      <c r="BK496" s="10">
        <v>46303.805902777778</v>
      </c>
      <c r="BL496" s="11"/>
      <c r="BM496" s="11"/>
      <c r="BN496" s="10">
        <v>46303.625</v>
      </c>
      <c r="BO496" s="11"/>
      <c r="BP496" s="11"/>
      <c r="BQ496" s="11"/>
      <c r="BR496" s="11"/>
      <c r="BS496" s="11"/>
      <c r="BT496" s="11"/>
      <c r="BU496" s="11"/>
      <c r="BV496" s="2"/>
      <c r="BW496" s="11"/>
    </row>
    <row r="497" spans="1:75" ht="30" x14ac:dyDescent="0.25">
      <c r="A497" s="2">
        <v>6200495</v>
      </c>
      <c r="B497" s="10">
        <v>46303.805902777778</v>
      </c>
      <c r="C497" s="11" t="s">
        <v>82</v>
      </c>
      <c r="D497" s="11"/>
      <c r="E497" s="11" t="s">
        <v>83</v>
      </c>
      <c r="F497" s="11"/>
      <c r="G497" s="11" t="s">
        <v>592</v>
      </c>
      <c r="H497" s="3"/>
      <c r="I497" s="11" t="s">
        <v>75</v>
      </c>
      <c r="J497" s="11"/>
      <c r="K497" s="11"/>
      <c r="L497" s="11"/>
      <c r="M497" s="11"/>
      <c r="N497" s="2">
        <v>1.25</v>
      </c>
      <c r="O497" s="2"/>
      <c r="P497" s="2"/>
      <c r="Q497" s="2"/>
      <c r="R497" s="11"/>
      <c r="S497" s="11" t="s">
        <v>587</v>
      </c>
      <c r="T497" s="11" t="s">
        <v>85</v>
      </c>
      <c r="U497" s="11"/>
      <c r="V497" s="11"/>
      <c r="W497" s="11"/>
      <c r="X497" s="11"/>
      <c r="Y497" s="11"/>
      <c r="Z497" s="11"/>
      <c r="AA497" s="11"/>
      <c r="AB497" s="9"/>
      <c r="AC497" s="2"/>
      <c r="AD497" s="9"/>
      <c r="AE497" s="2"/>
      <c r="AF497" s="9"/>
      <c r="AG497" s="10"/>
      <c r="AH497" s="11"/>
      <c r="AI497" s="11" t="s">
        <v>86</v>
      </c>
      <c r="AJ497" s="11"/>
      <c r="AK497" s="2"/>
      <c r="AL497" s="11"/>
      <c r="AM497" s="11"/>
      <c r="AN497" s="11"/>
      <c r="AO497" s="2"/>
      <c r="AP497" s="3"/>
      <c r="AQ497" s="11"/>
      <c r="AR497" s="3"/>
      <c r="AS497" s="2"/>
      <c r="AT497" s="11"/>
      <c r="AU497" s="2"/>
      <c r="AV497" s="2"/>
      <c r="AW497" s="2"/>
      <c r="AX497" s="11"/>
      <c r="AY497" s="11"/>
      <c r="AZ497" s="9"/>
      <c r="BA497" s="2">
        <v>1875</v>
      </c>
      <c r="BB497" s="11"/>
      <c r="BC497" s="11"/>
      <c r="BD497" s="11"/>
      <c r="BE497" s="11"/>
      <c r="BF497" s="11"/>
      <c r="BG497" s="11"/>
      <c r="BH497" s="11"/>
      <c r="BI497" s="11"/>
      <c r="BJ497" s="11" t="s">
        <v>87</v>
      </c>
      <c r="BK497" s="10">
        <v>46303.805902777778</v>
      </c>
      <c r="BL497" s="11"/>
      <c r="BM497" s="11"/>
      <c r="BN497" s="10">
        <v>46303.625</v>
      </c>
      <c r="BO497" s="11"/>
      <c r="BP497" s="11"/>
      <c r="BQ497" s="11"/>
      <c r="BR497" s="11"/>
      <c r="BS497" s="11"/>
      <c r="BT497" s="11"/>
      <c r="BU497" s="11"/>
      <c r="BV497" s="2"/>
      <c r="BW497" s="11"/>
    </row>
    <row r="498" spans="1:75" ht="30" x14ac:dyDescent="0.25">
      <c r="A498" s="2">
        <v>6200496</v>
      </c>
      <c r="B498" s="10">
        <v>46303.805902777778</v>
      </c>
      <c r="C498" s="11" t="s">
        <v>82</v>
      </c>
      <c r="D498" s="11"/>
      <c r="E498" s="11" t="s">
        <v>88</v>
      </c>
      <c r="F498" s="11"/>
      <c r="G498" s="11" t="s">
        <v>89</v>
      </c>
      <c r="H498" s="3"/>
      <c r="I498" s="11" t="s">
        <v>90</v>
      </c>
      <c r="J498" s="11"/>
      <c r="K498" s="11"/>
      <c r="L498" s="11"/>
      <c r="M498" s="11"/>
      <c r="N498" s="2">
        <v>1.25</v>
      </c>
      <c r="O498" s="2"/>
      <c r="P498" s="2"/>
      <c r="Q498" s="2"/>
      <c r="R498" s="11"/>
      <c r="S498" s="11" t="s">
        <v>588</v>
      </c>
      <c r="T498" s="11" t="s">
        <v>85</v>
      </c>
      <c r="U498" s="11"/>
      <c r="V498" s="11"/>
      <c r="W498" s="11"/>
      <c r="X498" s="11"/>
      <c r="Y498" s="11"/>
      <c r="Z498" s="11"/>
      <c r="AA498" s="11"/>
      <c r="AB498" s="9"/>
      <c r="AC498" s="2"/>
      <c r="AD498" s="9"/>
      <c r="AE498" s="2"/>
      <c r="AF498" s="9"/>
      <c r="AG498" s="10"/>
      <c r="AH498" s="11"/>
      <c r="AI498" s="11" t="s">
        <v>86</v>
      </c>
      <c r="AJ498" s="11"/>
      <c r="AK498" s="2"/>
      <c r="AL498" s="11"/>
      <c r="AM498" s="11"/>
      <c r="AN498" s="11"/>
      <c r="AO498" s="2"/>
      <c r="AP498" s="3"/>
      <c r="AQ498" s="11"/>
      <c r="AR498" s="3"/>
      <c r="AS498" s="2"/>
      <c r="AT498" s="11"/>
      <c r="AU498" s="2"/>
      <c r="AV498" s="2"/>
      <c r="AW498" s="2"/>
      <c r="AX498" s="11"/>
      <c r="AY498" s="11"/>
      <c r="AZ498" s="9"/>
      <c r="BA498" s="2">
        <v>1875</v>
      </c>
      <c r="BB498" s="11"/>
      <c r="BC498" s="11"/>
      <c r="BD498" s="11"/>
      <c r="BE498" s="11"/>
      <c r="BF498" s="11"/>
      <c r="BG498" s="11"/>
      <c r="BH498" s="11"/>
      <c r="BI498" s="11"/>
      <c r="BJ498" s="11" t="s">
        <v>87</v>
      </c>
      <c r="BK498" s="10">
        <v>46303.805902777778</v>
      </c>
      <c r="BL498" s="11"/>
      <c r="BM498" s="11"/>
      <c r="BN498" s="10">
        <v>46303.625</v>
      </c>
      <c r="BO498" s="11"/>
      <c r="BP498" s="11"/>
      <c r="BQ498" s="11"/>
      <c r="BR498" s="11"/>
      <c r="BS498" s="11"/>
      <c r="BT498" s="11"/>
      <c r="BU498" s="11"/>
      <c r="BV498" s="2"/>
      <c r="BW498" s="11"/>
    </row>
    <row r="499" spans="1:75" ht="30" x14ac:dyDescent="0.25">
      <c r="A499" s="2">
        <v>6200497</v>
      </c>
      <c r="B499" s="10">
        <v>46303.805902777778</v>
      </c>
      <c r="C499" s="11" t="s">
        <v>82</v>
      </c>
      <c r="D499" s="11"/>
      <c r="E499" s="11" t="s">
        <v>92</v>
      </c>
      <c r="F499" s="11"/>
      <c r="G499" s="2">
        <v>470123456</v>
      </c>
      <c r="H499" s="3"/>
      <c r="I499" s="11" t="s">
        <v>75</v>
      </c>
      <c r="J499" s="11"/>
      <c r="K499" s="11"/>
      <c r="L499" s="11"/>
      <c r="M499" s="11"/>
      <c r="N499" s="2">
        <v>1.25</v>
      </c>
      <c r="O499" s="2"/>
      <c r="P499" s="2"/>
      <c r="Q499" s="2"/>
      <c r="R499" s="11"/>
      <c r="S499" s="11" t="s">
        <v>589</v>
      </c>
      <c r="T499" s="11" t="s">
        <v>85</v>
      </c>
      <c r="U499" s="11"/>
      <c r="V499" s="11"/>
      <c r="W499" s="11"/>
      <c r="X499" s="11"/>
      <c r="Y499" s="11"/>
      <c r="Z499" s="11"/>
      <c r="AA499" s="11"/>
      <c r="AB499" s="9"/>
      <c r="AC499" s="2"/>
      <c r="AD499" s="9"/>
      <c r="AE499" s="2"/>
      <c r="AF499" s="9"/>
      <c r="AG499" s="10"/>
      <c r="AH499" s="11"/>
      <c r="AI499" s="11" t="s">
        <v>86</v>
      </c>
      <c r="AJ499" s="11"/>
      <c r="AK499" s="2"/>
      <c r="AL499" s="11"/>
      <c r="AM499" s="11"/>
      <c r="AN499" s="11"/>
      <c r="AO499" s="2"/>
      <c r="AP499" s="3"/>
      <c r="AQ499" s="11"/>
      <c r="AR499" s="3"/>
      <c r="AS499" s="2"/>
      <c r="AT499" s="11"/>
      <c r="AU499" s="2"/>
      <c r="AV499" s="2"/>
      <c r="AW499" s="2"/>
      <c r="AX499" s="11"/>
      <c r="AY499" s="11"/>
      <c r="AZ499" s="9"/>
      <c r="BA499" s="2">
        <v>1875</v>
      </c>
      <c r="BB499" s="11"/>
      <c r="BC499" s="11"/>
      <c r="BD499" s="11"/>
      <c r="BE499" s="11"/>
      <c r="BF499" s="11"/>
      <c r="BG499" s="11"/>
      <c r="BH499" s="11"/>
      <c r="BI499" s="11"/>
      <c r="BJ499" s="11" t="s">
        <v>87</v>
      </c>
      <c r="BK499" s="10">
        <v>46303.805902777778</v>
      </c>
      <c r="BL499" s="11"/>
      <c r="BM499" s="11"/>
      <c r="BN499" s="10">
        <v>46303.625</v>
      </c>
      <c r="BO499" s="11"/>
      <c r="BP499" s="11"/>
      <c r="BQ499" s="11"/>
      <c r="BR499" s="11"/>
      <c r="BS499" s="11"/>
      <c r="BT499" s="11"/>
      <c r="BU499" s="11"/>
      <c r="BV499" s="2"/>
      <c r="BW499" s="11"/>
    </row>
    <row r="500" spans="1:75" ht="30" x14ac:dyDescent="0.25">
      <c r="A500" s="2">
        <v>6200498</v>
      </c>
      <c r="B500" s="10">
        <v>46303.805902777778</v>
      </c>
      <c r="C500" s="11" t="s">
        <v>82</v>
      </c>
      <c r="D500" s="11"/>
      <c r="E500" s="11" t="s">
        <v>83</v>
      </c>
      <c r="F500" s="11"/>
      <c r="G500" s="11" t="s">
        <v>94</v>
      </c>
      <c r="H500" s="3"/>
      <c r="I500" s="11" t="s">
        <v>90</v>
      </c>
      <c r="J500" s="11"/>
      <c r="K500" s="11"/>
      <c r="L500" s="11"/>
      <c r="M500" s="11"/>
      <c r="N500" s="2">
        <v>1.25</v>
      </c>
      <c r="O500" s="2"/>
      <c r="P500" s="2"/>
      <c r="Q500" s="2"/>
      <c r="R500" s="11"/>
      <c r="S500" s="11" t="s">
        <v>590</v>
      </c>
      <c r="T500" s="11" t="s">
        <v>85</v>
      </c>
      <c r="U500" s="11"/>
      <c r="V500" s="11"/>
      <c r="W500" s="11"/>
      <c r="X500" s="11"/>
      <c r="Y500" s="11"/>
      <c r="Z500" s="11"/>
      <c r="AA500" s="11"/>
      <c r="AB500" s="9"/>
      <c r="AC500" s="2"/>
      <c r="AD500" s="9"/>
      <c r="AE500" s="2"/>
      <c r="AF500" s="9"/>
      <c r="AG500" s="10"/>
      <c r="AH500" s="11"/>
      <c r="AI500" s="11" t="s">
        <v>86</v>
      </c>
      <c r="AJ500" s="11"/>
      <c r="AK500" s="2"/>
      <c r="AL500" s="11"/>
      <c r="AM500" s="11"/>
      <c r="AN500" s="11"/>
      <c r="AO500" s="2"/>
      <c r="AP500" s="3"/>
      <c r="AQ500" s="11"/>
      <c r="AR500" s="3"/>
      <c r="AS500" s="2"/>
      <c r="AT500" s="11"/>
      <c r="AU500" s="2"/>
      <c r="AV500" s="2"/>
      <c r="AW500" s="2"/>
      <c r="AX500" s="11"/>
      <c r="AY500" s="11"/>
      <c r="AZ500" s="9"/>
      <c r="BA500" s="2">
        <v>1875</v>
      </c>
      <c r="BB500" s="11"/>
      <c r="BC500" s="11"/>
      <c r="BD500" s="11"/>
      <c r="BE500" s="11"/>
      <c r="BF500" s="11"/>
      <c r="BG500" s="11"/>
      <c r="BH500" s="11"/>
      <c r="BI500" s="11"/>
      <c r="BJ500" s="11" t="s">
        <v>87</v>
      </c>
      <c r="BK500" s="10">
        <v>46303.805902777778</v>
      </c>
      <c r="BL500" s="11"/>
      <c r="BM500" s="11"/>
      <c r="BN500" s="10">
        <v>46303.625</v>
      </c>
      <c r="BO500" s="11"/>
      <c r="BP500" s="11"/>
      <c r="BQ500" s="11"/>
      <c r="BR500" s="11"/>
      <c r="BS500" s="11"/>
      <c r="BT500" s="11"/>
      <c r="BU500" s="11"/>
      <c r="BV500" s="2"/>
      <c r="BW500" s="11"/>
    </row>
    <row r="501" spans="1:75" ht="30" x14ac:dyDescent="0.25">
      <c r="A501" s="2">
        <v>6200499</v>
      </c>
      <c r="B501" s="10">
        <v>46303.805902777778</v>
      </c>
      <c r="C501" s="11" t="s">
        <v>82</v>
      </c>
      <c r="D501" s="11"/>
      <c r="E501" s="11" t="s">
        <v>88</v>
      </c>
      <c r="F501" s="11"/>
      <c r="G501" s="11" t="s">
        <v>593</v>
      </c>
      <c r="H501" s="3"/>
      <c r="I501" s="11" t="s">
        <v>75</v>
      </c>
      <c r="J501" s="11"/>
      <c r="K501" s="11"/>
      <c r="L501" s="11"/>
      <c r="M501" s="11"/>
      <c r="N501" s="2">
        <v>1.25</v>
      </c>
      <c r="O501" s="2"/>
      <c r="P501" s="2"/>
      <c r="Q501" s="2"/>
      <c r="R501" s="11"/>
      <c r="S501" s="11" t="s">
        <v>591</v>
      </c>
      <c r="T501" s="11" t="s">
        <v>85</v>
      </c>
      <c r="U501" s="11"/>
      <c r="V501" s="11"/>
      <c r="W501" s="11"/>
      <c r="X501" s="11"/>
      <c r="Y501" s="11"/>
      <c r="Z501" s="11"/>
      <c r="AA501" s="11"/>
      <c r="AB501" s="9"/>
      <c r="AC501" s="2"/>
      <c r="AD501" s="9"/>
      <c r="AE501" s="2"/>
      <c r="AF501" s="9"/>
      <c r="AG501" s="10"/>
      <c r="AH501" s="11"/>
      <c r="AI501" s="11" t="s">
        <v>86</v>
      </c>
      <c r="AJ501" s="11"/>
      <c r="AK501" s="2"/>
      <c r="AL501" s="11"/>
      <c r="AM501" s="11"/>
      <c r="AN501" s="11"/>
      <c r="AO501" s="2"/>
      <c r="AP501" s="3"/>
      <c r="AQ501" s="11"/>
      <c r="AR501" s="3"/>
      <c r="AS501" s="2"/>
      <c r="AT501" s="11"/>
      <c r="AU501" s="2"/>
      <c r="AV501" s="2"/>
      <c r="AW501" s="2"/>
      <c r="AX501" s="11"/>
      <c r="AY501" s="11"/>
      <c r="AZ501" s="9"/>
      <c r="BA501" s="2">
        <v>1875</v>
      </c>
      <c r="BB501" s="11"/>
      <c r="BC501" s="11"/>
      <c r="BD501" s="11"/>
      <c r="BE501" s="11"/>
      <c r="BF501" s="11"/>
      <c r="BG501" s="11"/>
      <c r="BH501" s="11"/>
      <c r="BI501" s="11"/>
      <c r="BJ501" s="11" t="s">
        <v>87</v>
      </c>
      <c r="BK501" s="10">
        <v>46303.805902777778</v>
      </c>
      <c r="BL501" s="11"/>
      <c r="BM501" s="11"/>
      <c r="BN501" s="10">
        <v>46303.625</v>
      </c>
      <c r="BO501" s="11"/>
      <c r="BP501" s="11"/>
      <c r="BQ501" s="11"/>
      <c r="BR501" s="11"/>
      <c r="BS501" s="11"/>
      <c r="BT501" s="11"/>
      <c r="BU501" s="11"/>
      <c r="BV501" s="2"/>
      <c r="BW501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baseColWidth="10" defaultRowHeight="15" x14ac:dyDescent="0.25"/>
  <cols>
    <col min="1" max="1" width="34.5703125" bestFit="1" customWidth="1"/>
  </cols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base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Valentino Guardia</cp:lastModifiedBy>
  <dcterms:created xsi:type="dcterms:W3CDTF">2026-05-07T18:36:40Z</dcterms:created>
  <dcterms:modified xsi:type="dcterms:W3CDTF">2026-10-08T23:33:54Z</dcterms:modified>
</cp:coreProperties>
</file>